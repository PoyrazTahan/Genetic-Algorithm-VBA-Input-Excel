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yraz\Desktop\Gen\"/>
    </mc:Choice>
  </mc:AlternateContent>
  <bookViews>
    <workbookView xWindow="0" yWindow="0" windowWidth="19470" windowHeight="8805" activeTab="2" xr2:uid="{00000000-000D-0000-FFFF-FFFF00000000}"/>
  </bookViews>
  <sheets>
    <sheet name="Chart5" sheetId="8" r:id="rId1"/>
    <sheet name="Prepare Sheet" sheetId="2" r:id="rId2"/>
    <sheet name="Model" sheetId="1" r:id="rId3"/>
    <sheet name="NextGen" sheetId="3" r:id="rId4"/>
  </sheets>
  <functionGroups builtInGroupCount="19"/>
  <definedNames>
    <definedName name="GenerationDisplayer">Model!$BN$5</definedName>
    <definedName name="GenerationDisplayerBestFit">Model!$BO$5</definedName>
    <definedName name="GenerationDisplayerWorstFit">Model!$BP$5</definedName>
    <definedName name="IsOpen">Coords[[#All],[ısOPen]]</definedName>
    <definedName name="index">Coords[[#All],['#]]</definedName>
    <definedName name="Obj">Model!$BI$6:$BI$19</definedName>
    <definedName name="solver_adj" localSheetId="2" hidden="1">Model!$E$6:$E$15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Model!$E$16</definedName>
    <definedName name="solver_lhs2" localSheetId="2" hidden="1">Model!$E$6:$E$15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Model!$BI$58</definedName>
    <definedName name="solver_pre" localSheetId="2" hidden="1">0.000001</definedName>
    <definedName name="solver_rbv" localSheetId="2" hidden="1">2</definedName>
    <definedName name="solver_rel1" localSheetId="2" hidden="1">2</definedName>
    <definedName name="solver_rel2" localSheetId="2" hidden="1">5</definedName>
    <definedName name="solver_rhs1" localSheetId="2" hidden="1">5</definedName>
    <definedName name="solver_rhs2" localSheetId="2" hidden="1">binary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4" i="1" l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V4" i="1"/>
  <c r="V6" i="1" s="1"/>
  <c r="U4" i="1"/>
  <c r="U6" i="1" s="1"/>
  <c r="BF56" i="1" l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BF31" i="1"/>
  <c r="BE31" i="1"/>
  <c r="BD31" i="1"/>
  <c r="BC31" i="1"/>
  <c r="BB31" i="1"/>
  <c r="BA31" i="1"/>
  <c r="AZ31" i="1"/>
  <c r="AY31" i="1"/>
  <c r="AX31" i="1"/>
  <c r="AW31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BF30" i="1"/>
  <c r="BE30" i="1"/>
  <c r="BD30" i="1"/>
  <c r="BC30" i="1"/>
  <c r="BB30" i="1"/>
  <c r="BA30" i="1"/>
  <c r="AZ30" i="1"/>
  <c r="AY30" i="1"/>
  <c r="AX30" i="1"/>
  <c r="AW30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T18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S17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R16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Q15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P14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O13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N12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M11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L10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K9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J8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I7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H6" i="1"/>
  <c r="AG6" i="1"/>
  <c r="AF6" i="1"/>
  <c r="AE6" i="1"/>
  <c r="AD6" i="1"/>
  <c r="AC6" i="1"/>
  <c r="AB6" i="1"/>
  <c r="AA6" i="1"/>
  <c r="Z6" i="1"/>
  <c r="Y6" i="1"/>
  <c r="X6" i="1"/>
  <c r="W6" i="1"/>
  <c r="AI56" i="1"/>
  <c r="H5" i="1"/>
  <c r="H6" i="1" s="1"/>
  <c r="AI7" i="1" l="1"/>
  <c r="AI10" i="1"/>
  <c r="AI17" i="1"/>
  <c r="AI18" i="1"/>
  <c r="AI23" i="1"/>
  <c r="AI27" i="1"/>
  <c r="AI31" i="1"/>
  <c r="AI35" i="1"/>
  <c r="AI39" i="1"/>
  <c r="AI43" i="1"/>
  <c r="AI47" i="1"/>
  <c r="AI51" i="1"/>
  <c r="AI55" i="1"/>
  <c r="AI11" i="1"/>
  <c r="AI13" i="1"/>
  <c r="AI15" i="1"/>
  <c r="AI16" i="1"/>
  <c r="AI19" i="1"/>
  <c r="AI22" i="1"/>
  <c r="AI26" i="1"/>
  <c r="AI30" i="1"/>
  <c r="AI34" i="1"/>
  <c r="AI38" i="1"/>
  <c r="AI42" i="1"/>
  <c r="AI46" i="1"/>
  <c r="AI50" i="1"/>
  <c r="AI54" i="1"/>
  <c r="AI8" i="1"/>
  <c r="AI9" i="1"/>
  <c r="AI12" i="1"/>
  <c r="AI21" i="1"/>
  <c r="AI25" i="1"/>
  <c r="AI29" i="1"/>
  <c r="AI33" i="1"/>
  <c r="AI37" i="1"/>
  <c r="AI41" i="1"/>
  <c r="AI45" i="1"/>
  <c r="AI49" i="1"/>
  <c r="AI53" i="1"/>
  <c r="AI6" i="1"/>
  <c r="AI14" i="1"/>
  <c r="AI20" i="1"/>
  <c r="AI24" i="1"/>
  <c r="AI28" i="1"/>
  <c r="AI32" i="1"/>
  <c r="AI36" i="1"/>
  <c r="AI40" i="1"/>
  <c r="AI44" i="1"/>
  <c r="AI48" i="1"/>
  <c r="AI52" i="1"/>
  <c r="H4" i="1"/>
  <c r="I4" i="1"/>
  <c r="J4" i="1"/>
  <c r="K4" i="1"/>
  <c r="L4" i="1"/>
  <c r="M4" i="1"/>
  <c r="N4" i="1"/>
  <c r="O4" i="1"/>
  <c r="P4" i="1"/>
  <c r="Q4" i="1"/>
  <c r="R4" i="1"/>
  <c r="S4" i="1"/>
  <c r="T4" i="1"/>
  <c r="G4" i="1"/>
  <c r="P54" i="1" l="1"/>
  <c r="P50" i="1"/>
  <c r="P46" i="1"/>
  <c r="P53" i="1"/>
  <c r="P49" i="1"/>
  <c r="P45" i="1"/>
  <c r="P56" i="1"/>
  <c r="P52" i="1"/>
  <c r="P55" i="1"/>
  <c r="P51" i="1"/>
  <c r="P47" i="1"/>
  <c r="P41" i="1"/>
  <c r="P37" i="1"/>
  <c r="P33" i="1"/>
  <c r="P29" i="1"/>
  <c r="P25" i="1"/>
  <c r="P48" i="1"/>
  <c r="P44" i="1"/>
  <c r="P40" i="1"/>
  <c r="P36" i="1"/>
  <c r="P32" i="1"/>
  <c r="P28" i="1"/>
  <c r="P43" i="1"/>
  <c r="P39" i="1"/>
  <c r="P35" i="1"/>
  <c r="P42" i="1"/>
  <c r="P38" i="1"/>
  <c r="P34" i="1"/>
  <c r="P26" i="1"/>
  <c r="P23" i="1"/>
  <c r="P18" i="1"/>
  <c r="P10" i="1"/>
  <c r="P6" i="1"/>
  <c r="P21" i="1"/>
  <c r="P17" i="1"/>
  <c r="P13" i="1"/>
  <c r="P9" i="1"/>
  <c r="P30" i="1"/>
  <c r="P24" i="1"/>
  <c r="P22" i="1"/>
  <c r="P20" i="1"/>
  <c r="P16" i="1"/>
  <c r="P12" i="1"/>
  <c r="P8" i="1"/>
  <c r="P31" i="1"/>
  <c r="P27" i="1"/>
  <c r="P19" i="1"/>
  <c r="P15" i="1"/>
  <c r="P11" i="1"/>
  <c r="P7" i="1"/>
  <c r="H54" i="1"/>
  <c r="H50" i="1"/>
  <c r="H46" i="1"/>
  <c r="H53" i="1"/>
  <c r="H49" i="1"/>
  <c r="H45" i="1"/>
  <c r="H56" i="1"/>
  <c r="H52" i="1"/>
  <c r="H55" i="1"/>
  <c r="H51" i="1"/>
  <c r="H47" i="1"/>
  <c r="H41" i="1"/>
  <c r="H37" i="1"/>
  <c r="H33" i="1"/>
  <c r="H29" i="1"/>
  <c r="H25" i="1"/>
  <c r="H48" i="1"/>
  <c r="H44" i="1"/>
  <c r="H40" i="1"/>
  <c r="H36" i="1"/>
  <c r="H32" i="1"/>
  <c r="H28" i="1"/>
  <c r="H43" i="1"/>
  <c r="H39" i="1"/>
  <c r="H35" i="1"/>
  <c r="H42" i="1"/>
  <c r="H38" i="1"/>
  <c r="H34" i="1"/>
  <c r="H27" i="1"/>
  <c r="H24" i="1"/>
  <c r="H22" i="1"/>
  <c r="H18" i="1"/>
  <c r="H14" i="1"/>
  <c r="H10" i="1"/>
  <c r="H21" i="1"/>
  <c r="H17" i="1"/>
  <c r="H13" i="1"/>
  <c r="H9" i="1"/>
  <c r="H30" i="1"/>
  <c r="H26" i="1"/>
  <c r="H23" i="1"/>
  <c r="H20" i="1"/>
  <c r="H16" i="1"/>
  <c r="H12" i="1"/>
  <c r="H8" i="1"/>
  <c r="H31" i="1"/>
  <c r="H19" i="1"/>
  <c r="H15" i="1"/>
  <c r="H11" i="1"/>
  <c r="H7" i="1"/>
  <c r="O55" i="1"/>
  <c r="O51" i="1"/>
  <c r="O47" i="1"/>
  <c r="O54" i="1"/>
  <c r="O50" i="1"/>
  <c r="O46" i="1"/>
  <c r="O53" i="1"/>
  <c r="O49" i="1"/>
  <c r="O56" i="1"/>
  <c r="O52" i="1"/>
  <c r="O45" i="1"/>
  <c r="O42" i="1"/>
  <c r="O38" i="1"/>
  <c r="O34" i="1"/>
  <c r="O30" i="1"/>
  <c r="O26" i="1"/>
  <c r="O22" i="1"/>
  <c r="O41" i="1"/>
  <c r="O37" i="1"/>
  <c r="O33" i="1"/>
  <c r="O29" i="1"/>
  <c r="O48" i="1"/>
  <c r="O44" i="1"/>
  <c r="O40" i="1"/>
  <c r="O36" i="1"/>
  <c r="O43" i="1"/>
  <c r="O39" i="1"/>
  <c r="O35" i="1"/>
  <c r="O32" i="1"/>
  <c r="O31" i="1"/>
  <c r="O27" i="1"/>
  <c r="O19" i="1"/>
  <c r="O15" i="1"/>
  <c r="O11" i="1"/>
  <c r="O7" i="1"/>
  <c r="O6" i="1"/>
  <c r="O23" i="1"/>
  <c r="O18" i="1"/>
  <c r="O14" i="1"/>
  <c r="O10" i="1"/>
  <c r="O28" i="1"/>
  <c r="O25" i="1"/>
  <c r="O21" i="1"/>
  <c r="O17" i="1"/>
  <c r="O9" i="1"/>
  <c r="O24" i="1"/>
  <c r="O20" i="1"/>
  <c r="O16" i="1"/>
  <c r="O12" i="1"/>
  <c r="O8" i="1"/>
  <c r="J56" i="1"/>
  <c r="J52" i="1"/>
  <c r="J48" i="1"/>
  <c r="J44" i="1"/>
  <c r="J55" i="1"/>
  <c r="J51" i="1"/>
  <c r="J47" i="1"/>
  <c r="J54" i="1"/>
  <c r="J50" i="1"/>
  <c r="J53" i="1"/>
  <c r="J49" i="1"/>
  <c r="J43" i="1"/>
  <c r="J39" i="1"/>
  <c r="J35" i="1"/>
  <c r="J31" i="1"/>
  <c r="J27" i="1"/>
  <c r="J23" i="1"/>
  <c r="J46" i="1"/>
  <c r="J42" i="1"/>
  <c r="J38" i="1"/>
  <c r="J34" i="1"/>
  <c r="J30" i="1"/>
  <c r="J41" i="1"/>
  <c r="J37" i="1"/>
  <c r="J33" i="1"/>
  <c r="J45" i="1"/>
  <c r="J40" i="1"/>
  <c r="J36" i="1"/>
  <c r="J32" i="1"/>
  <c r="J26" i="1"/>
  <c r="J20" i="1"/>
  <c r="J16" i="1"/>
  <c r="J12" i="1"/>
  <c r="J28" i="1"/>
  <c r="J19" i="1"/>
  <c r="J15" i="1"/>
  <c r="J11" i="1"/>
  <c r="J7" i="1"/>
  <c r="J25" i="1"/>
  <c r="J22" i="1"/>
  <c r="J18" i="1"/>
  <c r="J14" i="1"/>
  <c r="J10" i="1"/>
  <c r="J6" i="1"/>
  <c r="J29" i="1"/>
  <c r="J24" i="1"/>
  <c r="J21" i="1"/>
  <c r="J17" i="1"/>
  <c r="J13" i="1"/>
  <c r="J9" i="1"/>
  <c r="T54" i="1"/>
  <c r="T50" i="1"/>
  <c r="T46" i="1"/>
  <c r="T53" i="1"/>
  <c r="T49" i="1"/>
  <c r="T45" i="1"/>
  <c r="T56" i="1"/>
  <c r="T52" i="1"/>
  <c r="T55" i="1"/>
  <c r="T51" i="1"/>
  <c r="T41" i="1"/>
  <c r="T37" i="1"/>
  <c r="T33" i="1"/>
  <c r="T29" i="1"/>
  <c r="T25" i="1"/>
  <c r="T40" i="1"/>
  <c r="T36" i="1"/>
  <c r="T32" i="1"/>
  <c r="T28" i="1"/>
  <c r="T47" i="1"/>
  <c r="T43" i="1"/>
  <c r="T39" i="1"/>
  <c r="T35" i="1"/>
  <c r="T48" i="1"/>
  <c r="T44" i="1"/>
  <c r="T42" i="1"/>
  <c r="T38" i="1"/>
  <c r="T34" i="1"/>
  <c r="T30" i="1"/>
  <c r="T14" i="1"/>
  <c r="T10" i="1"/>
  <c r="T6" i="1"/>
  <c r="T31" i="1"/>
  <c r="T27" i="1"/>
  <c r="T26" i="1"/>
  <c r="T23" i="1"/>
  <c r="T21" i="1"/>
  <c r="T17" i="1"/>
  <c r="T13" i="1"/>
  <c r="T9" i="1"/>
  <c r="T20" i="1"/>
  <c r="T16" i="1"/>
  <c r="T12" i="1"/>
  <c r="T8" i="1"/>
  <c r="T24" i="1"/>
  <c r="T22" i="1"/>
  <c r="T19" i="1"/>
  <c r="T15" i="1"/>
  <c r="T11" i="1"/>
  <c r="T7" i="1"/>
  <c r="L54" i="1"/>
  <c r="L50" i="1"/>
  <c r="L46" i="1"/>
  <c r="L53" i="1"/>
  <c r="L49" i="1"/>
  <c r="L45" i="1"/>
  <c r="L56" i="1"/>
  <c r="L52" i="1"/>
  <c r="L55" i="1"/>
  <c r="L51" i="1"/>
  <c r="L41" i="1"/>
  <c r="L37" i="1"/>
  <c r="L33" i="1"/>
  <c r="L29" i="1"/>
  <c r="L25" i="1"/>
  <c r="L40" i="1"/>
  <c r="L36" i="1"/>
  <c r="L32" i="1"/>
  <c r="L28" i="1"/>
  <c r="L47" i="1"/>
  <c r="L43" i="1"/>
  <c r="L39" i="1"/>
  <c r="L35" i="1"/>
  <c r="L48" i="1"/>
  <c r="L44" i="1"/>
  <c r="L42" i="1"/>
  <c r="L38" i="1"/>
  <c r="L34" i="1"/>
  <c r="L30" i="1"/>
  <c r="L18" i="1"/>
  <c r="L14" i="1"/>
  <c r="L6" i="1"/>
  <c r="L31" i="1"/>
  <c r="L27" i="1"/>
  <c r="L24" i="1"/>
  <c r="L22" i="1"/>
  <c r="L21" i="1"/>
  <c r="L17" i="1"/>
  <c r="L13" i="1"/>
  <c r="L9" i="1"/>
  <c r="L20" i="1"/>
  <c r="L16" i="1"/>
  <c r="L12" i="1"/>
  <c r="L8" i="1"/>
  <c r="L26" i="1"/>
  <c r="L23" i="1"/>
  <c r="L19" i="1"/>
  <c r="L15" i="1"/>
  <c r="L11" i="1"/>
  <c r="L7" i="1"/>
  <c r="S55" i="1"/>
  <c r="S51" i="1"/>
  <c r="S47" i="1"/>
  <c r="S54" i="1"/>
  <c r="S50" i="1"/>
  <c r="S46" i="1"/>
  <c r="S53" i="1"/>
  <c r="S49" i="1"/>
  <c r="S56" i="1"/>
  <c r="S52" i="1"/>
  <c r="S48" i="1"/>
  <c r="S44" i="1"/>
  <c r="S42" i="1"/>
  <c r="S38" i="1"/>
  <c r="S34" i="1"/>
  <c r="S30" i="1"/>
  <c r="S26" i="1"/>
  <c r="S22" i="1"/>
  <c r="S41" i="1"/>
  <c r="S37" i="1"/>
  <c r="S33" i="1"/>
  <c r="S29" i="1"/>
  <c r="S45" i="1"/>
  <c r="S40" i="1"/>
  <c r="S36" i="1"/>
  <c r="S43" i="1"/>
  <c r="S39" i="1"/>
  <c r="S35" i="1"/>
  <c r="S28" i="1"/>
  <c r="S24" i="1"/>
  <c r="S19" i="1"/>
  <c r="S15" i="1"/>
  <c r="S11" i="1"/>
  <c r="S7" i="1"/>
  <c r="S18" i="1"/>
  <c r="S14" i="1"/>
  <c r="S10" i="1"/>
  <c r="S6" i="1"/>
  <c r="S31" i="1"/>
  <c r="S27" i="1"/>
  <c r="S23" i="1"/>
  <c r="S21" i="1"/>
  <c r="S13" i="1"/>
  <c r="S9" i="1"/>
  <c r="S32" i="1"/>
  <c r="S25" i="1"/>
  <c r="S20" i="1"/>
  <c r="S16" i="1"/>
  <c r="S12" i="1"/>
  <c r="S8" i="1"/>
  <c r="K55" i="1"/>
  <c r="K51" i="1"/>
  <c r="K47" i="1"/>
  <c r="K54" i="1"/>
  <c r="K50" i="1"/>
  <c r="K46" i="1"/>
  <c r="K53" i="1"/>
  <c r="K49" i="1"/>
  <c r="K56" i="1"/>
  <c r="K52" i="1"/>
  <c r="K48" i="1"/>
  <c r="K44" i="1"/>
  <c r="K42" i="1"/>
  <c r="K38" i="1"/>
  <c r="K34" i="1"/>
  <c r="K30" i="1"/>
  <c r="K26" i="1"/>
  <c r="K22" i="1"/>
  <c r="K41" i="1"/>
  <c r="K37" i="1"/>
  <c r="K33" i="1"/>
  <c r="K29" i="1"/>
  <c r="K45" i="1"/>
  <c r="K40" i="1"/>
  <c r="K36" i="1"/>
  <c r="K43" i="1"/>
  <c r="K39" i="1"/>
  <c r="K35" i="1"/>
  <c r="K28" i="1"/>
  <c r="K23" i="1"/>
  <c r="K19" i="1"/>
  <c r="K15" i="1"/>
  <c r="K11" i="1"/>
  <c r="K7" i="1"/>
  <c r="K6" i="1"/>
  <c r="K32" i="1"/>
  <c r="K25" i="1"/>
  <c r="K18" i="1"/>
  <c r="K14" i="1"/>
  <c r="K10" i="1"/>
  <c r="K31" i="1"/>
  <c r="K27" i="1"/>
  <c r="K24" i="1"/>
  <c r="K21" i="1"/>
  <c r="K17" i="1"/>
  <c r="K13" i="1"/>
  <c r="K20" i="1"/>
  <c r="K16" i="1"/>
  <c r="K12" i="1"/>
  <c r="K8" i="1"/>
  <c r="R56" i="1"/>
  <c r="R52" i="1"/>
  <c r="R48" i="1"/>
  <c r="R44" i="1"/>
  <c r="R55" i="1"/>
  <c r="R51" i="1"/>
  <c r="R47" i="1"/>
  <c r="R54" i="1"/>
  <c r="R50" i="1"/>
  <c r="R53" i="1"/>
  <c r="R49" i="1"/>
  <c r="R43" i="1"/>
  <c r="R39" i="1"/>
  <c r="R35" i="1"/>
  <c r="R31" i="1"/>
  <c r="R27" i="1"/>
  <c r="R23" i="1"/>
  <c r="R46" i="1"/>
  <c r="R42" i="1"/>
  <c r="R38" i="1"/>
  <c r="R34" i="1"/>
  <c r="R30" i="1"/>
  <c r="R41" i="1"/>
  <c r="R37" i="1"/>
  <c r="R33" i="1"/>
  <c r="R45" i="1"/>
  <c r="R40" i="1"/>
  <c r="R36" i="1"/>
  <c r="R32" i="1"/>
  <c r="R25" i="1"/>
  <c r="R22" i="1"/>
  <c r="R20" i="1"/>
  <c r="R12" i="1"/>
  <c r="R8" i="1"/>
  <c r="R28" i="1"/>
  <c r="R24" i="1"/>
  <c r="R19" i="1"/>
  <c r="R15" i="1"/>
  <c r="R11" i="1"/>
  <c r="R7" i="1"/>
  <c r="R26" i="1"/>
  <c r="R18" i="1"/>
  <c r="R14" i="1"/>
  <c r="R10" i="1"/>
  <c r="R6" i="1"/>
  <c r="R29" i="1"/>
  <c r="R21" i="1"/>
  <c r="R17" i="1"/>
  <c r="R13" i="1"/>
  <c r="R9" i="1"/>
  <c r="N56" i="1"/>
  <c r="N52" i="1"/>
  <c r="N48" i="1"/>
  <c r="N44" i="1"/>
  <c r="N55" i="1"/>
  <c r="N51" i="1"/>
  <c r="N47" i="1"/>
  <c r="N54" i="1"/>
  <c r="N50" i="1"/>
  <c r="N53" i="1"/>
  <c r="N49" i="1"/>
  <c r="N43" i="1"/>
  <c r="N39" i="1"/>
  <c r="N35" i="1"/>
  <c r="N31" i="1"/>
  <c r="N27" i="1"/>
  <c r="N23" i="1"/>
  <c r="N45" i="1"/>
  <c r="N42" i="1"/>
  <c r="N38" i="1"/>
  <c r="N34" i="1"/>
  <c r="N30" i="1"/>
  <c r="N41" i="1"/>
  <c r="N37" i="1"/>
  <c r="N33" i="1"/>
  <c r="N46" i="1"/>
  <c r="N40" i="1"/>
  <c r="N36" i="1"/>
  <c r="N32" i="1"/>
  <c r="N24" i="1"/>
  <c r="N20" i="1"/>
  <c r="N16" i="1"/>
  <c r="N8" i="1"/>
  <c r="N29" i="1"/>
  <c r="N26" i="1"/>
  <c r="N19" i="1"/>
  <c r="N15" i="1"/>
  <c r="N11" i="1"/>
  <c r="N7" i="1"/>
  <c r="N18" i="1"/>
  <c r="N14" i="1"/>
  <c r="N10" i="1"/>
  <c r="N6" i="1"/>
  <c r="N28" i="1"/>
  <c r="N25" i="1"/>
  <c r="N22" i="1"/>
  <c r="N21" i="1"/>
  <c r="N17" i="1"/>
  <c r="N13" i="1"/>
  <c r="N9" i="1"/>
  <c r="U53" i="1"/>
  <c r="U49" i="1"/>
  <c r="U45" i="1"/>
  <c r="U56" i="1"/>
  <c r="U52" i="1"/>
  <c r="U48" i="1"/>
  <c r="U44" i="1"/>
  <c r="U55" i="1"/>
  <c r="U51" i="1"/>
  <c r="U54" i="1"/>
  <c r="U50" i="1"/>
  <c r="U46" i="1"/>
  <c r="U40" i="1"/>
  <c r="U36" i="1"/>
  <c r="U32" i="1"/>
  <c r="U28" i="1"/>
  <c r="U24" i="1"/>
  <c r="U47" i="1"/>
  <c r="U43" i="1"/>
  <c r="U39" i="1"/>
  <c r="U35" i="1"/>
  <c r="U31" i="1"/>
  <c r="U27" i="1"/>
  <c r="U42" i="1"/>
  <c r="U38" i="1"/>
  <c r="U34" i="1"/>
  <c r="U41" i="1"/>
  <c r="U37" i="1"/>
  <c r="U33" i="1"/>
  <c r="U26" i="1"/>
  <c r="U23" i="1"/>
  <c r="U21" i="1"/>
  <c r="U17" i="1"/>
  <c r="U13" i="1"/>
  <c r="U9" i="1"/>
  <c r="U20" i="1"/>
  <c r="U16" i="1"/>
  <c r="U12" i="1"/>
  <c r="U8" i="1"/>
  <c r="U29" i="1"/>
  <c r="U25" i="1"/>
  <c r="U22" i="1"/>
  <c r="U15" i="1"/>
  <c r="U11" i="1"/>
  <c r="U7" i="1"/>
  <c r="U30" i="1"/>
  <c r="U18" i="1"/>
  <c r="U14" i="1"/>
  <c r="U10" i="1"/>
  <c r="Q53" i="1"/>
  <c r="Q49" i="1"/>
  <c r="Q45" i="1"/>
  <c r="Q56" i="1"/>
  <c r="Q52" i="1"/>
  <c r="Q48" i="1"/>
  <c r="Q44" i="1"/>
  <c r="Q55" i="1"/>
  <c r="Q51" i="1"/>
  <c r="Q54" i="1"/>
  <c r="Q50" i="1"/>
  <c r="Q40" i="1"/>
  <c r="Q36" i="1"/>
  <c r="Q32" i="1"/>
  <c r="Q28" i="1"/>
  <c r="Q24" i="1"/>
  <c r="Q43" i="1"/>
  <c r="Q39" i="1"/>
  <c r="Q35" i="1"/>
  <c r="Q31" i="1"/>
  <c r="Q27" i="1"/>
  <c r="Q46" i="1"/>
  <c r="Q42" i="1"/>
  <c r="Q38" i="1"/>
  <c r="Q34" i="1"/>
  <c r="Q47" i="1"/>
  <c r="Q41" i="1"/>
  <c r="Q37" i="1"/>
  <c r="Q33" i="1"/>
  <c r="Q29" i="1"/>
  <c r="Q21" i="1"/>
  <c r="Q17" i="1"/>
  <c r="Q13" i="1"/>
  <c r="Q9" i="1"/>
  <c r="Q30" i="1"/>
  <c r="Q25" i="1"/>
  <c r="Q22" i="1"/>
  <c r="Q20" i="1"/>
  <c r="Q16" i="1"/>
  <c r="Q12" i="1"/>
  <c r="Q8" i="1"/>
  <c r="Q19" i="1"/>
  <c r="Q11" i="1"/>
  <c r="Q7" i="1"/>
  <c r="Q6" i="1"/>
  <c r="Q26" i="1"/>
  <c r="Q23" i="1"/>
  <c r="Q18" i="1"/>
  <c r="Q14" i="1"/>
  <c r="Q10" i="1"/>
  <c r="M53" i="1"/>
  <c r="M49" i="1"/>
  <c r="M45" i="1"/>
  <c r="M56" i="1"/>
  <c r="M52" i="1"/>
  <c r="M48" i="1"/>
  <c r="M44" i="1"/>
  <c r="M55" i="1"/>
  <c r="M51" i="1"/>
  <c r="M54" i="1"/>
  <c r="M50" i="1"/>
  <c r="M46" i="1"/>
  <c r="M40" i="1"/>
  <c r="M36" i="1"/>
  <c r="M32" i="1"/>
  <c r="M28" i="1"/>
  <c r="M24" i="1"/>
  <c r="M47" i="1"/>
  <c r="M43" i="1"/>
  <c r="M39" i="1"/>
  <c r="M35" i="1"/>
  <c r="M31" i="1"/>
  <c r="M27" i="1"/>
  <c r="M42" i="1"/>
  <c r="M38" i="1"/>
  <c r="M34" i="1"/>
  <c r="M41" i="1"/>
  <c r="M37" i="1"/>
  <c r="M33" i="1"/>
  <c r="M25" i="1"/>
  <c r="M22" i="1"/>
  <c r="M21" i="1"/>
  <c r="M17" i="1"/>
  <c r="M13" i="1"/>
  <c r="M9" i="1"/>
  <c r="M20" i="1"/>
  <c r="M16" i="1"/>
  <c r="M12" i="1"/>
  <c r="M8" i="1"/>
  <c r="M29" i="1"/>
  <c r="M26" i="1"/>
  <c r="M23" i="1"/>
  <c r="M19" i="1"/>
  <c r="M15" i="1"/>
  <c r="M7" i="1"/>
  <c r="M30" i="1"/>
  <c r="M18" i="1"/>
  <c r="M14" i="1"/>
  <c r="M10" i="1"/>
  <c r="M6" i="1"/>
  <c r="I53" i="1"/>
  <c r="I49" i="1"/>
  <c r="I45" i="1"/>
  <c r="I56" i="1"/>
  <c r="I52" i="1"/>
  <c r="I48" i="1"/>
  <c r="I44" i="1"/>
  <c r="I55" i="1"/>
  <c r="I51" i="1"/>
  <c r="I54" i="1"/>
  <c r="I50" i="1"/>
  <c r="I40" i="1"/>
  <c r="I36" i="1"/>
  <c r="I32" i="1"/>
  <c r="I28" i="1"/>
  <c r="I24" i="1"/>
  <c r="I43" i="1"/>
  <c r="I39" i="1"/>
  <c r="I35" i="1"/>
  <c r="I31" i="1"/>
  <c r="I46" i="1"/>
  <c r="I42" i="1"/>
  <c r="I38" i="1"/>
  <c r="I34" i="1"/>
  <c r="I47" i="1"/>
  <c r="I41" i="1"/>
  <c r="I37" i="1"/>
  <c r="I33" i="1"/>
  <c r="I29" i="1"/>
  <c r="I21" i="1"/>
  <c r="I17" i="1"/>
  <c r="I13" i="1"/>
  <c r="I9" i="1"/>
  <c r="I30" i="1"/>
  <c r="I26" i="1"/>
  <c r="I23" i="1"/>
  <c r="I20" i="1"/>
  <c r="I16" i="1"/>
  <c r="I12" i="1"/>
  <c r="I8" i="1"/>
  <c r="I19" i="1"/>
  <c r="I15" i="1"/>
  <c r="I11" i="1"/>
  <c r="I6" i="1"/>
  <c r="I27" i="1"/>
  <c r="I25" i="1"/>
  <c r="I22" i="1"/>
  <c r="I18" i="1"/>
  <c r="I14" i="1"/>
  <c r="I10" i="1"/>
  <c r="BI44" i="1" l="1"/>
  <c r="BI39" i="1"/>
  <c r="BI51" i="1"/>
  <c r="BI41" i="1"/>
  <c r="BI20" i="1"/>
  <c r="BI21" i="1"/>
  <c r="BJ21" i="1"/>
  <c r="BL21" i="1" s="1"/>
  <c r="BI38" i="1"/>
  <c r="BJ38" i="1"/>
  <c r="BL38" i="1" s="1"/>
  <c r="BI31" i="1"/>
  <c r="BJ31" i="1"/>
  <c r="BL31" i="1" s="1"/>
  <c r="BJ9" i="1"/>
  <c r="BL9" i="1" s="1"/>
  <c r="BI9" i="1"/>
  <c r="BI24" i="1"/>
  <c r="BJ24" i="1"/>
  <c r="BL24" i="1" s="1"/>
  <c r="BJ28" i="1"/>
  <c r="BL28" i="1" s="1"/>
  <c r="BI28" i="1"/>
  <c r="BJ33" i="1"/>
  <c r="BL33" i="1" s="1"/>
  <c r="BI33" i="1"/>
  <c r="BI45" i="1"/>
  <c r="BJ45" i="1"/>
  <c r="BL45" i="1" s="1"/>
  <c r="BJ40" i="1"/>
  <c r="BL40" i="1" s="1"/>
  <c r="BI40" i="1"/>
  <c r="BJ8" i="1"/>
  <c r="BL8" i="1" s="1"/>
  <c r="BI8" i="1"/>
  <c r="BI13" i="1"/>
  <c r="BJ13" i="1"/>
  <c r="BL13" i="1" s="1"/>
  <c r="BJ27" i="1"/>
  <c r="BL27" i="1" s="1"/>
  <c r="BI27" i="1"/>
  <c r="BI32" i="1"/>
  <c r="BJ32" i="1"/>
  <c r="BL32" i="1" s="1"/>
  <c r="BI37" i="1"/>
  <c r="BJ37" i="1"/>
  <c r="BL37" i="1" s="1"/>
  <c r="BJ49" i="1"/>
  <c r="BL49" i="1" s="1"/>
  <c r="BI49" i="1"/>
  <c r="BI47" i="1"/>
  <c r="BJ47" i="1"/>
  <c r="BL47" i="1" s="1"/>
  <c r="BJ12" i="1"/>
  <c r="BL12" i="1" s="1"/>
  <c r="BI12" i="1"/>
  <c r="BJ17" i="1"/>
  <c r="BL17" i="1" s="1"/>
  <c r="BI17" i="1"/>
  <c r="BJ34" i="1"/>
  <c r="BL34" i="1" s="1"/>
  <c r="BI34" i="1"/>
  <c r="BJ36" i="1"/>
  <c r="BL36" i="1" s="1"/>
  <c r="BI36" i="1"/>
  <c r="BJ41" i="1"/>
  <c r="BL41" i="1" s="1"/>
  <c r="BI53" i="1"/>
  <c r="BJ53" i="1"/>
  <c r="BL53" i="1" s="1"/>
  <c r="BI16" i="1"/>
  <c r="BJ16" i="1"/>
  <c r="BL16" i="1" s="1"/>
  <c r="BI7" i="1"/>
  <c r="BJ7" i="1"/>
  <c r="BL7" i="1" s="1"/>
  <c r="BJ20" i="1"/>
  <c r="BL20" i="1" s="1"/>
  <c r="BJ10" i="1"/>
  <c r="BL10" i="1" s="1"/>
  <c r="BI10" i="1"/>
  <c r="BJ42" i="1"/>
  <c r="BL42" i="1" s="1"/>
  <c r="BI42" i="1"/>
  <c r="BJ44" i="1"/>
  <c r="BL44" i="1" s="1"/>
  <c r="BJ51" i="1"/>
  <c r="BL51" i="1" s="1"/>
  <c r="BJ50" i="1"/>
  <c r="BL50" i="1" s="1"/>
  <c r="BI50" i="1"/>
  <c r="BJ11" i="1"/>
  <c r="BL11" i="1" s="1"/>
  <c r="BI11" i="1"/>
  <c r="BI23" i="1"/>
  <c r="BJ23" i="1"/>
  <c r="BL23" i="1" s="1"/>
  <c r="BI14" i="1"/>
  <c r="BJ14" i="1"/>
  <c r="BL14" i="1" s="1"/>
  <c r="BJ35" i="1"/>
  <c r="BL35" i="1" s="1"/>
  <c r="BI35" i="1"/>
  <c r="BI48" i="1"/>
  <c r="BJ48" i="1"/>
  <c r="BL48" i="1" s="1"/>
  <c r="BI55" i="1"/>
  <c r="BJ55" i="1"/>
  <c r="BL55" i="1" s="1"/>
  <c r="BI54" i="1"/>
  <c r="BJ54" i="1"/>
  <c r="BL54" i="1" s="1"/>
  <c r="BI46" i="1"/>
  <c r="BJ46" i="1"/>
  <c r="BL46" i="1" s="1"/>
  <c r="BI15" i="1"/>
  <c r="BJ15" i="1"/>
  <c r="BL15" i="1" s="1"/>
  <c r="BJ26" i="1"/>
  <c r="BL26" i="1" s="1"/>
  <c r="BI26" i="1"/>
  <c r="BJ18" i="1"/>
  <c r="BL18" i="1" s="1"/>
  <c r="BI18" i="1"/>
  <c r="BJ39" i="1"/>
  <c r="BL39" i="1" s="1"/>
  <c r="BJ25" i="1"/>
  <c r="BL25" i="1" s="1"/>
  <c r="BI25" i="1"/>
  <c r="BJ52" i="1"/>
  <c r="BL52" i="1" s="1"/>
  <c r="BI52" i="1"/>
  <c r="BJ6" i="1"/>
  <c r="BL6" i="1" s="1"/>
  <c r="BK6" i="1"/>
  <c r="BI6" i="1"/>
  <c r="BJ19" i="1"/>
  <c r="BL19" i="1" s="1"/>
  <c r="BI19" i="1"/>
  <c r="BI30" i="1"/>
  <c r="BJ30" i="1"/>
  <c r="BL30" i="1" s="1"/>
  <c r="BI22" i="1"/>
  <c r="BJ22" i="1"/>
  <c r="BL22" i="1" s="1"/>
  <c r="BJ43" i="1"/>
  <c r="BL43" i="1" s="1"/>
  <c r="BI43" i="1"/>
  <c r="BJ29" i="1"/>
  <c r="BL29" i="1" s="1"/>
  <c r="BI29" i="1"/>
  <c r="BI56" i="1"/>
  <c r="BJ56" i="1"/>
  <c r="BL56" i="1" s="1"/>
  <c r="BK7" i="1"/>
  <c r="BK31" i="1"/>
  <c r="BK20" i="1"/>
  <c r="BK9" i="1"/>
  <c r="BK10" i="1"/>
  <c r="BK24" i="1"/>
  <c r="BK42" i="1"/>
  <c r="BK28" i="1"/>
  <c r="BK44" i="1"/>
  <c r="BK33" i="1"/>
  <c r="BK51" i="1"/>
  <c r="BK45" i="1"/>
  <c r="BK50" i="1"/>
  <c r="BK11" i="1"/>
  <c r="BK8" i="1"/>
  <c r="BK23" i="1"/>
  <c r="BK13" i="1"/>
  <c r="BK14" i="1"/>
  <c r="BK27" i="1"/>
  <c r="BK35" i="1"/>
  <c r="BK32" i="1"/>
  <c r="BK48" i="1"/>
  <c r="BK37" i="1"/>
  <c r="BK55" i="1"/>
  <c r="BK49" i="1"/>
  <c r="BK54" i="1"/>
  <c r="BK15" i="1"/>
  <c r="BK12" i="1"/>
  <c r="BK26" i="1"/>
  <c r="BK17" i="1"/>
  <c r="BK18" i="1"/>
  <c r="BK34" i="1"/>
  <c r="BK39" i="1"/>
  <c r="BK36" i="1"/>
  <c r="BK25" i="1"/>
  <c r="BK41" i="1"/>
  <c r="BK52" i="1"/>
  <c r="BK53" i="1"/>
  <c r="BK19" i="1"/>
  <c r="BK16" i="1"/>
  <c r="BK30" i="1"/>
  <c r="BK21" i="1"/>
  <c r="BK22" i="1"/>
  <c r="BK38" i="1"/>
  <c r="BK43" i="1"/>
  <c r="BK40" i="1"/>
  <c r="BK29" i="1"/>
  <c r="BK47" i="1"/>
  <c r="BK56" i="1"/>
  <c r="BK46" i="1"/>
  <c r="BI58" i="1" l="1"/>
</calcChain>
</file>

<file path=xl/sharedStrings.xml><?xml version="1.0" encoding="utf-8"?>
<sst xmlns="http://schemas.openxmlformats.org/spreadsheetml/2006/main" count="25" uniqueCount="18">
  <si>
    <t>X cord.</t>
  </si>
  <si>
    <t>ısOPen</t>
  </si>
  <si>
    <t>OBJ</t>
  </si>
  <si>
    <t>Total obj</t>
  </si>
  <si>
    <t>How many cities are there?</t>
  </si>
  <si>
    <t>Demand</t>
  </si>
  <si>
    <t>Y cord.</t>
  </si>
  <si>
    <t>p ristiriction</t>
  </si>
  <si>
    <t>p ristriction</t>
  </si>
  <si>
    <t>cities</t>
  </si>
  <si>
    <t>HlookUp</t>
  </si>
  <si>
    <t>Vlookup</t>
  </si>
  <si>
    <t>iteration Number</t>
  </si>
  <si>
    <t>Generation Size</t>
  </si>
  <si>
    <t>#</t>
  </si>
  <si>
    <t>Generetion Counter</t>
  </si>
  <si>
    <t>Best Fit</t>
  </si>
  <si>
    <t>Worst 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</si>
</sst>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4"/>
      <color theme="0"/>
      <name val="Calibri"/>
      <family val="2"/>
      <charset val="16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4" borderId="0" xfId="0" applyFont="1" applyFill="1"/>
    <xf numFmtId="0" fontId="1" fillId="2" borderId="0" xfId="0" applyFont="1" applyFill="1"/>
    <xf numFmtId="0" fontId="0" fillId="5" borderId="0" xfId="0" applyFill="1"/>
    <xf numFmtId="0" fontId="1" fillId="6" borderId="0" xfId="0" applyFont="1" applyFill="1"/>
    <xf numFmtId="164" fontId="0" fillId="3" borderId="0" xfId="0" applyNumberFormat="1" applyFill="1"/>
    <xf numFmtId="0" fontId="3" fillId="7" borderId="0" xfId="0" applyFont="1" applyFill="1" applyAlignment="1">
      <alignment horizontal="center" vertical="center"/>
    </xf>
    <xf numFmtId="0" fontId="0" fillId="10" borderId="0" xfId="0" applyFill="1"/>
    <xf numFmtId="0" fontId="1" fillId="2" borderId="0" xfId="0" applyFont="1" applyFill="1" applyAlignment="1">
      <alignment horizontal="center" vertical="center"/>
    </xf>
    <xf numFmtId="2" fontId="0" fillId="10" borderId="0" xfId="0" applyNumberFormat="1" applyFill="1"/>
    <xf numFmtId="2" fontId="0" fillId="3" borderId="0" xfId="0" applyNumberFormat="1" applyFill="1"/>
    <xf numFmtId="0" fontId="3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3" fillId="7" borderId="0" xfId="0" applyFont="1" applyFill="1" applyAlignment="1">
      <alignment horizontal="center" vertical="center"/>
    </xf>
  </cellXfs>
  <cellStyles count="1">
    <cellStyle name="Normal" xfId="0" builtinId="0"/>
  </cellStyles>
  <dxfs count="7"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Values</c:v>
          </c:tx>
          <c:spPr>
            <a:ln w="19050">
              <a:noFill/>
            </a:ln>
          </c:spPr>
          <c:xVal>
            <c:numRef>
              <c:f>'Prepare Sheet'!$C$14:$C$51</c:f>
              <c:numCache>
                <c:formatCode>General</c:formatCode>
                <c:ptCount val="38"/>
                <c:pt idx="0">
                  <c:v>37</c:v>
                </c:pt>
                <c:pt idx="1">
                  <c:v>49</c:v>
                </c:pt>
                <c:pt idx="2">
                  <c:v>52</c:v>
                </c:pt>
                <c:pt idx="3">
                  <c:v>20</c:v>
                </c:pt>
                <c:pt idx="4">
                  <c:v>40</c:v>
                </c:pt>
                <c:pt idx="5">
                  <c:v>21</c:v>
                </c:pt>
                <c:pt idx="6">
                  <c:v>17</c:v>
                </c:pt>
                <c:pt idx="7">
                  <c:v>31</c:v>
                </c:pt>
                <c:pt idx="8">
                  <c:v>52</c:v>
                </c:pt>
                <c:pt idx="9">
                  <c:v>51</c:v>
                </c:pt>
                <c:pt idx="10">
                  <c:v>42</c:v>
                </c:pt>
                <c:pt idx="11">
                  <c:v>31</c:v>
                </c:pt>
                <c:pt idx="12">
                  <c:v>5</c:v>
                </c:pt>
                <c:pt idx="13">
                  <c:v>12</c:v>
                </c:pt>
                <c:pt idx="14">
                  <c:v>36</c:v>
                </c:pt>
                <c:pt idx="15">
                  <c:v>52</c:v>
                </c:pt>
                <c:pt idx="16">
                  <c:v>27</c:v>
                </c:pt>
                <c:pt idx="17">
                  <c:v>17</c:v>
                </c:pt>
                <c:pt idx="18">
                  <c:v>13</c:v>
                </c:pt>
                <c:pt idx="19">
                  <c:v>57</c:v>
                </c:pt>
                <c:pt idx="20">
                  <c:v>62</c:v>
                </c:pt>
                <c:pt idx="21">
                  <c:v>42</c:v>
                </c:pt>
                <c:pt idx="22">
                  <c:v>16</c:v>
                </c:pt>
                <c:pt idx="23">
                  <c:v>8</c:v>
                </c:pt>
                <c:pt idx="24">
                  <c:v>7</c:v>
                </c:pt>
                <c:pt idx="25">
                  <c:v>27</c:v>
                </c:pt>
                <c:pt idx="26">
                  <c:v>30</c:v>
                </c:pt>
                <c:pt idx="27">
                  <c:v>43</c:v>
                </c:pt>
                <c:pt idx="28">
                  <c:v>58</c:v>
                </c:pt>
                <c:pt idx="29">
                  <c:v>58</c:v>
                </c:pt>
                <c:pt idx="30">
                  <c:v>37</c:v>
                </c:pt>
                <c:pt idx="31">
                  <c:v>38</c:v>
                </c:pt>
                <c:pt idx="32">
                  <c:v>46</c:v>
                </c:pt>
                <c:pt idx="33">
                  <c:v>61</c:v>
                </c:pt>
                <c:pt idx="34">
                  <c:v>62</c:v>
                </c:pt>
                <c:pt idx="35">
                  <c:v>63</c:v>
                </c:pt>
                <c:pt idx="36">
                  <c:v>32</c:v>
                </c:pt>
                <c:pt idx="37">
                  <c:v>45</c:v>
                </c:pt>
              </c:numCache>
            </c:numRef>
          </c:xVal>
          <c:yVal>
            <c:numRef>
              <c:f>'Prepare Sheet'!$D$14:$D$51</c:f>
              <c:numCache>
                <c:formatCode>General</c:formatCode>
                <c:ptCount val="38"/>
                <c:pt idx="0">
                  <c:v>52</c:v>
                </c:pt>
                <c:pt idx="1">
                  <c:v>49</c:v>
                </c:pt>
                <c:pt idx="2">
                  <c:v>64</c:v>
                </c:pt>
                <c:pt idx="3">
                  <c:v>26</c:v>
                </c:pt>
                <c:pt idx="4">
                  <c:v>30</c:v>
                </c:pt>
                <c:pt idx="5">
                  <c:v>47</c:v>
                </c:pt>
                <c:pt idx="6">
                  <c:v>63</c:v>
                </c:pt>
                <c:pt idx="7">
                  <c:v>62</c:v>
                </c:pt>
                <c:pt idx="8">
                  <c:v>33</c:v>
                </c:pt>
                <c:pt idx="9">
                  <c:v>21</c:v>
                </c:pt>
                <c:pt idx="10">
                  <c:v>41</c:v>
                </c:pt>
                <c:pt idx="11">
                  <c:v>32</c:v>
                </c:pt>
                <c:pt idx="12">
                  <c:v>25</c:v>
                </c:pt>
                <c:pt idx="13">
                  <c:v>42</c:v>
                </c:pt>
                <c:pt idx="14">
                  <c:v>16</c:v>
                </c:pt>
                <c:pt idx="15">
                  <c:v>41</c:v>
                </c:pt>
                <c:pt idx="16">
                  <c:v>23</c:v>
                </c:pt>
                <c:pt idx="17">
                  <c:v>33</c:v>
                </c:pt>
                <c:pt idx="18">
                  <c:v>13</c:v>
                </c:pt>
                <c:pt idx="19">
                  <c:v>58</c:v>
                </c:pt>
                <c:pt idx="20">
                  <c:v>42</c:v>
                </c:pt>
                <c:pt idx="21">
                  <c:v>57</c:v>
                </c:pt>
                <c:pt idx="22">
                  <c:v>57</c:v>
                </c:pt>
                <c:pt idx="23">
                  <c:v>52</c:v>
                </c:pt>
                <c:pt idx="24">
                  <c:v>38</c:v>
                </c:pt>
                <c:pt idx="25">
                  <c:v>68</c:v>
                </c:pt>
                <c:pt idx="26">
                  <c:v>48</c:v>
                </c:pt>
                <c:pt idx="27">
                  <c:v>67</c:v>
                </c:pt>
                <c:pt idx="28">
                  <c:v>48</c:v>
                </c:pt>
                <c:pt idx="29">
                  <c:v>27</c:v>
                </c:pt>
                <c:pt idx="30">
                  <c:v>69</c:v>
                </c:pt>
                <c:pt idx="31">
                  <c:v>46</c:v>
                </c:pt>
                <c:pt idx="32">
                  <c:v>10</c:v>
                </c:pt>
                <c:pt idx="33">
                  <c:v>33</c:v>
                </c:pt>
                <c:pt idx="34">
                  <c:v>63</c:v>
                </c:pt>
                <c:pt idx="35">
                  <c:v>69</c:v>
                </c:pt>
                <c:pt idx="36">
                  <c:v>22</c:v>
                </c:pt>
                <c:pt idx="37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C9-4A09-AA39-860939625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174600"/>
        <c:axId val="520180832"/>
      </c:scatterChart>
      <c:valAx>
        <c:axId val="520174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0180832"/>
        <c:crosses val="autoZero"/>
        <c:crossBetween val="midCat"/>
      </c:valAx>
      <c:valAx>
        <c:axId val="52018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01746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Model!$BO$6:$BO$85</c:f>
              <c:numCache>
                <c:formatCode>General</c:formatCode>
                <c:ptCount val="80"/>
                <c:pt idx="0">
                  <c:v>8394.1145295333736</c:v>
                </c:pt>
                <c:pt idx="1">
                  <c:v>8394.1145295333736</c:v>
                </c:pt>
                <c:pt idx="2">
                  <c:v>8394.1145295333736</c:v>
                </c:pt>
                <c:pt idx="3">
                  <c:v>8394.1145295333736</c:v>
                </c:pt>
                <c:pt idx="4">
                  <c:v>8394.1145295333736</c:v>
                </c:pt>
                <c:pt idx="5">
                  <c:v>8394.1145295333736</c:v>
                </c:pt>
                <c:pt idx="6">
                  <c:v>8394.1145295333736</c:v>
                </c:pt>
                <c:pt idx="7">
                  <c:v>8394.1145295333736</c:v>
                </c:pt>
                <c:pt idx="8">
                  <c:v>8358.2753268247379</c:v>
                </c:pt>
                <c:pt idx="9">
                  <c:v>8358.2753268247379</c:v>
                </c:pt>
                <c:pt idx="10">
                  <c:v>8344.0799102754736</c:v>
                </c:pt>
                <c:pt idx="11">
                  <c:v>8344.0799102754736</c:v>
                </c:pt>
                <c:pt idx="12">
                  <c:v>8344.0799102754736</c:v>
                </c:pt>
                <c:pt idx="13">
                  <c:v>8344.0799102754736</c:v>
                </c:pt>
                <c:pt idx="14">
                  <c:v>8221.1652185553921</c:v>
                </c:pt>
                <c:pt idx="15">
                  <c:v>8171.7830709678692</c:v>
                </c:pt>
                <c:pt idx="16">
                  <c:v>8171.7830709678692</c:v>
                </c:pt>
                <c:pt idx="17">
                  <c:v>8171.7830709678692</c:v>
                </c:pt>
                <c:pt idx="18">
                  <c:v>8029.4948154860022</c:v>
                </c:pt>
                <c:pt idx="19">
                  <c:v>8029.4948154860022</c:v>
                </c:pt>
                <c:pt idx="20">
                  <c:v>8029.4948154860022</c:v>
                </c:pt>
                <c:pt idx="21">
                  <c:v>7779.2126269355431</c:v>
                </c:pt>
                <c:pt idx="22">
                  <c:v>7779.2126269355431</c:v>
                </c:pt>
                <c:pt idx="23">
                  <c:v>7779.2126269355431</c:v>
                </c:pt>
                <c:pt idx="24">
                  <c:v>7779.2126269355431</c:v>
                </c:pt>
                <c:pt idx="25">
                  <c:v>7779.2126269355431</c:v>
                </c:pt>
                <c:pt idx="26">
                  <c:v>7779.2126269355431</c:v>
                </c:pt>
                <c:pt idx="27">
                  <c:v>7779.2126269355431</c:v>
                </c:pt>
                <c:pt idx="28">
                  <c:v>7779.2126269355431</c:v>
                </c:pt>
                <c:pt idx="29">
                  <c:v>7779.2126269355431</c:v>
                </c:pt>
                <c:pt idx="30">
                  <c:v>7779.2126269355431</c:v>
                </c:pt>
                <c:pt idx="31">
                  <c:v>7779.2126269355431</c:v>
                </c:pt>
                <c:pt idx="32">
                  <c:v>7779.2126269355431</c:v>
                </c:pt>
                <c:pt idx="33">
                  <c:v>7779.2126269355431</c:v>
                </c:pt>
                <c:pt idx="34">
                  <c:v>7779.2126269355431</c:v>
                </c:pt>
                <c:pt idx="35">
                  <c:v>7779.2126269355431</c:v>
                </c:pt>
                <c:pt idx="36">
                  <c:v>7779.2126269355431</c:v>
                </c:pt>
                <c:pt idx="37">
                  <c:v>7779.2126269355431</c:v>
                </c:pt>
                <c:pt idx="38">
                  <c:v>7779.2126269355431</c:v>
                </c:pt>
                <c:pt idx="39">
                  <c:v>7721.6563986239207</c:v>
                </c:pt>
                <c:pt idx="40">
                  <c:v>7721.6563986239207</c:v>
                </c:pt>
                <c:pt idx="41">
                  <c:v>7721.6563986239207</c:v>
                </c:pt>
                <c:pt idx="42">
                  <c:v>7721.6563986239207</c:v>
                </c:pt>
                <c:pt idx="43">
                  <c:v>7721.6563986239207</c:v>
                </c:pt>
                <c:pt idx="44">
                  <c:v>7721.6563986239207</c:v>
                </c:pt>
                <c:pt idx="45">
                  <c:v>7721.6563986239207</c:v>
                </c:pt>
                <c:pt idx="46">
                  <c:v>7721.6563986239207</c:v>
                </c:pt>
                <c:pt idx="47">
                  <c:v>7721.6563986239207</c:v>
                </c:pt>
                <c:pt idx="48">
                  <c:v>7721.6563986239207</c:v>
                </c:pt>
                <c:pt idx="49">
                  <c:v>7721.6563986239207</c:v>
                </c:pt>
                <c:pt idx="50">
                  <c:v>7721.6563986239207</c:v>
                </c:pt>
                <c:pt idx="51">
                  <c:v>7721.6563986239207</c:v>
                </c:pt>
                <c:pt idx="52">
                  <c:v>7721.6563986239207</c:v>
                </c:pt>
                <c:pt idx="53">
                  <c:v>7721.6563986239207</c:v>
                </c:pt>
                <c:pt idx="54">
                  <c:v>7721.6563986239207</c:v>
                </c:pt>
                <c:pt idx="55">
                  <c:v>7721.6563986239207</c:v>
                </c:pt>
                <c:pt idx="56">
                  <c:v>7721.6563986239207</c:v>
                </c:pt>
                <c:pt idx="57">
                  <c:v>7721.6563986239207</c:v>
                </c:pt>
                <c:pt idx="58">
                  <c:v>7721.6563986239207</c:v>
                </c:pt>
                <c:pt idx="59">
                  <c:v>7721.6563986239207</c:v>
                </c:pt>
                <c:pt idx="60">
                  <c:v>7721.6563986239207</c:v>
                </c:pt>
                <c:pt idx="61">
                  <c:v>7721.6563986239207</c:v>
                </c:pt>
                <c:pt idx="62">
                  <c:v>7721.6563986239207</c:v>
                </c:pt>
                <c:pt idx="63">
                  <c:v>7721.6563986239207</c:v>
                </c:pt>
                <c:pt idx="64">
                  <c:v>7721.6563986239207</c:v>
                </c:pt>
                <c:pt idx="65">
                  <c:v>7721.6563986239207</c:v>
                </c:pt>
                <c:pt idx="66">
                  <c:v>7721.6563986239207</c:v>
                </c:pt>
                <c:pt idx="67">
                  <c:v>7721.6563986239207</c:v>
                </c:pt>
                <c:pt idx="68">
                  <c:v>7721.6563986239207</c:v>
                </c:pt>
                <c:pt idx="69">
                  <c:v>7721.6563986239207</c:v>
                </c:pt>
                <c:pt idx="70">
                  <c:v>7721.6563986239207</c:v>
                </c:pt>
                <c:pt idx="71">
                  <c:v>7721.6563986239207</c:v>
                </c:pt>
                <c:pt idx="72">
                  <c:v>7721.6563986239207</c:v>
                </c:pt>
                <c:pt idx="73">
                  <c:v>7721.6563986239207</c:v>
                </c:pt>
                <c:pt idx="74">
                  <c:v>7721.6563986239207</c:v>
                </c:pt>
                <c:pt idx="75">
                  <c:v>7721.6563986239207</c:v>
                </c:pt>
                <c:pt idx="76">
                  <c:v>7721.6563986239207</c:v>
                </c:pt>
                <c:pt idx="77">
                  <c:v>7721.6563986239207</c:v>
                </c:pt>
                <c:pt idx="78">
                  <c:v>7721.6563986239207</c:v>
                </c:pt>
                <c:pt idx="79">
                  <c:v>7721.6563986239207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64-4331-AEE4-7FA44E9AA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076616"/>
        <c:axId val="400072024"/>
      </c:lineChart>
      <c:catAx>
        <c:axId val="400076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400072024"/>
        <c:crosses val="autoZero"/>
        <c:auto val="1"/>
        <c:lblAlgn val="ctr"/>
        <c:lblOffset val="100"/>
        <c:noMultiLvlLbl val="0"/>
      </c:catAx>
      <c:valAx>
        <c:axId val="40007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40007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6169988-8874-4D26-BE42-550BAF769338}">
  <sheetPr codeName="Chart5"/>
  <sheetViews>
    <sheetView zoomScale="7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114300</xdr:rowOff>
        </xdr:from>
        <xdr:to>
          <xdr:col>3</xdr:col>
          <xdr:colOff>447675</xdr:colOff>
          <xdr:row>8</xdr:row>
          <xdr:rowOff>85725</xdr:rowOff>
        </xdr:to>
        <xdr:sp macro="" textlink="">
          <xdr:nvSpPr>
            <xdr:cNvPr id="1025" name="starting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9</xdr:row>
          <xdr:rowOff>28575</xdr:rowOff>
        </xdr:from>
        <xdr:to>
          <xdr:col>3</xdr:col>
          <xdr:colOff>400050</xdr:colOff>
          <xdr:row>10</xdr:row>
          <xdr:rowOff>142875</xdr:rowOff>
        </xdr:to>
        <xdr:sp macro="" textlink="">
          <xdr:nvSpPr>
            <xdr:cNvPr id="1026" name="control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0</xdr:row>
          <xdr:rowOff>133350</xdr:rowOff>
        </xdr:from>
        <xdr:to>
          <xdr:col>6</xdr:col>
          <xdr:colOff>123825</xdr:colOff>
          <xdr:row>3</xdr:row>
          <xdr:rowOff>57150</xdr:rowOff>
        </xdr:to>
        <xdr:sp macro="" textlink="">
          <xdr:nvSpPr>
            <xdr:cNvPr id="3073" name="Sta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55</xdr:col>
      <xdr:colOff>204787</xdr:colOff>
      <xdr:row>5</xdr:row>
      <xdr:rowOff>19050</xdr:rowOff>
    </xdr:from>
    <xdr:to>
      <xdr:col>63</xdr:col>
      <xdr:colOff>557212</xdr:colOff>
      <xdr:row>19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C1FB65-8E77-41C6-ADE9-6CBF0E9FF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ords" displayName="Coords" ref="A5:E56" totalsRowShown="0" headerRowDxfId="6" dataDxfId="5">
  <autoFilter ref="A5:E56" xr:uid="{00000000-0009-0000-0100-000001000000}"/>
  <tableColumns count="5">
    <tableColumn id="1" xr3:uid="{00000000-0010-0000-0000-000001000000}" name="#" dataDxfId="4"/>
    <tableColumn id="2" xr3:uid="{00000000-0010-0000-0000-000002000000}" name="Demand" dataDxfId="3"/>
    <tableColumn id="3" xr3:uid="{00000000-0010-0000-0000-000003000000}" name="X cord." dataDxfId="2"/>
    <tableColumn id="4" xr3:uid="{00000000-0010-0000-0000-000004000000}" name="Y cord." dataDxfId="1"/>
    <tableColumn id="5" xr3:uid="{00000000-0010-0000-0000-000005000000}" name="ısOPe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48576"/>
  <sheetViews>
    <sheetView workbookViewId="0">
      <selection activeCell="G14" sqref="G14"/>
    </sheetView>
  </sheetViews>
  <sheetFormatPr defaultColWidth="9.140625" defaultRowHeight="15" x14ac:dyDescent="0.25"/>
  <cols>
    <col min="1" max="16381" width="9.140625" customWidth="1"/>
  </cols>
  <sheetData>
    <row r="1" spans="1:4" x14ac:dyDescent="0.25">
      <c r="A1" s="12" t="s">
        <v>4</v>
      </c>
      <c r="B1" s="12"/>
      <c r="C1" s="13">
        <v>51</v>
      </c>
      <c r="D1" s="13"/>
    </row>
    <row r="2" spans="1:4" x14ac:dyDescent="0.25">
      <c r="A2" s="12"/>
      <c r="B2" s="12"/>
      <c r="C2" s="13"/>
      <c r="D2" s="13"/>
    </row>
    <row r="3" spans="1:4" x14ac:dyDescent="0.25">
      <c r="A3" s="12"/>
      <c r="B3" s="12"/>
      <c r="C3" s="13"/>
      <c r="D3" s="13"/>
    </row>
    <row r="4" spans="1:4" x14ac:dyDescent="0.25">
      <c r="A4" s="12" t="s">
        <v>8</v>
      </c>
      <c r="B4" s="12"/>
      <c r="C4" s="13">
        <v>3</v>
      </c>
      <c r="D4" s="13"/>
    </row>
    <row r="5" spans="1:4" ht="15" customHeight="1" x14ac:dyDescent="0.25">
      <c r="A5" s="12"/>
      <c r="B5" s="12"/>
      <c r="C5" s="13"/>
      <c r="D5" s="13"/>
    </row>
    <row r="6" spans="1:4" x14ac:dyDescent="0.25">
      <c r="A6" s="12"/>
      <c r="B6" s="12"/>
      <c r="C6" s="13"/>
      <c r="D6" s="13"/>
    </row>
    <row r="13" spans="1:4" x14ac:dyDescent="0.25">
      <c r="A13" t="s">
        <v>14</v>
      </c>
      <c r="B13" t="s">
        <v>5</v>
      </c>
      <c r="C13" t="s">
        <v>0</v>
      </c>
      <c r="D13" t="s">
        <v>6</v>
      </c>
    </row>
    <row r="14" spans="1:4" x14ac:dyDescent="0.25">
      <c r="A14">
        <v>1</v>
      </c>
      <c r="B14">
        <v>24</v>
      </c>
      <c r="C14">
        <v>37</v>
      </c>
      <c r="D14">
        <v>52</v>
      </c>
    </row>
    <row r="15" spans="1:4" x14ac:dyDescent="0.25">
      <c r="A15">
        <v>2</v>
      </c>
      <c r="B15">
        <v>3</v>
      </c>
      <c r="C15">
        <v>49</v>
      </c>
      <c r="D15">
        <v>49</v>
      </c>
    </row>
    <row r="16" spans="1:4" x14ac:dyDescent="0.25">
      <c r="A16">
        <v>3</v>
      </c>
      <c r="B16">
        <v>1</v>
      </c>
      <c r="C16">
        <v>52</v>
      </c>
      <c r="D16">
        <v>64</v>
      </c>
    </row>
    <row r="17" spans="1:4" x14ac:dyDescent="0.25">
      <c r="A17">
        <v>4</v>
      </c>
      <c r="B17">
        <v>12</v>
      </c>
      <c r="C17">
        <v>20</v>
      </c>
      <c r="D17">
        <v>26</v>
      </c>
    </row>
    <row r="18" spans="1:4" x14ac:dyDescent="0.25">
      <c r="A18">
        <v>5</v>
      </c>
      <c r="B18">
        <v>4</v>
      </c>
      <c r="C18">
        <v>40</v>
      </c>
      <c r="D18">
        <v>30</v>
      </c>
    </row>
    <row r="19" spans="1:4" x14ac:dyDescent="0.25">
      <c r="A19">
        <v>6</v>
      </c>
      <c r="B19">
        <v>17</v>
      </c>
      <c r="C19">
        <v>21</v>
      </c>
      <c r="D19">
        <v>47</v>
      </c>
    </row>
    <row r="20" spans="1:4" x14ac:dyDescent="0.25">
      <c r="A20">
        <v>7</v>
      </c>
      <c r="B20">
        <v>14</v>
      </c>
      <c r="C20">
        <v>17</v>
      </c>
      <c r="D20">
        <v>63</v>
      </c>
    </row>
    <row r="21" spans="1:4" x14ac:dyDescent="0.25">
      <c r="A21">
        <v>8</v>
      </c>
      <c r="B21">
        <v>23</v>
      </c>
      <c r="C21">
        <v>31</v>
      </c>
      <c r="D21">
        <v>62</v>
      </c>
    </row>
    <row r="22" spans="1:4" x14ac:dyDescent="0.25">
      <c r="A22">
        <v>9</v>
      </c>
      <c r="B22">
        <v>8</v>
      </c>
      <c r="C22">
        <v>52</v>
      </c>
      <c r="D22">
        <v>33</v>
      </c>
    </row>
    <row r="23" spans="1:4" x14ac:dyDescent="0.25">
      <c r="A23">
        <v>10</v>
      </c>
      <c r="B23">
        <v>15</v>
      </c>
      <c r="C23">
        <v>51</v>
      </c>
      <c r="D23">
        <v>21</v>
      </c>
    </row>
    <row r="24" spans="1:4" x14ac:dyDescent="0.25">
      <c r="A24">
        <v>11</v>
      </c>
      <c r="B24">
        <v>7</v>
      </c>
      <c r="C24">
        <v>42</v>
      </c>
      <c r="D24">
        <v>41</v>
      </c>
    </row>
    <row r="25" spans="1:4" x14ac:dyDescent="0.25">
      <c r="A25">
        <v>12</v>
      </c>
      <c r="B25">
        <v>20</v>
      </c>
      <c r="C25">
        <v>31</v>
      </c>
      <c r="D25">
        <v>32</v>
      </c>
    </row>
    <row r="26" spans="1:4" x14ac:dyDescent="0.25">
      <c r="A26">
        <v>13</v>
      </c>
      <c r="B26">
        <v>5</v>
      </c>
      <c r="C26">
        <v>5</v>
      </c>
      <c r="D26">
        <v>25</v>
      </c>
    </row>
    <row r="27" spans="1:4" x14ac:dyDescent="0.25">
      <c r="A27">
        <v>14</v>
      </c>
      <c r="B27">
        <v>29</v>
      </c>
      <c r="C27">
        <v>12</v>
      </c>
      <c r="D27">
        <v>42</v>
      </c>
    </row>
    <row r="28" spans="1:4" x14ac:dyDescent="0.25">
      <c r="A28">
        <v>15</v>
      </c>
      <c r="B28">
        <v>13</v>
      </c>
      <c r="C28">
        <v>36</v>
      </c>
      <c r="D28">
        <v>16</v>
      </c>
    </row>
    <row r="29" spans="1:4" x14ac:dyDescent="0.25">
      <c r="A29">
        <v>16</v>
      </c>
      <c r="B29">
        <v>14</v>
      </c>
      <c r="C29">
        <v>52</v>
      </c>
      <c r="D29">
        <v>41</v>
      </c>
    </row>
    <row r="30" spans="1:4" x14ac:dyDescent="0.25">
      <c r="A30">
        <v>17</v>
      </c>
      <c r="B30">
        <v>16</v>
      </c>
      <c r="C30">
        <v>27</v>
      </c>
      <c r="D30">
        <v>23</v>
      </c>
    </row>
    <row r="31" spans="1:4" x14ac:dyDescent="0.25">
      <c r="A31">
        <v>18</v>
      </c>
      <c r="B31">
        <v>17</v>
      </c>
      <c r="C31">
        <v>17</v>
      </c>
      <c r="D31">
        <v>33</v>
      </c>
    </row>
    <row r="32" spans="1:4" x14ac:dyDescent="0.25">
      <c r="A32">
        <v>19</v>
      </c>
      <c r="B32">
        <v>11</v>
      </c>
      <c r="C32">
        <v>13</v>
      </c>
      <c r="D32">
        <v>13</v>
      </c>
    </row>
    <row r="33" spans="1:4" x14ac:dyDescent="0.25">
      <c r="A33">
        <v>20</v>
      </c>
      <c r="B33">
        <v>16</v>
      </c>
      <c r="C33">
        <v>57</v>
      </c>
      <c r="D33">
        <v>58</v>
      </c>
    </row>
    <row r="34" spans="1:4" x14ac:dyDescent="0.25">
      <c r="A34">
        <v>21</v>
      </c>
      <c r="B34">
        <v>6</v>
      </c>
      <c r="C34">
        <v>62</v>
      </c>
      <c r="D34">
        <v>42</v>
      </c>
    </row>
    <row r="35" spans="1:4" x14ac:dyDescent="0.25">
      <c r="A35">
        <v>22</v>
      </c>
      <c r="B35">
        <v>20</v>
      </c>
      <c r="C35">
        <v>42</v>
      </c>
      <c r="D35">
        <v>57</v>
      </c>
    </row>
    <row r="36" spans="1:4" x14ac:dyDescent="0.25">
      <c r="A36">
        <v>23</v>
      </c>
      <c r="B36">
        <v>12</v>
      </c>
      <c r="C36">
        <v>16</v>
      </c>
      <c r="D36">
        <v>57</v>
      </c>
    </row>
    <row r="37" spans="1:4" x14ac:dyDescent="0.25">
      <c r="A37">
        <v>24</v>
      </c>
      <c r="B37">
        <v>7</v>
      </c>
      <c r="C37">
        <v>8</v>
      </c>
      <c r="D37">
        <v>52</v>
      </c>
    </row>
    <row r="38" spans="1:4" x14ac:dyDescent="0.25">
      <c r="A38">
        <v>25</v>
      </c>
      <c r="B38">
        <v>2</v>
      </c>
      <c r="C38">
        <v>7</v>
      </c>
      <c r="D38">
        <v>38</v>
      </c>
    </row>
    <row r="39" spans="1:4" x14ac:dyDescent="0.25">
      <c r="A39">
        <v>26</v>
      </c>
      <c r="B39">
        <v>29</v>
      </c>
      <c r="C39">
        <v>27</v>
      </c>
      <c r="D39">
        <v>68</v>
      </c>
    </row>
    <row r="40" spans="1:4" x14ac:dyDescent="0.25">
      <c r="A40">
        <v>27</v>
      </c>
      <c r="B40">
        <v>4</v>
      </c>
      <c r="C40">
        <v>30</v>
      </c>
      <c r="D40">
        <v>48</v>
      </c>
    </row>
    <row r="41" spans="1:4" x14ac:dyDescent="0.25">
      <c r="A41">
        <v>28</v>
      </c>
      <c r="B41">
        <v>4</v>
      </c>
      <c r="C41">
        <v>43</v>
      </c>
      <c r="D41">
        <v>67</v>
      </c>
    </row>
    <row r="42" spans="1:4" x14ac:dyDescent="0.25">
      <c r="A42">
        <v>29</v>
      </c>
      <c r="B42">
        <v>25</v>
      </c>
      <c r="C42">
        <v>58</v>
      </c>
      <c r="D42">
        <v>48</v>
      </c>
    </row>
    <row r="43" spans="1:4" x14ac:dyDescent="0.25">
      <c r="A43">
        <v>30</v>
      </c>
      <c r="B43">
        <v>19</v>
      </c>
      <c r="C43">
        <v>58</v>
      </c>
      <c r="D43">
        <v>27</v>
      </c>
    </row>
    <row r="44" spans="1:4" x14ac:dyDescent="0.25">
      <c r="A44">
        <v>31</v>
      </c>
      <c r="B44">
        <v>22</v>
      </c>
      <c r="C44">
        <v>37</v>
      </c>
      <c r="D44">
        <v>69</v>
      </c>
    </row>
    <row r="45" spans="1:4" x14ac:dyDescent="0.25">
      <c r="A45">
        <v>32</v>
      </c>
      <c r="B45">
        <v>11</v>
      </c>
      <c r="C45">
        <v>38</v>
      </c>
      <c r="D45">
        <v>46</v>
      </c>
    </row>
    <row r="46" spans="1:4" x14ac:dyDescent="0.25">
      <c r="A46">
        <v>33</v>
      </c>
      <c r="B46">
        <v>23</v>
      </c>
      <c r="C46">
        <v>46</v>
      </c>
      <c r="D46">
        <v>10</v>
      </c>
    </row>
    <row r="47" spans="1:4" x14ac:dyDescent="0.25">
      <c r="A47">
        <v>34</v>
      </c>
      <c r="B47">
        <v>13</v>
      </c>
      <c r="C47">
        <v>61</v>
      </c>
      <c r="D47">
        <v>33</v>
      </c>
    </row>
    <row r="48" spans="1:4" x14ac:dyDescent="0.25">
      <c r="A48">
        <v>35</v>
      </c>
      <c r="B48">
        <v>16</v>
      </c>
      <c r="C48">
        <v>62</v>
      </c>
      <c r="D48">
        <v>63</v>
      </c>
    </row>
    <row r="49" spans="1:4" x14ac:dyDescent="0.25">
      <c r="A49">
        <v>36</v>
      </c>
      <c r="B49">
        <v>9</v>
      </c>
      <c r="C49">
        <v>63</v>
      </c>
      <c r="D49">
        <v>69</v>
      </c>
    </row>
    <row r="50" spans="1:4" x14ac:dyDescent="0.25">
      <c r="A50">
        <v>37</v>
      </c>
      <c r="B50">
        <v>12</v>
      </c>
      <c r="C50">
        <v>32</v>
      </c>
      <c r="D50">
        <v>22</v>
      </c>
    </row>
    <row r="51" spans="1:4" x14ac:dyDescent="0.25">
      <c r="A51">
        <v>38</v>
      </c>
      <c r="B51">
        <v>15</v>
      </c>
      <c r="C51">
        <v>45</v>
      </c>
      <c r="D51">
        <v>35</v>
      </c>
    </row>
    <row r="52" spans="1:4" x14ac:dyDescent="0.25">
      <c r="A52">
        <v>39</v>
      </c>
      <c r="B52">
        <v>3</v>
      </c>
      <c r="C52">
        <v>59</v>
      </c>
      <c r="D52">
        <v>15</v>
      </c>
    </row>
    <row r="53" spans="1:4" x14ac:dyDescent="0.25">
      <c r="A53">
        <v>40</v>
      </c>
      <c r="B53">
        <v>5</v>
      </c>
      <c r="C53">
        <v>5</v>
      </c>
      <c r="D53">
        <v>6</v>
      </c>
    </row>
    <row r="54" spans="1:4" x14ac:dyDescent="0.25">
      <c r="A54">
        <v>41</v>
      </c>
      <c r="B54">
        <v>21</v>
      </c>
      <c r="C54">
        <v>10</v>
      </c>
      <c r="D54">
        <v>17</v>
      </c>
    </row>
    <row r="55" spans="1:4" x14ac:dyDescent="0.25">
      <c r="A55">
        <v>42</v>
      </c>
      <c r="B55">
        <v>29</v>
      </c>
      <c r="C55">
        <v>21</v>
      </c>
      <c r="D55">
        <v>10</v>
      </c>
    </row>
    <row r="56" spans="1:4" x14ac:dyDescent="0.25">
      <c r="A56">
        <v>43</v>
      </c>
      <c r="B56">
        <v>4</v>
      </c>
      <c r="C56">
        <v>5</v>
      </c>
      <c r="D56">
        <v>64</v>
      </c>
    </row>
    <row r="57" spans="1:4" x14ac:dyDescent="0.25">
      <c r="A57">
        <v>44</v>
      </c>
      <c r="B57">
        <v>9</v>
      </c>
      <c r="C57">
        <v>30</v>
      </c>
      <c r="D57">
        <v>15</v>
      </c>
    </row>
    <row r="58" spans="1:4" x14ac:dyDescent="0.25">
      <c r="A58">
        <v>45</v>
      </c>
      <c r="B58">
        <v>1</v>
      </c>
      <c r="C58">
        <v>39</v>
      </c>
      <c r="D58">
        <v>10</v>
      </c>
    </row>
    <row r="59" spans="1:4" x14ac:dyDescent="0.25">
      <c r="A59">
        <v>46</v>
      </c>
      <c r="B59">
        <v>9</v>
      </c>
      <c r="C59">
        <v>32</v>
      </c>
      <c r="D59">
        <v>39</v>
      </c>
    </row>
    <row r="60" spans="1:4" x14ac:dyDescent="0.25">
      <c r="A60">
        <v>47</v>
      </c>
      <c r="B60">
        <v>17</v>
      </c>
      <c r="C60">
        <v>25</v>
      </c>
      <c r="D60">
        <v>32</v>
      </c>
    </row>
    <row r="61" spans="1:4" x14ac:dyDescent="0.25">
      <c r="A61">
        <v>48</v>
      </c>
      <c r="B61">
        <v>11</v>
      </c>
      <c r="C61">
        <v>25</v>
      </c>
      <c r="D61">
        <v>55</v>
      </c>
    </row>
    <row r="62" spans="1:4" x14ac:dyDescent="0.25">
      <c r="A62">
        <v>49</v>
      </c>
      <c r="B62">
        <v>20</v>
      </c>
      <c r="C62">
        <v>48</v>
      </c>
      <c r="D62">
        <v>28</v>
      </c>
    </row>
    <row r="63" spans="1:4" x14ac:dyDescent="0.25">
      <c r="A63">
        <v>50</v>
      </c>
      <c r="B63">
        <v>14</v>
      </c>
      <c r="C63">
        <v>56</v>
      </c>
      <c r="D63">
        <v>37</v>
      </c>
    </row>
    <row r="64" spans="1:4" x14ac:dyDescent="0.25">
      <c r="A64">
        <v>51</v>
      </c>
      <c r="B64">
        <v>2</v>
      </c>
      <c r="C64">
        <v>30</v>
      </c>
      <c r="D64">
        <v>40</v>
      </c>
    </row>
    <row r="1048576" spans="2:4" x14ac:dyDescent="0.25">
      <c r="B1048576" t="s">
        <v>5</v>
      </c>
      <c r="C1048576" t="s">
        <v>0</v>
      </c>
      <c r="D1048576" t="s">
        <v>6</v>
      </c>
    </row>
  </sheetData>
  <mergeCells count="4">
    <mergeCell ref="A1:B3"/>
    <mergeCell ref="C1:D3"/>
    <mergeCell ref="A4:B6"/>
    <mergeCell ref="C4:D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ntrolButton">
          <controlPr defaultSize="0" autoLine="0" r:id="rId5">
            <anchor moveWithCells="1">
              <from>
                <xdr:col>0</xdr:col>
                <xdr:colOff>561975</xdr:colOff>
                <xdr:row>9</xdr:row>
                <xdr:rowOff>28575</xdr:rowOff>
              </from>
              <to>
                <xdr:col>3</xdr:col>
                <xdr:colOff>400050</xdr:colOff>
                <xdr:row>10</xdr:row>
                <xdr:rowOff>142875</xdr:rowOff>
              </to>
            </anchor>
          </controlPr>
        </control>
      </mc:Choice>
      <mc:Fallback>
        <control shapeId="1026" r:id="rId4" name="controlButton"/>
      </mc:Fallback>
    </mc:AlternateContent>
    <mc:AlternateContent xmlns:mc="http://schemas.openxmlformats.org/markup-compatibility/2006">
      <mc:Choice Requires="x14">
        <control shapeId="1025" r:id="rId6" name="startingButton">
          <controlPr defaultSize="0" autoLine="0" autoPict="0" r:id="rId7">
            <anchor moveWithCells="1">
              <from>
                <xdr:col>1</xdr:col>
                <xdr:colOff>28575</xdr:colOff>
                <xdr:row>6</xdr:row>
                <xdr:rowOff>114300</xdr:rowOff>
              </from>
              <to>
                <xdr:col>3</xdr:col>
                <xdr:colOff>447675</xdr:colOff>
                <xdr:row>8</xdr:row>
                <xdr:rowOff>85725</xdr:rowOff>
              </to>
            </anchor>
          </controlPr>
        </control>
      </mc:Choice>
      <mc:Fallback>
        <control shapeId="1025" r:id="rId6" name="startin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P85"/>
  <sheetViews>
    <sheetView tabSelected="1" topLeftCell="AU5" zoomScale="55" zoomScaleNormal="55" workbookViewId="0">
      <selection activeCell="BO5" sqref="BO5"/>
    </sheetView>
  </sheetViews>
  <sheetFormatPr defaultRowHeight="15" x14ac:dyDescent="0.25"/>
  <cols>
    <col min="1" max="1" width="18.140625" customWidth="1"/>
    <col min="2" max="2" width="10.5703125" customWidth="1"/>
    <col min="5" max="5" width="9.42578125" customWidth="1"/>
    <col min="7" max="7" width="5.7109375" customWidth="1"/>
    <col min="8" max="40" width="5.85546875" customWidth="1"/>
    <col min="41" max="41" width="7.28515625" customWidth="1"/>
    <col min="42" max="58" width="5.85546875" customWidth="1"/>
    <col min="66" max="66" width="24.42578125" bestFit="1" customWidth="1"/>
    <col min="67" max="67" width="10" bestFit="1" customWidth="1"/>
    <col min="68" max="68" width="11.85546875" bestFit="1" customWidth="1"/>
  </cols>
  <sheetData>
    <row r="1" spans="1:68" x14ac:dyDescent="0.25">
      <c r="A1" t="s">
        <v>12</v>
      </c>
      <c r="B1">
        <v>80</v>
      </c>
    </row>
    <row r="2" spans="1:68" x14ac:dyDescent="0.25">
      <c r="A2" t="s">
        <v>13</v>
      </c>
      <c r="B2">
        <v>51</v>
      </c>
    </row>
    <row r="3" spans="1:68" x14ac:dyDescent="0.25">
      <c r="A3" t="s">
        <v>7</v>
      </c>
      <c r="B3">
        <v>4</v>
      </c>
    </row>
    <row r="4" spans="1:68" x14ac:dyDescent="0.25">
      <c r="G4" t="str">
        <f t="shared" ref="G4:T4" si="0">INDEX(IsOpen,COLUMN(A1),ROW(A1))</f>
        <v>ısOPen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1</v>
      </c>
      <c r="P4">
        <f t="shared" si="0"/>
        <v>0</v>
      </c>
      <c r="Q4">
        <f t="shared" si="0"/>
        <v>0</v>
      </c>
      <c r="R4">
        <f t="shared" si="0"/>
        <v>0</v>
      </c>
      <c r="S4">
        <f t="shared" si="0"/>
        <v>0</v>
      </c>
      <c r="T4">
        <f t="shared" si="0"/>
        <v>0</v>
      </c>
      <c r="U4">
        <f t="shared" ref="U4:BF4" si="1">INDEX(IsOpen,COLUMN(O1),ROW(O1))</f>
        <v>0</v>
      </c>
      <c r="V4">
        <f t="shared" si="1"/>
        <v>0</v>
      </c>
      <c r="W4">
        <f t="shared" si="1"/>
        <v>0</v>
      </c>
      <c r="X4">
        <f t="shared" si="1"/>
        <v>0</v>
      </c>
      <c r="Y4">
        <f t="shared" si="1"/>
        <v>0</v>
      </c>
      <c r="Z4">
        <f t="shared" si="1"/>
        <v>0</v>
      </c>
      <c r="AA4">
        <f t="shared" si="1"/>
        <v>1</v>
      </c>
      <c r="AB4">
        <f t="shared" si="1"/>
        <v>0</v>
      </c>
      <c r="AC4">
        <f t="shared" si="1"/>
        <v>0</v>
      </c>
      <c r="AD4">
        <f t="shared" si="1"/>
        <v>0</v>
      </c>
      <c r="AE4">
        <f t="shared" si="1"/>
        <v>0</v>
      </c>
      <c r="AF4">
        <f t="shared" si="1"/>
        <v>0</v>
      </c>
      <c r="AG4">
        <f t="shared" si="1"/>
        <v>0</v>
      </c>
      <c r="AH4">
        <f t="shared" si="1"/>
        <v>0</v>
      </c>
      <c r="AI4">
        <f t="shared" si="1"/>
        <v>0</v>
      </c>
      <c r="AJ4">
        <f t="shared" si="1"/>
        <v>1</v>
      </c>
      <c r="AK4">
        <f t="shared" si="1"/>
        <v>0</v>
      </c>
      <c r="AL4">
        <f t="shared" si="1"/>
        <v>0</v>
      </c>
      <c r="AM4">
        <f t="shared" si="1"/>
        <v>1</v>
      </c>
      <c r="AN4">
        <f t="shared" si="1"/>
        <v>0</v>
      </c>
      <c r="AO4">
        <f t="shared" si="1"/>
        <v>0</v>
      </c>
      <c r="AP4">
        <f t="shared" si="1"/>
        <v>0</v>
      </c>
      <c r="AQ4">
        <f t="shared" si="1"/>
        <v>0</v>
      </c>
      <c r="AR4">
        <f t="shared" si="1"/>
        <v>0</v>
      </c>
      <c r="AS4">
        <f t="shared" si="1"/>
        <v>0</v>
      </c>
      <c r="AT4">
        <f t="shared" si="1"/>
        <v>0</v>
      </c>
      <c r="AU4">
        <f t="shared" si="1"/>
        <v>0</v>
      </c>
      <c r="AV4">
        <f t="shared" si="1"/>
        <v>0</v>
      </c>
      <c r="AW4">
        <f t="shared" si="1"/>
        <v>0</v>
      </c>
      <c r="AX4">
        <f t="shared" si="1"/>
        <v>0</v>
      </c>
      <c r="AY4">
        <f t="shared" si="1"/>
        <v>0</v>
      </c>
      <c r="AZ4">
        <f t="shared" si="1"/>
        <v>0</v>
      </c>
      <c r="BA4">
        <f t="shared" si="1"/>
        <v>0</v>
      </c>
      <c r="BB4">
        <f t="shared" si="1"/>
        <v>0</v>
      </c>
      <c r="BC4">
        <f t="shared" si="1"/>
        <v>0</v>
      </c>
      <c r="BD4">
        <f t="shared" si="1"/>
        <v>0</v>
      </c>
      <c r="BE4">
        <f t="shared" si="1"/>
        <v>0</v>
      </c>
      <c r="BF4">
        <f t="shared" si="1"/>
        <v>0</v>
      </c>
    </row>
    <row r="5" spans="1:68" ht="18.75" x14ac:dyDescent="0.25">
      <c r="A5" t="s">
        <v>14</v>
      </c>
      <c r="B5" s="2" t="s">
        <v>5</v>
      </c>
      <c r="C5" s="2" t="s">
        <v>0</v>
      </c>
      <c r="D5" s="2" t="s">
        <v>6</v>
      </c>
      <c r="E5" s="1" t="s">
        <v>1</v>
      </c>
      <c r="G5" t="s">
        <v>9</v>
      </c>
      <c r="H5" s="4">
        <f>INDEX(Coords[[#All],['#]],COLUMN(B1),ROW(B1))</f>
        <v>1</v>
      </c>
      <c r="I5" s="4">
        <v>2</v>
      </c>
      <c r="J5" s="4">
        <v>3</v>
      </c>
      <c r="K5" s="4">
        <v>4</v>
      </c>
      <c r="L5" s="4">
        <v>5</v>
      </c>
      <c r="M5" s="4">
        <v>6</v>
      </c>
      <c r="N5" s="4">
        <v>7</v>
      </c>
      <c r="O5" s="4">
        <v>8</v>
      </c>
      <c r="P5" s="4">
        <v>9</v>
      </c>
      <c r="Q5" s="4">
        <v>10</v>
      </c>
      <c r="R5" s="4">
        <v>11</v>
      </c>
      <c r="S5" s="4">
        <v>12</v>
      </c>
      <c r="T5" s="4">
        <v>13</v>
      </c>
      <c r="U5" s="4">
        <v>14</v>
      </c>
      <c r="V5" s="4">
        <v>15</v>
      </c>
      <c r="W5" s="4">
        <v>16</v>
      </c>
      <c r="X5" s="4">
        <v>17</v>
      </c>
      <c r="Y5" s="4">
        <v>18</v>
      </c>
      <c r="Z5" s="4">
        <v>19</v>
      </c>
      <c r="AA5" s="4">
        <v>20</v>
      </c>
      <c r="AB5" s="4">
        <v>21</v>
      </c>
      <c r="AC5" s="4">
        <v>22</v>
      </c>
      <c r="AD5" s="4">
        <v>23</v>
      </c>
      <c r="AE5" s="4">
        <v>24</v>
      </c>
      <c r="AF5" s="4">
        <v>25</v>
      </c>
      <c r="AG5" s="4">
        <v>26</v>
      </c>
      <c r="AH5" s="4">
        <v>27</v>
      </c>
      <c r="AI5" s="4">
        <v>28</v>
      </c>
      <c r="AJ5" s="4">
        <v>29</v>
      </c>
      <c r="AK5" s="4">
        <v>30</v>
      </c>
      <c r="AL5" s="4">
        <v>31</v>
      </c>
      <c r="AM5" s="4">
        <v>32</v>
      </c>
      <c r="AN5" s="4">
        <v>33</v>
      </c>
      <c r="AO5" s="4">
        <v>34</v>
      </c>
      <c r="AP5" s="4">
        <v>35</v>
      </c>
      <c r="AQ5" s="4">
        <v>36</v>
      </c>
      <c r="AR5" s="4">
        <v>37</v>
      </c>
      <c r="AS5" s="4">
        <v>38</v>
      </c>
      <c r="AT5" s="4">
        <v>39</v>
      </c>
      <c r="AU5" s="4">
        <v>40</v>
      </c>
      <c r="AV5" s="4">
        <v>41</v>
      </c>
      <c r="AW5" s="4">
        <v>42</v>
      </c>
      <c r="AX5" s="4">
        <v>43</v>
      </c>
      <c r="AY5" s="4">
        <v>44</v>
      </c>
      <c r="AZ5" s="4">
        <v>45</v>
      </c>
      <c r="BA5" s="4">
        <v>46</v>
      </c>
      <c r="BB5" s="4">
        <v>47</v>
      </c>
      <c r="BC5" s="4">
        <v>48</v>
      </c>
      <c r="BD5" s="4">
        <v>49</v>
      </c>
      <c r="BE5" s="4">
        <v>50</v>
      </c>
      <c r="BF5" s="4">
        <v>51</v>
      </c>
      <c r="BG5" s="4"/>
      <c r="BI5" s="6" t="s">
        <v>2</v>
      </c>
      <c r="BJ5" s="6" t="s">
        <v>11</v>
      </c>
      <c r="BK5" s="6" t="s">
        <v>10</v>
      </c>
      <c r="BN5" s="11" t="s">
        <v>15</v>
      </c>
      <c r="BO5" s="11" t="s">
        <v>16</v>
      </c>
      <c r="BP5" s="11" t="s">
        <v>17</v>
      </c>
    </row>
    <row r="6" spans="1:68" x14ac:dyDescent="0.25">
      <c r="A6" s="8">
        <v>1</v>
      </c>
      <c r="B6" s="3">
        <v>24</v>
      </c>
      <c r="C6" s="3">
        <v>37</v>
      </c>
      <c r="D6" s="3">
        <v>52</v>
      </c>
      <c r="E6">
        <v>0</v>
      </c>
      <c r="G6" s="4">
        <v>1</v>
      </c>
      <c r="H6" s="10">
        <f>IF($G6=H$5,1000,IF(H$4=0,1000,SQRT((VLOOKUP($G6,Coords[],3,FALSE)-VLOOKUP(H$5,Coords[],3,FALSE))^2+(VLOOKUP($G6,Coords[],4,FALSE)-VLOOKUP(H$5,Coords[],4,FALSE))^2)))</f>
        <v>1000</v>
      </c>
      <c r="I6" s="10">
        <f>IF($G6=I$5,1000,IF(I$4=0,1000,SQRT((VLOOKUP($G6,Coords[],3,FALSE)-VLOOKUP(I$5,Coords[],3,FALSE))^2+(VLOOKUP($G6,Coords[],4,FALSE)-VLOOKUP(I$5,Coords[],4,FALSE))^2)))</f>
        <v>1000</v>
      </c>
      <c r="J6" s="10">
        <f>IF($G6=J$5,1000,IF(J$4=0,1000,SQRT((VLOOKUP($G6,Coords[],3,FALSE)-VLOOKUP(J$5,Coords[],3,FALSE))^2+(VLOOKUP($G6,Coords[],4,FALSE)-VLOOKUP(J$5,Coords[],4,FALSE))^2)))</f>
        <v>1000</v>
      </c>
      <c r="K6" s="10">
        <f>IF($G6=K$5,1000,IF(K$4=0,1000,SQRT((VLOOKUP($G6,Coords[],3,FALSE)-VLOOKUP(K$5,Coords[],3,FALSE))^2+(VLOOKUP($G6,Coords[],4,FALSE)-VLOOKUP(K$5,Coords[],4,FALSE))^2)))</f>
        <v>1000</v>
      </c>
      <c r="L6" s="10">
        <f>IF($G6=L$5,1000,IF(L$4=0,1000,SQRT((VLOOKUP($G6,Coords[],3,FALSE)-VLOOKUP(L$5,Coords[],3,FALSE))^2+(VLOOKUP($G6,Coords[],4,FALSE)-VLOOKUP(L$5,Coords[],4,FALSE))^2)))</f>
        <v>1000</v>
      </c>
      <c r="M6" s="10">
        <f>IF($G6=M$5,1000,IF(M$4=0,1000,SQRT((VLOOKUP($G6,Coords[],3,FALSE)-VLOOKUP(M$5,Coords[],3,FALSE))^2+(VLOOKUP($G6,Coords[],4,FALSE)-VLOOKUP(M$5,Coords[],4,FALSE))^2)))</f>
        <v>1000</v>
      </c>
      <c r="N6" s="10">
        <f>IF($G6=N$5,1000,IF(N$4=0,1000,SQRT((VLOOKUP($G6,Coords[],3,FALSE)-VLOOKUP(N$5,Coords[],3,FALSE))^2+(VLOOKUP($G6,Coords[],4,FALSE)-VLOOKUP(N$5,Coords[],4,FALSE))^2)))</f>
        <v>1000</v>
      </c>
      <c r="O6" s="10">
        <f>IF($G6=O$5,1000,IF(O$4=0,1000,SQRT((VLOOKUP($G6,Coords[],3,FALSE)-VLOOKUP(O$5,Coords[],3,FALSE))^2+(VLOOKUP($G6,Coords[],4,FALSE)-VLOOKUP(O$5,Coords[],4,FALSE))^2)))</f>
        <v>11.661903789690601</v>
      </c>
      <c r="P6" s="10">
        <f>IF($G6=P$5,1000,IF(P$4=0,1000,SQRT((VLOOKUP($G6,Coords[],3,FALSE)-VLOOKUP(P$5,Coords[],3,FALSE))^2+(VLOOKUP($G6,Coords[],4,FALSE)-VLOOKUP(P$5,Coords[],4,FALSE))^2)))</f>
        <v>1000</v>
      </c>
      <c r="Q6" s="10">
        <f>IF($G6=Q$5,1000,IF(Q$4=0,1000,SQRT((VLOOKUP($G6,Coords[],3,FALSE)-VLOOKUP(Q$5,Coords[],3,FALSE))^2+(VLOOKUP($G6,Coords[],4,FALSE)-VLOOKUP(Q$5,Coords[],4,FALSE))^2)))</f>
        <v>1000</v>
      </c>
      <c r="R6" s="10">
        <f>IF($G6=R$5,1000,IF(R$4=0,1000,SQRT((VLOOKUP($G6,Coords[],3,FALSE)-VLOOKUP(R$5,Coords[],3,FALSE))^2+(VLOOKUP($G6,Coords[],4,FALSE)-VLOOKUP(R$5,Coords[],4,FALSE))^2)))</f>
        <v>1000</v>
      </c>
      <c r="S6" s="10">
        <f>IF($G6=S$5,1000,IF(S$4=0,1000,SQRT((VLOOKUP($G6,Coords[],3,FALSE)-VLOOKUP(S$5,Coords[],3,FALSE))^2+(VLOOKUP($G6,Coords[],4,FALSE)-VLOOKUP(S$5,Coords[],4,FALSE))^2)))</f>
        <v>1000</v>
      </c>
      <c r="T6" s="10">
        <f>IF($G6=T$5,1000,IF(T$4=0,1000,SQRT((VLOOKUP($G6,Coords[],3,FALSE)-VLOOKUP(T$5,Coords[],3,FALSE))^2+(VLOOKUP($G6,Coords[],4,FALSE)-VLOOKUP(T$5,Coords[],4,FALSE))^2)))</f>
        <v>1000</v>
      </c>
      <c r="U6" s="10">
        <f>IF($G6=U$5,1000,IF(U$4=0,1000,SQRT((VLOOKUP($G6,Coords[],3,FALSE)-VLOOKUP(U$5,Coords[],3,FALSE))^2+(VLOOKUP($G6,Coords[],4,FALSE)-VLOOKUP(U$5,Coords[],4,FALSE))^2)))</f>
        <v>1000</v>
      </c>
      <c r="V6" s="10">
        <f>IF($G6=V$5,1000,IF(V$4=0,1000,SQRT((VLOOKUP($G6,Coords[],3,FALSE)-VLOOKUP(V$5,Coords[],3,FALSE))^2+(VLOOKUP($G6,Coords[],4,FALSE)-VLOOKUP(V$5,Coords[],4,FALSE))^2)))</f>
        <v>1000</v>
      </c>
      <c r="W6" s="10">
        <f>IF($G6=W$5,1000,IF(W$4=0,1000,SQRT((VLOOKUP($G6,Coords[],3,FALSE)-VLOOKUP(W$5,Coords[],3,FALSE))^2+(VLOOKUP($G6,Coords[],4,FALSE)-VLOOKUP(W$5,Coords[],4,FALSE))^2)))</f>
        <v>1000</v>
      </c>
      <c r="X6" s="10">
        <f>IF($G6=X$5,1000,IF(X$4=0,1000,SQRT((VLOOKUP($G6,Coords[],3,FALSE)-VLOOKUP(X$5,Coords[],3,FALSE))^2+(VLOOKUP($G6,Coords[],4,FALSE)-VLOOKUP(X$5,Coords[],4,FALSE))^2)))</f>
        <v>1000</v>
      </c>
      <c r="Y6" s="10">
        <f>IF($G6=Y$5,1000,IF(Y$4=0,1000,SQRT((VLOOKUP($G6,Coords[],3,FALSE)-VLOOKUP(Y$5,Coords[],3,FALSE))^2+(VLOOKUP($G6,Coords[],4,FALSE)-VLOOKUP(Y$5,Coords[],4,FALSE))^2)))</f>
        <v>1000</v>
      </c>
      <c r="Z6" s="10">
        <f>IF($G6=Z$5,1000,IF(Z$4=0,1000,SQRT((VLOOKUP($G6,Coords[],3,FALSE)-VLOOKUP(Z$5,Coords[],3,FALSE))^2+(VLOOKUP($G6,Coords[],4,FALSE)-VLOOKUP(Z$5,Coords[],4,FALSE))^2)))</f>
        <v>1000</v>
      </c>
      <c r="AA6" s="10">
        <f>IF($G6=AA$5,1000,IF(AA$4=0,1000,SQRT((VLOOKUP($G6,Coords[],3,FALSE)-VLOOKUP(AA$5,Coords[],3,FALSE))^2+(VLOOKUP($G6,Coords[],4,FALSE)-VLOOKUP(AA$5,Coords[],4,FALSE))^2)))</f>
        <v>20.880613017821101</v>
      </c>
      <c r="AB6" s="10">
        <f>IF($G6=AB$5,1000,IF(AB$4=0,1000,SQRT((VLOOKUP($G6,Coords[],3,FALSE)-VLOOKUP(AB$5,Coords[],3,FALSE))^2+(VLOOKUP($G6,Coords[],4,FALSE)-VLOOKUP(AB$5,Coords[],4,FALSE))^2)))</f>
        <v>1000</v>
      </c>
      <c r="AC6" s="10">
        <f>IF($G6=AC$5,1000,IF(AC$4=0,1000,SQRT((VLOOKUP($G6,Coords[],3,FALSE)-VLOOKUP(AC$5,Coords[],3,FALSE))^2+(VLOOKUP($G6,Coords[],4,FALSE)-VLOOKUP(AC$5,Coords[],4,FALSE))^2)))</f>
        <v>1000</v>
      </c>
      <c r="AD6" s="10">
        <f>IF($G6=AD$5,1000,IF(AD$4=0,1000,SQRT((VLOOKUP($G6,Coords[],3,FALSE)-VLOOKUP(AD$5,Coords[],3,FALSE))^2+(VLOOKUP($G6,Coords[],4,FALSE)-VLOOKUP(AD$5,Coords[],4,FALSE))^2)))</f>
        <v>1000</v>
      </c>
      <c r="AE6" s="10">
        <f>IF($G6=AE$5,1000,IF(AE$4=0,1000,SQRT((VLOOKUP($G6,Coords[],3,FALSE)-VLOOKUP(AE$5,Coords[],3,FALSE))^2+(VLOOKUP($G6,Coords[],4,FALSE)-VLOOKUP(AE$5,Coords[],4,FALSE))^2)))</f>
        <v>1000</v>
      </c>
      <c r="AF6" s="10">
        <f>IF($G6=AF$5,1000,IF(AF$4=0,1000,SQRT((VLOOKUP($G6,Coords[],3,FALSE)-VLOOKUP(AF$5,Coords[],3,FALSE))^2+(VLOOKUP($G6,Coords[],4,FALSE)-VLOOKUP(AF$5,Coords[],4,FALSE))^2)))</f>
        <v>1000</v>
      </c>
      <c r="AG6" s="10">
        <f>IF($G6=AG$5,1000,IF(AG$4=0,1000,SQRT((VLOOKUP($G6,Coords[],3,FALSE)-VLOOKUP(AG$5,Coords[],3,FALSE))^2+(VLOOKUP($G6,Coords[],4,FALSE)-VLOOKUP(AG$5,Coords[],4,FALSE))^2)))</f>
        <v>1000</v>
      </c>
      <c r="AH6" s="10">
        <f>IF($G6=AH$5,1000,IF(AH$4=0,1000,SQRT((VLOOKUP($G6,Coords[],3,FALSE)-VLOOKUP(AH$5,Coords[],3,FALSE))^2+(VLOOKUP($G6,Coords[],4,FALSE)-VLOOKUP(AH$5,Coords[],4,FALSE))^2)))</f>
        <v>1000</v>
      </c>
      <c r="AI6" s="10">
        <f>IF($G6=AI$5,1000,IF(AI$4=0,1000,SQRT((VLOOKUP($G6,Coords[],3,FALSE)-VLOOKUP(AI$5,Coords[],3,FALSE))^2+(VLOOKUP($G6,Coords[],4,FALSE)-VLOOKUP(AI$5,Coords[],4,FALSE))^2)))</f>
        <v>1000</v>
      </c>
      <c r="AJ6" s="10">
        <f>IF($G6=AJ$5,1000,IF(AJ$4=0,1000,SQRT((VLOOKUP($G6,Coords[],3,FALSE)-VLOOKUP(AJ$5,Coords[],3,FALSE))^2+(VLOOKUP($G6,Coords[],4,FALSE)-VLOOKUP(AJ$5,Coords[],4,FALSE))^2)))</f>
        <v>21.377558326431949</v>
      </c>
      <c r="AK6" s="10">
        <f>IF($G6=AK$5,1000,IF(AK$4=0,1000,SQRT((VLOOKUP($G6,Coords[],3,FALSE)-VLOOKUP(AK$5,Coords[],3,FALSE))^2+(VLOOKUP($G6,Coords[],4,FALSE)-VLOOKUP(AK$5,Coords[],4,FALSE))^2)))</f>
        <v>1000</v>
      </c>
      <c r="AL6" s="10">
        <f>IF($G6=AL$5,1000,IF(AL$4=0,1000,SQRT((VLOOKUP($G6,Coords[],3,FALSE)-VLOOKUP(AL$5,Coords[],3,FALSE))^2+(VLOOKUP($G6,Coords[],4,FALSE)-VLOOKUP(AL$5,Coords[],4,FALSE))^2)))</f>
        <v>1000</v>
      </c>
      <c r="AM6" s="10">
        <f>IF($G6=AM$5,1000,IF(AM$4=0,1000,SQRT((VLOOKUP($G6,Coords[],3,FALSE)-VLOOKUP(AM$5,Coords[],3,FALSE))^2+(VLOOKUP($G6,Coords[],4,FALSE)-VLOOKUP(AM$5,Coords[],4,FALSE))^2)))</f>
        <v>6.0827625302982193</v>
      </c>
      <c r="AN6" s="10">
        <f>IF($G6=AN$5,1000,IF(AN$4=0,1000,SQRT((VLOOKUP($G6,Coords[],3,FALSE)-VLOOKUP(AN$5,Coords[],3,FALSE))^2+(VLOOKUP($G6,Coords[],4,FALSE)-VLOOKUP(AN$5,Coords[],4,FALSE))^2)))</f>
        <v>1000</v>
      </c>
      <c r="AO6" s="10">
        <f>IF($G6=AO$5,1000,IF(AO$4=0,1000,SQRT((VLOOKUP($G6,Coords[],3,FALSE)-VLOOKUP(AO$5,Coords[],3,FALSE))^2+(VLOOKUP($G6,Coords[],4,FALSE)-VLOOKUP(AO$5,Coords[],4,FALSE))^2)))</f>
        <v>1000</v>
      </c>
      <c r="AP6" s="10">
        <f>IF($G6=AP$5,1000,IF(AP$4=0,1000,SQRT((VLOOKUP($G6,Coords[],3,FALSE)-VLOOKUP(AP$5,Coords[],3,FALSE))^2+(VLOOKUP($G6,Coords[],4,FALSE)-VLOOKUP(AP$5,Coords[],4,FALSE))^2)))</f>
        <v>1000</v>
      </c>
      <c r="AQ6" s="10">
        <f>IF($G6=AQ$5,1000,IF(AQ$4=0,1000,SQRT((VLOOKUP($G6,Coords[],3,FALSE)-VLOOKUP(AQ$5,Coords[],3,FALSE))^2+(VLOOKUP($G6,Coords[],4,FALSE)-VLOOKUP(AQ$5,Coords[],4,FALSE))^2)))</f>
        <v>1000</v>
      </c>
      <c r="AR6" s="10">
        <f>IF($G6=AR$5,1000,IF(AR$4=0,1000,SQRT((VLOOKUP($G6,Coords[],3,FALSE)-VLOOKUP(AR$5,Coords[],3,FALSE))^2+(VLOOKUP($G6,Coords[],4,FALSE)-VLOOKUP(AR$5,Coords[],4,FALSE))^2)))</f>
        <v>1000</v>
      </c>
      <c r="AS6" s="10">
        <f>IF($G6=AS$5,1000,IF(AS$4=0,1000,SQRT((VLOOKUP($G6,Coords[],3,FALSE)-VLOOKUP(AS$5,Coords[],3,FALSE))^2+(VLOOKUP($G6,Coords[],4,FALSE)-VLOOKUP(AS$5,Coords[],4,FALSE))^2)))</f>
        <v>1000</v>
      </c>
      <c r="AT6" s="10">
        <f>IF($G6=AT$5,1000,IF(AT$4=0,1000,SQRT((VLOOKUP($G6,Coords[],3,FALSE)-VLOOKUP(AT$5,Coords[],3,FALSE))^2+(VLOOKUP($G6,Coords[],4,FALSE)-VLOOKUP(AT$5,Coords[],4,FALSE))^2)))</f>
        <v>1000</v>
      </c>
      <c r="AU6" s="10">
        <f>IF($G6=AU$5,1000,IF(AU$4=0,1000,SQRT((VLOOKUP($G6,Coords[],3,FALSE)-VLOOKUP(AU$5,Coords[],3,FALSE))^2+(VLOOKUP($G6,Coords[],4,FALSE)-VLOOKUP(AU$5,Coords[],4,FALSE))^2)))</f>
        <v>1000</v>
      </c>
      <c r="AV6" s="10">
        <f>IF($G6=AV$5,1000,IF(AV$4=0,1000,SQRT((VLOOKUP($G6,Coords[],3,FALSE)-VLOOKUP(AV$5,Coords[],3,FALSE))^2+(VLOOKUP($G6,Coords[],4,FALSE)-VLOOKUP(AV$5,Coords[],4,FALSE))^2)))</f>
        <v>1000</v>
      </c>
      <c r="AW6" s="10">
        <f>IF($G6=AW$5,1000,IF(AW$4=0,1000,SQRT((VLOOKUP($G6,Coords[],3,FALSE)-VLOOKUP(AW$5,Coords[],3,FALSE))^2+(VLOOKUP($G6,Coords[],4,FALSE)-VLOOKUP(AW$5,Coords[],4,FALSE))^2)))</f>
        <v>1000</v>
      </c>
      <c r="AX6" s="10">
        <f>IF($G6=AX$5,1000,IF(AX$4=0,1000,SQRT((VLOOKUP($G6,Coords[],3,FALSE)-VLOOKUP(AX$5,Coords[],3,FALSE))^2+(VLOOKUP($G6,Coords[],4,FALSE)-VLOOKUP(AX$5,Coords[],4,FALSE))^2)))</f>
        <v>1000</v>
      </c>
      <c r="AY6" s="10">
        <f>IF($G6=AY$5,1000,IF(AY$4=0,1000,SQRT((VLOOKUP($G6,Coords[],3,FALSE)-VLOOKUP(AY$5,Coords[],3,FALSE))^2+(VLOOKUP($G6,Coords[],4,FALSE)-VLOOKUP(AY$5,Coords[],4,FALSE))^2)))</f>
        <v>1000</v>
      </c>
      <c r="AZ6" s="10">
        <f>IF($G6=AZ$5,1000,IF(AZ$4=0,1000,SQRT((VLOOKUP($G6,Coords[],3,FALSE)-VLOOKUP(AZ$5,Coords[],3,FALSE))^2+(VLOOKUP($G6,Coords[],4,FALSE)-VLOOKUP(AZ$5,Coords[],4,FALSE))^2)))</f>
        <v>1000</v>
      </c>
      <c r="BA6" s="10">
        <f>IF($G6=BA$5,1000,IF(BA$4=0,1000,SQRT((VLOOKUP($G6,Coords[],3,FALSE)-VLOOKUP(BA$5,Coords[],3,FALSE))^2+(VLOOKUP($G6,Coords[],4,FALSE)-VLOOKUP(BA$5,Coords[],4,FALSE))^2)))</f>
        <v>1000</v>
      </c>
      <c r="BB6" s="10">
        <f>IF($G6=BB$5,1000,IF(BB$4=0,1000,SQRT((VLOOKUP($G6,Coords[],3,FALSE)-VLOOKUP(BB$5,Coords[],3,FALSE))^2+(VLOOKUP($G6,Coords[],4,FALSE)-VLOOKUP(BB$5,Coords[],4,FALSE))^2)))</f>
        <v>1000</v>
      </c>
      <c r="BC6" s="10">
        <f>IF($G6=BC$5,1000,IF(BC$4=0,1000,SQRT((VLOOKUP($G6,Coords[],3,FALSE)-VLOOKUP(BC$5,Coords[],3,FALSE))^2+(VLOOKUP($G6,Coords[],4,FALSE)-VLOOKUP(BC$5,Coords[],4,FALSE))^2)))</f>
        <v>1000</v>
      </c>
      <c r="BD6" s="10">
        <f>IF($G6=BD$5,1000,IF(BD$4=0,1000,SQRT((VLOOKUP($G6,Coords[],3,FALSE)-VLOOKUP(BD$5,Coords[],3,FALSE))^2+(VLOOKUP($G6,Coords[],4,FALSE)-VLOOKUP(BD$5,Coords[],4,FALSE))^2)))</f>
        <v>1000</v>
      </c>
      <c r="BE6" s="10">
        <f>IF($G6=BE$5,1000,IF(BE$4=0,1000,SQRT((VLOOKUP($G6,Coords[],3,FALSE)-VLOOKUP(BE$5,Coords[],3,FALSE))^2+(VLOOKUP($G6,Coords[],4,FALSE)-VLOOKUP(BE$5,Coords[],4,FALSE))^2)))</f>
        <v>1000</v>
      </c>
      <c r="BF6" s="10">
        <f>IF($G6=BF$5,1000,IF(BF$4=0,1000,SQRT((VLOOKUP($G6,Coords[],3,FALSE)-VLOOKUP(BF$5,Coords[],3,FALSE))^2+(VLOOKUP($G6,Coords[],4,FALSE)-VLOOKUP(BF$5,Coords[],4,FALSE))^2)))</f>
        <v>1000</v>
      </c>
      <c r="BG6" s="4">
        <v>1</v>
      </c>
      <c r="BI6" s="5">
        <f>IF(E6=1,0,VLOOKUP($G6,$G$6:$BF$57,HLOOKUP(MIN(H6:BF6),$H6:$BF$57,((COUNT($G$6:$G$56)+2)-$G6),FALSE),FALSE)*B6)</f>
        <v>145.98630072715727</v>
      </c>
      <c r="BJ6" s="9">
        <f>VLOOKUP($G6,$G$6:$BF$57,HLOOKUP(MIN(H6:BF6),$H6:$BF$57,((COUNT($G$6:$G$56)+2)-$G6),FALSE),FALSE)</f>
        <v>6.0827625302982193</v>
      </c>
      <c r="BK6" s="7">
        <f>HLOOKUP(MIN(H6:BF6),$H6:$BF$57,((COUNT($G$6:$G$56)+2)-$G6),FALSE)</f>
        <v>33</v>
      </c>
      <c r="BL6">
        <f>BJ6*Coords[[#This Row],[Demand]]</f>
        <v>145.98630072715727</v>
      </c>
      <c r="BN6">
        <v>1</v>
      </c>
      <c r="BO6">
        <v>8394.1145295333736</v>
      </c>
      <c r="BP6">
        <v>223800.12938154614</v>
      </c>
    </row>
    <row r="7" spans="1:68" x14ac:dyDescent="0.25">
      <c r="A7" s="8">
        <v>2</v>
      </c>
      <c r="B7" s="3">
        <v>3</v>
      </c>
      <c r="C7" s="3">
        <v>49</v>
      </c>
      <c r="D7" s="3">
        <v>49</v>
      </c>
      <c r="E7">
        <v>0</v>
      </c>
      <c r="G7" s="4">
        <v>2</v>
      </c>
      <c r="H7" s="10">
        <f>IF($G7=H$5,1000,IF(H$4=0,1000,SQRT((VLOOKUP($G7,Coords[],3,FALSE)-VLOOKUP(H$5,Coords[],3,FALSE))^2+(VLOOKUP($G7,Coords[],4,FALSE)-VLOOKUP(H$5,Coords[],4,FALSE))^2)))</f>
        <v>1000</v>
      </c>
      <c r="I7" s="10">
        <f>IF($G7=I$5,1000,IF(I$4=0,1000,SQRT((VLOOKUP($G7,Coords[],3,FALSE)-VLOOKUP(I$5,Coords[],3,FALSE))^2+(VLOOKUP($G7,Coords[],4,FALSE)-VLOOKUP(I$5,Coords[],4,FALSE))^2)))</f>
        <v>1000</v>
      </c>
      <c r="J7" s="10">
        <f>IF($G7=J$5,1000,IF(J$4=0,1000,SQRT((VLOOKUP($G7,Coords[],3,FALSE)-VLOOKUP(J$5,Coords[],3,FALSE))^2+(VLOOKUP($G7,Coords[],4,FALSE)-VLOOKUP(J$5,Coords[],4,FALSE))^2)))</f>
        <v>1000</v>
      </c>
      <c r="K7" s="10">
        <f>IF($G7=K$5,1000,IF(K$4=0,1000,SQRT((VLOOKUP($G7,Coords[],3,FALSE)-VLOOKUP(K$5,Coords[],3,FALSE))^2+(VLOOKUP($G7,Coords[],4,FALSE)-VLOOKUP(K$5,Coords[],4,FALSE))^2)))</f>
        <v>1000</v>
      </c>
      <c r="L7" s="10">
        <f>IF($G7=L$5,1000,IF(L$4=0,1000,SQRT((VLOOKUP($G7,Coords[],3,FALSE)-VLOOKUP(L$5,Coords[],3,FALSE))^2+(VLOOKUP($G7,Coords[],4,FALSE)-VLOOKUP(L$5,Coords[],4,FALSE))^2)))</f>
        <v>1000</v>
      </c>
      <c r="M7" s="10">
        <f>IF($G7=M$5,1000,IF(M$4=0,1000,SQRT((VLOOKUP($G7,Coords[],3,FALSE)-VLOOKUP(M$5,Coords[],3,FALSE))^2+(VLOOKUP($G7,Coords[],4,FALSE)-VLOOKUP(M$5,Coords[],4,FALSE))^2)))</f>
        <v>1000</v>
      </c>
      <c r="N7" s="10">
        <f>IF($G7=N$5,1000,IF(N$4=0,1000,SQRT((VLOOKUP($G7,Coords[],3,FALSE)-VLOOKUP(N$5,Coords[],3,FALSE))^2+(VLOOKUP($G7,Coords[],4,FALSE)-VLOOKUP(N$5,Coords[],4,FALSE))^2)))</f>
        <v>1000</v>
      </c>
      <c r="O7" s="10">
        <f>IF($G7=O$5,1000,IF(O$4=0,1000,SQRT((VLOOKUP($G7,Coords[],3,FALSE)-VLOOKUP(O$5,Coords[],3,FALSE))^2+(VLOOKUP($G7,Coords[],4,FALSE)-VLOOKUP(O$5,Coords[],4,FALSE))^2)))</f>
        <v>22.203603311174518</v>
      </c>
      <c r="P7" s="10">
        <f>IF($G7=P$5,1000,IF(P$4=0,1000,SQRT((VLOOKUP($G7,Coords[],3,FALSE)-VLOOKUP(P$5,Coords[],3,FALSE))^2+(VLOOKUP($G7,Coords[],4,FALSE)-VLOOKUP(P$5,Coords[],4,FALSE))^2)))</f>
        <v>1000</v>
      </c>
      <c r="Q7" s="10">
        <f>IF($G7=Q$5,1000,IF(Q$4=0,1000,SQRT((VLOOKUP($G7,Coords[],3,FALSE)-VLOOKUP(Q$5,Coords[],3,FALSE))^2+(VLOOKUP($G7,Coords[],4,FALSE)-VLOOKUP(Q$5,Coords[],4,FALSE))^2)))</f>
        <v>1000</v>
      </c>
      <c r="R7" s="10">
        <f>IF($G7=R$5,1000,IF(R$4=0,1000,SQRT((VLOOKUP($G7,Coords[],3,FALSE)-VLOOKUP(R$5,Coords[],3,FALSE))^2+(VLOOKUP($G7,Coords[],4,FALSE)-VLOOKUP(R$5,Coords[],4,FALSE))^2)))</f>
        <v>1000</v>
      </c>
      <c r="S7" s="10">
        <f>IF($G7=S$5,1000,IF(S$4=0,1000,SQRT((VLOOKUP($G7,Coords[],3,FALSE)-VLOOKUP(S$5,Coords[],3,FALSE))^2+(VLOOKUP($G7,Coords[],4,FALSE)-VLOOKUP(S$5,Coords[],4,FALSE))^2)))</f>
        <v>1000</v>
      </c>
      <c r="T7" s="10">
        <f>IF($G7=T$5,1000,IF(T$4=0,1000,SQRT((VLOOKUP($G7,Coords[],3,FALSE)-VLOOKUP(T$5,Coords[],3,FALSE))^2+(VLOOKUP($G7,Coords[],4,FALSE)-VLOOKUP(T$5,Coords[],4,FALSE))^2)))</f>
        <v>1000</v>
      </c>
      <c r="U7" s="10">
        <f>IF($G7=U$5,1000,IF(U$4=0,1000,SQRT((VLOOKUP($G7,Coords[],3,FALSE)-VLOOKUP(U$5,Coords[],3,FALSE))^2+(VLOOKUP($G7,Coords[],4,FALSE)-VLOOKUP(U$5,Coords[],4,FALSE))^2)))</f>
        <v>1000</v>
      </c>
      <c r="V7" s="10">
        <f>IF($G7=V$5,1000,IF(V$4=0,1000,SQRT((VLOOKUP($G7,Coords[],3,FALSE)-VLOOKUP(V$5,Coords[],3,FALSE))^2+(VLOOKUP($G7,Coords[],4,FALSE)-VLOOKUP(V$5,Coords[],4,FALSE))^2)))</f>
        <v>1000</v>
      </c>
      <c r="W7" s="10">
        <f>IF($G7=W$5,1000,IF(W$4=0,1000,SQRT((VLOOKUP($G7,Coords[],3,FALSE)-VLOOKUP(W$5,Coords[],3,FALSE))^2+(VLOOKUP($G7,Coords[],4,FALSE)-VLOOKUP(W$5,Coords[],4,FALSE))^2)))</f>
        <v>1000</v>
      </c>
      <c r="X7" s="10">
        <f>IF($G7=X$5,1000,IF(X$4=0,1000,SQRT((VLOOKUP($G7,Coords[],3,FALSE)-VLOOKUP(X$5,Coords[],3,FALSE))^2+(VLOOKUP($G7,Coords[],4,FALSE)-VLOOKUP(X$5,Coords[],4,FALSE))^2)))</f>
        <v>1000</v>
      </c>
      <c r="Y7" s="10">
        <f>IF($G7=Y$5,1000,IF(Y$4=0,1000,SQRT((VLOOKUP($G7,Coords[],3,FALSE)-VLOOKUP(Y$5,Coords[],3,FALSE))^2+(VLOOKUP($G7,Coords[],4,FALSE)-VLOOKUP(Y$5,Coords[],4,FALSE))^2)))</f>
        <v>1000</v>
      </c>
      <c r="Z7" s="10">
        <f>IF($G7=Z$5,1000,IF(Z$4=0,1000,SQRT((VLOOKUP($G7,Coords[],3,FALSE)-VLOOKUP(Z$5,Coords[],3,FALSE))^2+(VLOOKUP($G7,Coords[],4,FALSE)-VLOOKUP(Z$5,Coords[],4,FALSE))^2)))</f>
        <v>1000</v>
      </c>
      <c r="AA7" s="10">
        <f>IF($G7=AA$5,1000,IF(AA$4=0,1000,SQRT((VLOOKUP($G7,Coords[],3,FALSE)-VLOOKUP(AA$5,Coords[],3,FALSE))^2+(VLOOKUP($G7,Coords[],4,FALSE)-VLOOKUP(AA$5,Coords[],4,FALSE))^2)))</f>
        <v>12.041594578792296</v>
      </c>
      <c r="AB7" s="10">
        <f>IF($G7=AB$5,1000,IF(AB$4=0,1000,SQRT((VLOOKUP($G7,Coords[],3,FALSE)-VLOOKUP(AB$5,Coords[],3,FALSE))^2+(VLOOKUP($G7,Coords[],4,FALSE)-VLOOKUP(AB$5,Coords[],4,FALSE))^2)))</f>
        <v>1000</v>
      </c>
      <c r="AC7" s="10">
        <f>IF($G7=AC$5,1000,IF(AC$4=0,1000,SQRT((VLOOKUP($G7,Coords[],3,FALSE)-VLOOKUP(AC$5,Coords[],3,FALSE))^2+(VLOOKUP($G7,Coords[],4,FALSE)-VLOOKUP(AC$5,Coords[],4,FALSE))^2)))</f>
        <v>1000</v>
      </c>
      <c r="AD7" s="10">
        <f>IF($G7=AD$5,1000,IF(AD$4=0,1000,SQRT((VLOOKUP($G7,Coords[],3,FALSE)-VLOOKUP(AD$5,Coords[],3,FALSE))^2+(VLOOKUP($G7,Coords[],4,FALSE)-VLOOKUP(AD$5,Coords[],4,FALSE))^2)))</f>
        <v>1000</v>
      </c>
      <c r="AE7" s="10">
        <f>IF($G7=AE$5,1000,IF(AE$4=0,1000,SQRT((VLOOKUP($G7,Coords[],3,FALSE)-VLOOKUP(AE$5,Coords[],3,FALSE))^2+(VLOOKUP($G7,Coords[],4,FALSE)-VLOOKUP(AE$5,Coords[],4,FALSE))^2)))</f>
        <v>1000</v>
      </c>
      <c r="AF7" s="10">
        <f>IF($G7=AF$5,1000,IF(AF$4=0,1000,SQRT((VLOOKUP($G7,Coords[],3,FALSE)-VLOOKUP(AF$5,Coords[],3,FALSE))^2+(VLOOKUP($G7,Coords[],4,FALSE)-VLOOKUP(AF$5,Coords[],4,FALSE))^2)))</f>
        <v>1000</v>
      </c>
      <c r="AG7" s="10">
        <f>IF($G7=AG$5,1000,IF(AG$4=0,1000,SQRT((VLOOKUP($G7,Coords[],3,FALSE)-VLOOKUP(AG$5,Coords[],3,FALSE))^2+(VLOOKUP($G7,Coords[],4,FALSE)-VLOOKUP(AG$5,Coords[],4,FALSE))^2)))</f>
        <v>1000</v>
      </c>
      <c r="AH7" s="10">
        <f>IF($G7=AH$5,1000,IF(AH$4=0,1000,SQRT((VLOOKUP($G7,Coords[],3,FALSE)-VLOOKUP(AH$5,Coords[],3,FALSE))^2+(VLOOKUP($G7,Coords[],4,FALSE)-VLOOKUP(AH$5,Coords[],4,FALSE))^2)))</f>
        <v>1000</v>
      </c>
      <c r="AI7" s="10">
        <f>IF($G7=AI$5,1000,IF(AI$4=0,1000,SQRT((VLOOKUP($G7,Coords[],3,FALSE)-VLOOKUP(AI$5,Coords[],3,FALSE))^2+(VLOOKUP($G7,Coords[],4,FALSE)-VLOOKUP(AI$5,Coords[],4,FALSE))^2)))</f>
        <v>1000</v>
      </c>
      <c r="AJ7" s="10">
        <f>IF($G7=AJ$5,1000,IF(AJ$4=0,1000,SQRT((VLOOKUP($G7,Coords[],3,FALSE)-VLOOKUP(AJ$5,Coords[],3,FALSE))^2+(VLOOKUP($G7,Coords[],4,FALSE)-VLOOKUP(AJ$5,Coords[],4,FALSE))^2)))</f>
        <v>9.0553851381374173</v>
      </c>
      <c r="AK7" s="10">
        <f>IF($G7=AK$5,1000,IF(AK$4=0,1000,SQRT((VLOOKUP($G7,Coords[],3,FALSE)-VLOOKUP(AK$5,Coords[],3,FALSE))^2+(VLOOKUP($G7,Coords[],4,FALSE)-VLOOKUP(AK$5,Coords[],4,FALSE))^2)))</f>
        <v>1000</v>
      </c>
      <c r="AL7" s="10">
        <f>IF($G7=AL$5,1000,IF(AL$4=0,1000,SQRT((VLOOKUP($G7,Coords[],3,FALSE)-VLOOKUP(AL$5,Coords[],3,FALSE))^2+(VLOOKUP($G7,Coords[],4,FALSE)-VLOOKUP(AL$5,Coords[],4,FALSE))^2)))</f>
        <v>1000</v>
      </c>
      <c r="AM7" s="10">
        <f>IF($G7=AM$5,1000,IF(AM$4=0,1000,SQRT((VLOOKUP($G7,Coords[],3,FALSE)-VLOOKUP(AM$5,Coords[],3,FALSE))^2+(VLOOKUP($G7,Coords[],4,FALSE)-VLOOKUP(AM$5,Coords[],4,FALSE))^2)))</f>
        <v>11.401754250991379</v>
      </c>
      <c r="AN7" s="10">
        <f>IF($G7=AN$5,1000,IF(AN$4=0,1000,SQRT((VLOOKUP($G7,Coords[],3,FALSE)-VLOOKUP(AN$5,Coords[],3,FALSE))^2+(VLOOKUP($G7,Coords[],4,FALSE)-VLOOKUP(AN$5,Coords[],4,FALSE))^2)))</f>
        <v>1000</v>
      </c>
      <c r="AO7" s="10">
        <f>IF($G7=AO$5,1000,IF(AO$4=0,1000,SQRT((VLOOKUP($G7,Coords[],3,FALSE)-VLOOKUP(AO$5,Coords[],3,FALSE))^2+(VLOOKUP($G7,Coords[],4,FALSE)-VLOOKUP(AO$5,Coords[],4,FALSE))^2)))</f>
        <v>1000</v>
      </c>
      <c r="AP7" s="10">
        <f>IF($G7=AP$5,1000,IF(AP$4=0,1000,SQRT((VLOOKUP($G7,Coords[],3,FALSE)-VLOOKUP(AP$5,Coords[],3,FALSE))^2+(VLOOKUP($G7,Coords[],4,FALSE)-VLOOKUP(AP$5,Coords[],4,FALSE))^2)))</f>
        <v>1000</v>
      </c>
      <c r="AQ7" s="10">
        <f>IF($G7=AQ$5,1000,IF(AQ$4=0,1000,SQRT((VLOOKUP($G7,Coords[],3,FALSE)-VLOOKUP(AQ$5,Coords[],3,FALSE))^2+(VLOOKUP($G7,Coords[],4,FALSE)-VLOOKUP(AQ$5,Coords[],4,FALSE))^2)))</f>
        <v>1000</v>
      </c>
      <c r="AR7" s="10">
        <f>IF($G7=AR$5,1000,IF(AR$4=0,1000,SQRT((VLOOKUP($G7,Coords[],3,FALSE)-VLOOKUP(AR$5,Coords[],3,FALSE))^2+(VLOOKUP($G7,Coords[],4,FALSE)-VLOOKUP(AR$5,Coords[],4,FALSE))^2)))</f>
        <v>1000</v>
      </c>
      <c r="AS7" s="10">
        <f>IF($G7=AS$5,1000,IF(AS$4=0,1000,SQRT((VLOOKUP($G7,Coords[],3,FALSE)-VLOOKUP(AS$5,Coords[],3,FALSE))^2+(VLOOKUP($G7,Coords[],4,FALSE)-VLOOKUP(AS$5,Coords[],4,FALSE))^2)))</f>
        <v>1000</v>
      </c>
      <c r="AT7" s="10">
        <f>IF($G7=AT$5,1000,IF(AT$4=0,1000,SQRT((VLOOKUP($G7,Coords[],3,FALSE)-VLOOKUP(AT$5,Coords[],3,FALSE))^2+(VLOOKUP($G7,Coords[],4,FALSE)-VLOOKUP(AT$5,Coords[],4,FALSE))^2)))</f>
        <v>1000</v>
      </c>
      <c r="AU7" s="10">
        <f>IF($G7=AU$5,1000,IF(AU$4=0,1000,SQRT((VLOOKUP($G7,Coords[],3,FALSE)-VLOOKUP(AU$5,Coords[],3,FALSE))^2+(VLOOKUP($G7,Coords[],4,FALSE)-VLOOKUP(AU$5,Coords[],4,FALSE))^2)))</f>
        <v>1000</v>
      </c>
      <c r="AV7" s="10">
        <f>IF($G7=AV$5,1000,IF(AV$4=0,1000,SQRT((VLOOKUP($G7,Coords[],3,FALSE)-VLOOKUP(AV$5,Coords[],3,FALSE))^2+(VLOOKUP($G7,Coords[],4,FALSE)-VLOOKUP(AV$5,Coords[],4,FALSE))^2)))</f>
        <v>1000</v>
      </c>
      <c r="AW7" s="10">
        <f>IF($G7=AW$5,1000,IF(AW$4=0,1000,SQRT((VLOOKUP($G7,Coords[],3,FALSE)-VLOOKUP(AW$5,Coords[],3,FALSE))^2+(VLOOKUP($G7,Coords[],4,FALSE)-VLOOKUP(AW$5,Coords[],4,FALSE))^2)))</f>
        <v>1000</v>
      </c>
      <c r="AX7" s="10">
        <f>IF($G7=AX$5,1000,IF(AX$4=0,1000,SQRT((VLOOKUP($G7,Coords[],3,FALSE)-VLOOKUP(AX$5,Coords[],3,FALSE))^2+(VLOOKUP($G7,Coords[],4,FALSE)-VLOOKUP(AX$5,Coords[],4,FALSE))^2)))</f>
        <v>1000</v>
      </c>
      <c r="AY7" s="10">
        <f>IF($G7=AY$5,1000,IF(AY$4=0,1000,SQRT((VLOOKUP($G7,Coords[],3,FALSE)-VLOOKUP(AY$5,Coords[],3,FALSE))^2+(VLOOKUP($G7,Coords[],4,FALSE)-VLOOKUP(AY$5,Coords[],4,FALSE))^2)))</f>
        <v>1000</v>
      </c>
      <c r="AZ7" s="10">
        <f>IF($G7=AZ$5,1000,IF(AZ$4=0,1000,SQRT((VLOOKUP($G7,Coords[],3,FALSE)-VLOOKUP(AZ$5,Coords[],3,FALSE))^2+(VLOOKUP($G7,Coords[],4,FALSE)-VLOOKUP(AZ$5,Coords[],4,FALSE))^2)))</f>
        <v>1000</v>
      </c>
      <c r="BA7" s="10">
        <f>IF($G7=BA$5,1000,IF(BA$4=0,1000,SQRT((VLOOKUP($G7,Coords[],3,FALSE)-VLOOKUP(BA$5,Coords[],3,FALSE))^2+(VLOOKUP($G7,Coords[],4,FALSE)-VLOOKUP(BA$5,Coords[],4,FALSE))^2)))</f>
        <v>1000</v>
      </c>
      <c r="BB7" s="10">
        <f>IF($G7=BB$5,1000,IF(BB$4=0,1000,SQRT((VLOOKUP($G7,Coords[],3,FALSE)-VLOOKUP(BB$5,Coords[],3,FALSE))^2+(VLOOKUP($G7,Coords[],4,FALSE)-VLOOKUP(BB$5,Coords[],4,FALSE))^2)))</f>
        <v>1000</v>
      </c>
      <c r="BC7" s="10">
        <f>IF($G7=BC$5,1000,IF(BC$4=0,1000,SQRT((VLOOKUP($G7,Coords[],3,FALSE)-VLOOKUP(BC$5,Coords[],3,FALSE))^2+(VLOOKUP($G7,Coords[],4,FALSE)-VLOOKUP(BC$5,Coords[],4,FALSE))^2)))</f>
        <v>1000</v>
      </c>
      <c r="BD7" s="10">
        <f>IF($G7=BD$5,1000,IF(BD$4=0,1000,SQRT((VLOOKUP($G7,Coords[],3,FALSE)-VLOOKUP(BD$5,Coords[],3,FALSE))^2+(VLOOKUP($G7,Coords[],4,FALSE)-VLOOKUP(BD$5,Coords[],4,FALSE))^2)))</f>
        <v>1000</v>
      </c>
      <c r="BE7" s="10">
        <f>IF($G7=BE$5,1000,IF(BE$4=0,1000,SQRT((VLOOKUP($G7,Coords[],3,FALSE)-VLOOKUP(BE$5,Coords[],3,FALSE))^2+(VLOOKUP($G7,Coords[],4,FALSE)-VLOOKUP(BE$5,Coords[],4,FALSE))^2)))</f>
        <v>1000</v>
      </c>
      <c r="BF7" s="10">
        <f>IF($G7=BF$5,1000,IF(BF$4=0,1000,SQRT((VLOOKUP($G7,Coords[],3,FALSE)-VLOOKUP(BF$5,Coords[],3,FALSE))^2+(VLOOKUP($G7,Coords[],4,FALSE)-VLOOKUP(BF$5,Coords[],4,FALSE))^2)))</f>
        <v>1000</v>
      </c>
      <c r="BG7" s="4">
        <v>2</v>
      </c>
      <c r="BI7" s="5">
        <f>IF(E7=1,0,VLOOKUP($G7,$G$6:$BF$57,HLOOKUP(MIN(H7:BF7),$H7:$BF$57,((COUNT($G$6:$G$56)+2)-$G7),FALSE),FALSE)*B7)</f>
        <v>27.166155414412252</v>
      </c>
      <c r="BJ7" s="9">
        <f>VLOOKUP($G7,$G$6:$BF$57,HLOOKUP(MIN(H7:BF7),$H7:$BF$57,((COUNT($G$6:$G$56)+2)-$G7),FALSE),FALSE)</f>
        <v>9.0553851381374173</v>
      </c>
      <c r="BK7" s="7">
        <f>HLOOKUP(MIN(H7:BF7),$H7:$BF$57,((COUNT($G$6:$G$56)+2)-$G7),FALSE)</f>
        <v>30</v>
      </c>
      <c r="BL7">
        <f>BJ7*Coords[[#This Row],[Demand]]</f>
        <v>27.166155414412252</v>
      </c>
      <c r="BN7">
        <v>2</v>
      </c>
      <c r="BO7">
        <v>8394.1145295333736</v>
      </c>
      <c r="BP7">
        <v>9523.1158702758439</v>
      </c>
    </row>
    <row r="8" spans="1:68" x14ac:dyDescent="0.25">
      <c r="A8" s="8">
        <v>3</v>
      </c>
      <c r="B8" s="3">
        <v>1</v>
      </c>
      <c r="C8" s="3">
        <v>52</v>
      </c>
      <c r="D8" s="3">
        <v>64</v>
      </c>
      <c r="E8">
        <v>0</v>
      </c>
      <c r="G8" s="4">
        <v>3</v>
      </c>
      <c r="H8" s="10">
        <f>IF($G8=H$5,1000,IF(H$4=0,1000,SQRT((VLOOKUP($G8,Coords[],3,FALSE)-VLOOKUP(H$5,Coords[],3,FALSE))^2+(VLOOKUP($G8,Coords[],4,FALSE)-VLOOKUP(H$5,Coords[],4,FALSE))^2)))</f>
        <v>1000</v>
      </c>
      <c r="I8" s="10">
        <f>IF($G8=I$5,1000,IF(I$4=0,1000,SQRT((VLOOKUP($G8,Coords[],3,FALSE)-VLOOKUP(I$5,Coords[],3,FALSE))^2+(VLOOKUP($G8,Coords[],4,FALSE)-VLOOKUP(I$5,Coords[],4,FALSE))^2)))</f>
        <v>1000</v>
      </c>
      <c r="J8" s="10">
        <f>IF($G8=J$5,1000,IF(J$4=0,1000,SQRT((VLOOKUP($G8,Coords[],3,FALSE)-VLOOKUP(J$5,Coords[],3,FALSE))^2+(VLOOKUP($G8,Coords[],4,FALSE)-VLOOKUP(J$5,Coords[],4,FALSE))^2)))</f>
        <v>1000</v>
      </c>
      <c r="K8" s="10">
        <f>IF($G8=K$5,1000,IF(K$4=0,1000,SQRT((VLOOKUP($G8,Coords[],3,FALSE)-VLOOKUP(K$5,Coords[],3,FALSE))^2+(VLOOKUP($G8,Coords[],4,FALSE)-VLOOKUP(K$5,Coords[],4,FALSE))^2)))</f>
        <v>1000</v>
      </c>
      <c r="L8" s="10">
        <f>IF($G8=L$5,1000,IF(L$4=0,1000,SQRT((VLOOKUP($G8,Coords[],3,FALSE)-VLOOKUP(L$5,Coords[],3,FALSE))^2+(VLOOKUP($G8,Coords[],4,FALSE)-VLOOKUP(L$5,Coords[],4,FALSE))^2)))</f>
        <v>1000</v>
      </c>
      <c r="M8" s="10">
        <f>IF($G8=M$5,1000,IF(M$4=0,1000,SQRT((VLOOKUP($G8,Coords[],3,FALSE)-VLOOKUP(M$5,Coords[],3,FALSE))^2+(VLOOKUP($G8,Coords[],4,FALSE)-VLOOKUP(M$5,Coords[],4,FALSE))^2)))</f>
        <v>1000</v>
      </c>
      <c r="N8" s="10">
        <f>IF($G8=N$5,1000,IF(N$4=0,1000,SQRT((VLOOKUP($G8,Coords[],3,FALSE)-VLOOKUP(N$5,Coords[],3,FALSE))^2+(VLOOKUP($G8,Coords[],4,FALSE)-VLOOKUP(N$5,Coords[],4,FALSE))^2)))</f>
        <v>1000</v>
      </c>
      <c r="O8" s="10">
        <f>IF($G8=O$5,1000,IF(O$4=0,1000,SQRT((VLOOKUP($G8,Coords[],3,FALSE)-VLOOKUP(O$5,Coords[],3,FALSE))^2+(VLOOKUP($G8,Coords[],4,FALSE)-VLOOKUP(O$5,Coords[],4,FALSE))^2)))</f>
        <v>21.095023109728988</v>
      </c>
      <c r="P8" s="10">
        <f>IF($G8=P$5,1000,IF(P$4=0,1000,SQRT((VLOOKUP($G8,Coords[],3,FALSE)-VLOOKUP(P$5,Coords[],3,FALSE))^2+(VLOOKUP($G8,Coords[],4,FALSE)-VLOOKUP(P$5,Coords[],4,FALSE))^2)))</f>
        <v>1000</v>
      </c>
      <c r="Q8" s="10">
        <f>IF($G8=Q$5,1000,IF(Q$4=0,1000,SQRT((VLOOKUP($G8,Coords[],3,FALSE)-VLOOKUP(Q$5,Coords[],3,FALSE))^2+(VLOOKUP($G8,Coords[],4,FALSE)-VLOOKUP(Q$5,Coords[],4,FALSE))^2)))</f>
        <v>1000</v>
      </c>
      <c r="R8" s="10">
        <f>IF($G8=R$5,1000,IF(R$4=0,1000,SQRT((VLOOKUP($G8,Coords[],3,FALSE)-VLOOKUP(R$5,Coords[],3,FALSE))^2+(VLOOKUP($G8,Coords[],4,FALSE)-VLOOKUP(R$5,Coords[],4,FALSE))^2)))</f>
        <v>1000</v>
      </c>
      <c r="S8" s="10">
        <f>IF($G8=S$5,1000,IF(S$4=0,1000,SQRT((VLOOKUP($G8,Coords[],3,FALSE)-VLOOKUP(S$5,Coords[],3,FALSE))^2+(VLOOKUP($G8,Coords[],4,FALSE)-VLOOKUP(S$5,Coords[],4,FALSE))^2)))</f>
        <v>1000</v>
      </c>
      <c r="T8" s="10">
        <f>IF($G8=T$5,1000,IF(T$4=0,1000,SQRT((VLOOKUP($G8,Coords[],3,FALSE)-VLOOKUP(T$5,Coords[],3,FALSE))^2+(VLOOKUP($G8,Coords[],4,FALSE)-VLOOKUP(T$5,Coords[],4,FALSE))^2)))</f>
        <v>1000</v>
      </c>
      <c r="U8" s="10">
        <f>IF($G8=U$5,1000,IF(U$4=0,1000,SQRT((VLOOKUP($G8,Coords[],3,FALSE)-VLOOKUP(U$5,Coords[],3,FALSE))^2+(VLOOKUP($G8,Coords[],4,FALSE)-VLOOKUP(U$5,Coords[],4,FALSE))^2)))</f>
        <v>1000</v>
      </c>
      <c r="V8" s="10">
        <f>IF($G8=V$5,1000,IF(V$4=0,1000,SQRT((VLOOKUP($G8,Coords[],3,FALSE)-VLOOKUP(V$5,Coords[],3,FALSE))^2+(VLOOKUP($G8,Coords[],4,FALSE)-VLOOKUP(V$5,Coords[],4,FALSE))^2)))</f>
        <v>1000</v>
      </c>
      <c r="W8" s="10">
        <f>IF($G8=W$5,1000,IF(W$4=0,1000,SQRT((VLOOKUP($G8,Coords[],3,FALSE)-VLOOKUP(W$5,Coords[],3,FALSE))^2+(VLOOKUP($G8,Coords[],4,FALSE)-VLOOKUP(W$5,Coords[],4,FALSE))^2)))</f>
        <v>1000</v>
      </c>
      <c r="X8" s="10">
        <f>IF($G8=X$5,1000,IF(X$4=0,1000,SQRT((VLOOKUP($G8,Coords[],3,FALSE)-VLOOKUP(X$5,Coords[],3,FALSE))^2+(VLOOKUP($G8,Coords[],4,FALSE)-VLOOKUP(X$5,Coords[],4,FALSE))^2)))</f>
        <v>1000</v>
      </c>
      <c r="Y8" s="10">
        <f>IF($G8=Y$5,1000,IF(Y$4=0,1000,SQRT((VLOOKUP($G8,Coords[],3,FALSE)-VLOOKUP(Y$5,Coords[],3,FALSE))^2+(VLOOKUP($G8,Coords[],4,FALSE)-VLOOKUP(Y$5,Coords[],4,FALSE))^2)))</f>
        <v>1000</v>
      </c>
      <c r="Z8" s="10">
        <f>IF($G8=Z$5,1000,IF(Z$4=0,1000,SQRT((VLOOKUP($G8,Coords[],3,FALSE)-VLOOKUP(Z$5,Coords[],3,FALSE))^2+(VLOOKUP($G8,Coords[],4,FALSE)-VLOOKUP(Z$5,Coords[],4,FALSE))^2)))</f>
        <v>1000</v>
      </c>
      <c r="AA8" s="10">
        <f>IF($G8=AA$5,1000,IF(AA$4=0,1000,SQRT((VLOOKUP($G8,Coords[],3,FALSE)-VLOOKUP(AA$5,Coords[],3,FALSE))^2+(VLOOKUP($G8,Coords[],4,FALSE)-VLOOKUP(AA$5,Coords[],4,FALSE))^2)))</f>
        <v>7.810249675906654</v>
      </c>
      <c r="AB8" s="10">
        <f>IF($G8=AB$5,1000,IF(AB$4=0,1000,SQRT((VLOOKUP($G8,Coords[],3,FALSE)-VLOOKUP(AB$5,Coords[],3,FALSE))^2+(VLOOKUP($G8,Coords[],4,FALSE)-VLOOKUP(AB$5,Coords[],4,FALSE))^2)))</f>
        <v>1000</v>
      </c>
      <c r="AC8" s="10">
        <f>IF($G8=AC$5,1000,IF(AC$4=0,1000,SQRT((VLOOKUP($G8,Coords[],3,FALSE)-VLOOKUP(AC$5,Coords[],3,FALSE))^2+(VLOOKUP($G8,Coords[],4,FALSE)-VLOOKUP(AC$5,Coords[],4,FALSE))^2)))</f>
        <v>1000</v>
      </c>
      <c r="AD8" s="10">
        <f>IF($G8=AD$5,1000,IF(AD$4=0,1000,SQRT((VLOOKUP($G8,Coords[],3,FALSE)-VLOOKUP(AD$5,Coords[],3,FALSE))^2+(VLOOKUP($G8,Coords[],4,FALSE)-VLOOKUP(AD$5,Coords[],4,FALSE))^2)))</f>
        <v>1000</v>
      </c>
      <c r="AE8" s="10">
        <f>IF($G8=AE$5,1000,IF(AE$4=0,1000,SQRT((VLOOKUP($G8,Coords[],3,FALSE)-VLOOKUP(AE$5,Coords[],3,FALSE))^2+(VLOOKUP($G8,Coords[],4,FALSE)-VLOOKUP(AE$5,Coords[],4,FALSE))^2)))</f>
        <v>1000</v>
      </c>
      <c r="AF8" s="10">
        <f>IF($G8=AF$5,1000,IF(AF$4=0,1000,SQRT((VLOOKUP($G8,Coords[],3,FALSE)-VLOOKUP(AF$5,Coords[],3,FALSE))^2+(VLOOKUP($G8,Coords[],4,FALSE)-VLOOKUP(AF$5,Coords[],4,FALSE))^2)))</f>
        <v>1000</v>
      </c>
      <c r="AG8" s="10">
        <f>IF($G8=AG$5,1000,IF(AG$4=0,1000,SQRT((VLOOKUP($G8,Coords[],3,FALSE)-VLOOKUP(AG$5,Coords[],3,FALSE))^2+(VLOOKUP($G8,Coords[],4,FALSE)-VLOOKUP(AG$5,Coords[],4,FALSE))^2)))</f>
        <v>1000</v>
      </c>
      <c r="AH8" s="10">
        <f>IF($G8=AH$5,1000,IF(AH$4=0,1000,SQRT((VLOOKUP($G8,Coords[],3,FALSE)-VLOOKUP(AH$5,Coords[],3,FALSE))^2+(VLOOKUP($G8,Coords[],4,FALSE)-VLOOKUP(AH$5,Coords[],4,FALSE))^2)))</f>
        <v>1000</v>
      </c>
      <c r="AI8" s="10">
        <f>IF($G8=AI$5,1000,IF(AI$4=0,1000,SQRT((VLOOKUP($G8,Coords[],3,FALSE)-VLOOKUP(AI$5,Coords[],3,FALSE))^2+(VLOOKUP($G8,Coords[],4,FALSE)-VLOOKUP(AI$5,Coords[],4,FALSE))^2)))</f>
        <v>1000</v>
      </c>
      <c r="AJ8" s="10">
        <f>IF($G8=AJ$5,1000,IF(AJ$4=0,1000,SQRT((VLOOKUP($G8,Coords[],3,FALSE)-VLOOKUP(AJ$5,Coords[],3,FALSE))^2+(VLOOKUP($G8,Coords[],4,FALSE)-VLOOKUP(AJ$5,Coords[],4,FALSE))^2)))</f>
        <v>17.088007490635061</v>
      </c>
      <c r="AK8" s="10">
        <f>IF($G8=AK$5,1000,IF(AK$4=0,1000,SQRT((VLOOKUP($G8,Coords[],3,FALSE)-VLOOKUP(AK$5,Coords[],3,FALSE))^2+(VLOOKUP($G8,Coords[],4,FALSE)-VLOOKUP(AK$5,Coords[],4,FALSE))^2)))</f>
        <v>1000</v>
      </c>
      <c r="AL8" s="10">
        <f>IF($G8=AL$5,1000,IF(AL$4=0,1000,SQRT((VLOOKUP($G8,Coords[],3,FALSE)-VLOOKUP(AL$5,Coords[],3,FALSE))^2+(VLOOKUP($G8,Coords[],4,FALSE)-VLOOKUP(AL$5,Coords[],4,FALSE))^2)))</f>
        <v>1000</v>
      </c>
      <c r="AM8" s="10">
        <f>IF($G8=AM$5,1000,IF(AM$4=0,1000,SQRT((VLOOKUP($G8,Coords[],3,FALSE)-VLOOKUP(AM$5,Coords[],3,FALSE))^2+(VLOOKUP($G8,Coords[],4,FALSE)-VLOOKUP(AM$5,Coords[],4,FALSE))^2)))</f>
        <v>22.803508501982758</v>
      </c>
      <c r="AN8" s="10">
        <f>IF($G8=AN$5,1000,IF(AN$4=0,1000,SQRT((VLOOKUP($G8,Coords[],3,FALSE)-VLOOKUP(AN$5,Coords[],3,FALSE))^2+(VLOOKUP($G8,Coords[],4,FALSE)-VLOOKUP(AN$5,Coords[],4,FALSE))^2)))</f>
        <v>1000</v>
      </c>
      <c r="AO8" s="10">
        <f>IF($G8=AO$5,1000,IF(AO$4=0,1000,SQRT((VLOOKUP($G8,Coords[],3,FALSE)-VLOOKUP(AO$5,Coords[],3,FALSE))^2+(VLOOKUP($G8,Coords[],4,FALSE)-VLOOKUP(AO$5,Coords[],4,FALSE))^2)))</f>
        <v>1000</v>
      </c>
      <c r="AP8" s="10">
        <f>IF($G8=AP$5,1000,IF(AP$4=0,1000,SQRT((VLOOKUP($G8,Coords[],3,FALSE)-VLOOKUP(AP$5,Coords[],3,FALSE))^2+(VLOOKUP($G8,Coords[],4,FALSE)-VLOOKUP(AP$5,Coords[],4,FALSE))^2)))</f>
        <v>1000</v>
      </c>
      <c r="AQ8" s="10">
        <f>IF($G8=AQ$5,1000,IF(AQ$4=0,1000,SQRT((VLOOKUP($G8,Coords[],3,FALSE)-VLOOKUP(AQ$5,Coords[],3,FALSE))^2+(VLOOKUP($G8,Coords[],4,FALSE)-VLOOKUP(AQ$5,Coords[],4,FALSE))^2)))</f>
        <v>1000</v>
      </c>
      <c r="AR8" s="10">
        <f>IF($G8=AR$5,1000,IF(AR$4=0,1000,SQRT((VLOOKUP($G8,Coords[],3,FALSE)-VLOOKUP(AR$5,Coords[],3,FALSE))^2+(VLOOKUP($G8,Coords[],4,FALSE)-VLOOKUP(AR$5,Coords[],4,FALSE))^2)))</f>
        <v>1000</v>
      </c>
      <c r="AS8" s="10">
        <f>IF($G8=AS$5,1000,IF(AS$4=0,1000,SQRT((VLOOKUP($G8,Coords[],3,FALSE)-VLOOKUP(AS$5,Coords[],3,FALSE))^2+(VLOOKUP($G8,Coords[],4,FALSE)-VLOOKUP(AS$5,Coords[],4,FALSE))^2)))</f>
        <v>1000</v>
      </c>
      <c r="AT8" s="10">
        <f>IF($G8=AT$5,1000,IF(AT$4=0,1000,SQRT((VLOOKUP($G8,Coords[],3,FALSE)-VLOOKUP(AT$5,Coords[],3,FALSE))^2+(VLOOKUP($G8,Coords[],4,FALSE)-VLOOKUP(AT$5,Coords[],4,FALSE))^2)))</f>
        <v>1000</v>
      </c>
      <c r="AU8" s="10">
        <f>IF($G8=AU$5,1000,IF(AU$4=0,1000,SQRT((VLOOKUP($G8,Coords[],3,FALSE)-VLOOKUP(AU$5,Coords[],3,FALSE))^2+(VLOOKUP($G8,Coords[],4,FALSE)-VLOOKUP(AU$5,Coords[],4,FALSE))^2)))</f>
        <v>1000</v>
      </c>
      <c r="AV8" s="10">
        <f>IF($G8=AV$5,1000,IF(AV$4=0,1000,SQRT((VLOOKUP($G8,Coords[],3,FALSE)-VLOOKUP(AV$5,Coords[],3,FALSE))^2+(VLOOKUP($G8,Coords[],4,FALSE)-VLOOKUP(AV$5,Coords[],4,FALSE))^2)))</f>
        <v>1000</v>
      </c>
      <c r="AW8" s="10">
        <f>IF($G8=AW$5,1000,IF(AW$4=0,1000,SQRT((VLOOKUP($G8,Coords[],3,FALSE)-VLOOKUP(AW$5,Coords[],3,FALSE))^2+(VLOOKUP($G8,Coords[],4,FALSE)-VLOOKUP(AW$5,Coords[],4,FALSE))^2)))</f>
        <v>1000</v>
      </c>
      <c r="AX8" s="10">
        <f>IF($G8=AX$5,1000,IF(AX$4=0,1000,SQRT((VLOOKUP($G8,Coords[],3,FALSE)-VLOOKUP(AX$5,Coords[],3,FALSE))^2+(VLOOKUP($G8,Coords[],4,FALSE)-VLOOKUP(AX$5,Coords[],4,FALSE))^2)))</f>
        <v>1000</v>
      </c>
      <c r="AY8" s="10">
        <f>IF($G8=AY$5,1000,IF(AY$4=0,1000,SQRT((VLOOKUP($G8,Coords[],3,FALSE)-VLOOKUP(AY$5,Coords[],3,FALSE))^2+(VLOOKUP($G8,Coords[],4,FALSE)-VLOOKUP(AY$5,Coords[],4,FALSE))^2)))</f>
        <v>1000</v>
      </c>
      <c r="AZ8" s="10">
        <f>IF($G8=AZ$5,1000,IF(AZ$4=0,1000,SQRT((VLOOKUP($G8,Coords[],3,FALSE)-VLOOKUP(AZ$5,Coords[],3,FALSE))^2+(VLOOKUP($G8,Coords[],4,FALSE)-VLOOKUP(AZ$5,Coords[],4,FALSE))^2)))</f>
        <v>1000</v>
      </c>
      <c r="BA8" s="10">
        <f>IF($G8=BA$5,1000,IF(BA$4=0,1000,SQRT((VLOOKUP($G8,Coords[],3,FALSE)-VLOOKUP(BA$5,Coords[],3,FALSE))^2+(VLOOKUP($G8,Coords[],4,FALSE)-VLOOKUP(BA$5,Coords[],4,FALSE))^2)))</f>
        <v>1000</v>
      </c>
      <c r="BB8" s="10">
        <f>IF($G8=BB$5,1000,IF(BB$4=0,1000,SQRT((VLOOKUP($G8,Coords[],3,FALSE)-VLOOKUP(BB$5,Coords[],3,FALSE))^2+(VLOOKUP($G8,Coords[],4,FALSE)-VLOOKUP(BB$5,Coords[],4,FALSE))^2)))</f>
        <v>1000</v>
      </c>
      <c r="BC8" s="10">
        <f>IF($G8=BC$5,1000,IF(BC$4=0,1000,SQRT((VLOOKUP($G8,Coords[],3,FALSE)-VLOOKUP(BC$5,Coords[],3,FALSE))^2+(VLOOKUP($G8,Coords[],4,FALSE)-VLOOKUP(BC$5,Coords[],4,FALSE))^2)))</f>
        <v>1000</v>
      </c>
      <c r="BD8" s="10">
        <f>IF($G8=BD$5,1000,IF(BD$4=0,1000,SQRT((VLOOKUP($G8,Coords[],3,FALSE)-VLOOKUP(BD$5,Coords[],3,FALSE))^2+(VLOOKUP($G8,Coords[],4,FALSE)-VLOOKUP(BD$5,Coords[],4,FALSE))^2)))</f>
        <v>1000</v>
      </c>
      <c r="BE8" s="10">
        <f>IF($G8=BE$5,1000,IF(BE$4=0,1000,SQRT((VLOOKUP($G8,Coords[],3,FALSE)-VLOOKUP(BE$5,Coords[],3,FALSE))^2+(VLOOKUP($G8,Coords[],4,FALSE)-VLOOKUP(BE$5,Coords[],4,FALSE))^2)))</f>
        <v>1000</v>
      </c>
      <c r="BF8" s="10">
        <f>IF($G8=BF$5,1000,IF(BF$4=0,1000,SQRT((VLOOKUP($G8,Coords[],3,FALSE)-VLOOKUP(BF$5,Coords[],3,FALSE))^2+(VLOOKUP($G8,Coords[],4,FALSE)-VLOOKUP(BF$5,Coords[],4,FALSE))^2)))</f>
        <v>1000</v>
      </c>
      <c r="BG8" s="4">
        <v>3</v>
      </c>
      <c r="BI8" s="5">
        <f>IF(E8=1,0,VLOOKUP($G8,$G$6:$BF$57,HLOOKUP(MIN(H8:BF8),$H8:$BF$57,((COUNT($G$6:$G$56)+2)-$G8),FALSE),FALSE)*B8)</f>
        <v>7.810249675906654</v>
      </c>
      <c r="BJ8" s="9">
        <f>VLOOKUP($G8,$G$6:$BF$57,HLOOKUP(MIN(H8:BF8),$H8:$BF$57,((COUNT($G$6:$G$56)+2)-$G8),FALSE),FALSE)</f>
        <v>7.810249675906654</v>
      </c>
      <c r="BK8" s="7">
        <f>HLOOKUP(MIN(H8:BF8),$H8:$BF$57,((COUNT($G$6:$G$56)+2)-$G8),FALSE)</f>
        <v>21</v>
      </c>
      <c r="BL8">
        <f>BJ8*Coords[[#This Row],[Demand]]</f>
        <v>7.810249675906654</v>
      </c>
      <c r="BN8">
        <v>3</v>
      </c>
      <c r="BO8">
        <v>8394.1145295333736</v>
      </c>
      <c r="BP8">
        <v>12896.559406352151</v>
      </c>
    </row>
    <row r="9" spans="1:68" x14ac:dyDescent="0.25">
      <c r="A9" s="8">
        <v>4</v>
      </c>
      <c r="B9" s="3">
        <v>12</v>
      </c>
      <c r="C9" s="3">
        <v>20</v>
      </c>
      <c r="D9" s="3">
        <v>26</v>
      </c>
      <c r="E9">
        <v>0</v>
      </c>
      <c r="G9" s="4">
        <v>4</v>
      </c>
      <c r="H9" s="10">
        <f>IF($G9=H$5,1000,IF(H$4=0,1000,SQRT((VLOOKUP($G9,Coords[],3,FALSE)-VLOOKUP(H$5,Coords[],3,FALSE))^2+(VLOOKUP($G9,Coords[],4,FALSE)-VLOOKUP(H$5,Coords[],4,FALSE))^2)))</f>
        <v>1000</v>
      </c>
      <c r="I9" s="10">
        <f>IF($G9=I$5,1000,IF(I$4=0,1000,SQRT((VLOOKUP($G9,Coords[],3,FALSE)-VLOOKUP(I$5,Coords[],3,FALSE))^2+(VLOOKUP($G9,Coords[],4,FALSE)-VLOOKUP(I$5,Coords[],4,FALSE))^2)))</f>
        <v>1000</v>
      </c>
      <c r="J9" s="10">
        <f>IF($G9=J$5,1000,IF(J$4=0,1000,SQRT((VLOOKUP($G9,Coords[],3,FALSE)-VLOOKUP(J$5,Coords[],3,FALSE))^2+(VLOOKUP($G9,Coords[],4,FALSE)-VLOOKUP(J$5,Coords[],4,FALSE))^2)))</f>
        <v>1000</v>
      </c>
      <c r="K9" s="10">
        <f>IF($G9=K$5,1000,IF(K$4=0,1000,SQRT((VLOOKUP($G9,Coords[],3,FALSE)-VLOOKUP(K$5,Coords[],3,FALSE))^2+(VLOOKUP($G9,Coords[],4,FALSE)-VLOOKUP(K$5,Coords[],4,FALSE))^2)))</f>
        <v>1000</v>
      </c>
      <c r="L9" s="10">
        <f>IF($G9=L$5,1000,IF(L$4=0,1000,SQRT((VLOOKUP($G9,Coords[],3,FALSE)-VLOOKUP(L$5,Coords[],3,FALSE))^2+(VLOOKUP($G9,Coords[],4,FALSE)-VLOOKUP(L$5,Coords[],4,FALSE))^2)))</f>
        <v>1000</v>
      </c>
      <c r="M9" s="10">
        <f>IF($G9=M$5,1000,IF(M$4=0,1000,SQRT((VLOOKUP($G9,Coords[],3,FALSE)-VLOOKUP(M$5,Coords[],3,FALSE))^2+(VLOOKUP($G9,Coords[],4,FALSE)-VLOOKUP(M$5,Coords[],4,FALSE))^2)))</f>
        <v>1000</v>
      </c>
      <c r="N9" s="10">
        <f>IF($G9=N$5,1000,IF(N$4=0,1000,SQRT((VLOOKUP($G9,Coords[],3,FALSE)-VLOOKUP(N$5,Coords[],3,FALSE))^2+(VLOOKUP($G9,Coords[],4,FALSE)-VLOOKUP(N$5,Coords[],4,FALSE))^2)))</f>
        <v>1000</v>
      </c>
      <c r="O9" s="10">
        <f>IF($G9=O$5,1000,IF(O$4=0,1000,SQRT((VLOOKUP($G9,Coords[],3,FALSE)-VLOOKUP(O$5,Coords[],3,FALSE))^2+(VLOOKUP($G9,Coords[],4,FALSE)-VLOOKUP(O$5,Coords[],4,FALSE))^2)))</f>
        <v>37.643060449437421</v>
      </c>
      <c r="P9" s="10">
        <f>IF($G9=P$5,1000,IF(P$4=0,1000,SQRT((VLOOKUP($G9,Coords[],3,FALSE)-VLOOKUP(P$5,Coords[],3,FALSE))^2+(VLOOKUP($G9,Coords[],4,FALSE)-VLOOKUP(P$5,Coords[],4,FALSE))^2)))</f>
        <v>1000</v>
      </c>
      <c r="Q9" s="10">
        <f>IF($G9=Q$5,1000,IF(Q$4=0,1000,SQRT((VLOOKUP($G9,Coords[],3,FALSE)-VLOOKUP(Q$5,Coords[],3,FALSE))^2+(VLOOKUP($G9,Coords[],4,FALSE)-VLOOKUP(Q$5,Coords[],4,FALSE))^2)))</f>
        <v>1000</v>
      </c>
      <c r="R9" s="10">
        <f>IF($G9=R$5,1000,IF(R$4=0,1000,SQRT((VLOOKUP($G9,Coords[],3,FALSE)-VLOOKUP(R$5,Coords[],3,FALSE))^2+(VLOOKUP($G9,Coords[],4,FALSE)-VLOOKUP(R$5,Coords[],4,FALSE))^2)))</f>
        <v>1000</v>
      </c>
      <c r="S9" s="10">
        <f>IF($G9=S$5,1000,IF(S$4=0,1000,SQRT((VLOOKUP($G9,Coords[],3,FALSE)-VLOOKUP(S$5,Coords[],3,FALSE))^2+(VLOOKUP($G9,Coords[],4,FALSE)-VLOOKUP(S$5,Coords[],4,FALSE))^2)))</f>
        <v>1000</v>
      </c>
      <c r="T9" s="10">
        <f>IF($G9=T$5,1000,IF(T$4=0,1000,SQRT((VLOOKUP($G9,Coords[],3,FALSE)-VLOOKUP(T$5,Coords[],3,FALSE))^2+(VLOOKUP($G9,Coords[],4,FALSE)-VLOOKUP(T$5,Coords[],4,FALSE))^2)))</f>
        <v>1000</v>
      </c>
      <c r="U9" s="10">
        <f>IF($G9=U$5,1000,IF(U$4=0,1000,SQRT((VLOOKUP($G9,Coords[],3,FALSE)-VLOOKUP(U$5,Coords[],3,FALSE))^2+(VLOOKUP($G9,Coords[],4,FALSE)-VLOOKUP(U$5,Coords[],4,FALSE))^2)))</f>
        <v>1000</v>
      </c>
      <c r="V9" s="10">
        <f>IF($G9=V$5,1000,IF(V$4=0,1000,SQRT((VLOOKUP($G9,Coords[],3,FALSE)-VLOOKUP(V$5,Coords[],3,FALSE))^2+(VLOOKUP($G9,Coords[],4,FALSE)-VLOOKUP(V$5,Coords[],4,FALSE))^2)))</f>
        <v>1000</v>
      </c>
      <c r="W9" s="10">
        <f>IF($G9=W$5,1000,IF(W$4=0,1000,SQRT((VLOOKUP($G9,Coords[],3,FALSE)-VLOOKUP(W$5,Coords[],3,FALSE))^2+(VLOOKUP($G9,Coords[],4,FALSE)-VLOOKUP(W$5,Coords[],4,FALSE))^2)))</f>
        <v>1000</v>
      </c>
      <c r="X9" s="10">
        <f>IF($G9=X$5,1000,IF(X$4=0,1000,SQRT((VLOOKUP($G9,Coords[],3,FALSE)-VLOOKUP(X$5,Coords[],3,FALSE))^2+(VLOOKUP($G9,Coords[],4,FALSE)-VLOOKUP(X$5,Coords[],4,FALSE))^2)))</f>
        <v>1000</v>
      </c>
      <c r="Y9" s="10">
        <f>IF($G9=Y$5,1000,IF(Y$4=0,1000,SQRT((VLOOKUP($G9,Coords[],3,FALSE)-VLOOKUP(Y$5,Coords[],3,FALSE))^2+(VLOOKUP($G9,Coords[],4,FALSE)-VLOOKUP(Y$5,Coords[],4,FALSE))^2)))</f>
        <v>1000</v>
      </c>
      <c r="Z9" s="10">
        <f>IF($G9=Z$5,1000,IF(Z$4=0,1000,SQRT((VLOOKUP($G9,Coords[],3,FALSE)-VLOOKUP(Z$5,Coords[],3,FALSE))^2+(VLOOKUP($G9,Coords[],4,FALSE)-VLOOKUP(Z$5,Coords[],4,FALSE))^2)))</f>
        <v>1000</v>
      </c>
      <c r="AA9" s="10">
        <f>IF($G9=AA$5,1000,IF(AA$4=0,1000,SQRT((VLOOKUP($G9,Coords[],3,FALSE)-VLOOKUP(AA$5,Coords[],3,FALSE))^2+(VLOOKUP($G9,Coords[],4,FALSE)-VLOOKUP(AA$5,Coords[],4,FALSE))^2)))</f>
        <v>48.918299234540036</v>
      </c>
      <c r="AB9" s="10">
        <f>IF($G9=AB$5,1000,IF(AB$4=0,1000,SQRT((VLOOKUP($G9,Coords[],3,FALSE)-VLOOKUP(AB$5,Coords[],3,FALSE))^2+(VLOOKUP($G9,Coords[],4,FALSE)-VLOOKUP(AB$5,Coords[],4,FALSE))^2)))</f>
        <v>1000</v>
      </c>
      <c r="AC9" s="10">
        <f>IF($G9=AC$5,1000,IF(AC$4=0,1000,SQRT((VLOOKUP($G9,Coords[],3,FALSE)-VLOOKUP(AC$5,Coords[],3,FALSE))^2+(VLOOKUP($G9,Coords[],4,FALSE)-VLOOKUP(AC$5,Coords[],4,FALSE))^2)))</f>
        <v>1000</v>
      </c>
      <c r="AD9" s="10">
        <f>IF($G9=AD$5,1000,IF(AD$4=0,1000,SQRT((VLOOKUP($G9,Coords[],3,FALSE)-VLOOKUP(AD$5,Coords[],3,FALSE))^2+(VLOOKUP($G9,Coords[],4,FALSE)-VLOOKUP(AD$5,Coords[],4,FALSE))^2)))</f>
        <v>1000</v>
      </c>
      <c r="AE9" s="10">
        <f>IF($G9=AE$5,1000,IF(AE$4=0,1000,SQRT((VLOOKUP($G9,Coords[],3,FALSE)-VLOOKUP(AE$5,Coords[],3,FALSE))^2+(VLOOKUP($G9,Coords[],4,FALSE)-VLOOKUP(AE$5,Coords[],4,FALSE))^2)))</f>
        <v>1000</v>
      </c>
      <c r="AF9" s="10">
        <f>IF($G9=AF$5,1000,IF(AF$4=0,1000,SQRT((VLOOKUP($G9,Coords[],3,FALSE)-VLOOKUP(AF$5,Coords[],3,FALSE))^2+(VLOOKUP($G9,Coords[],4,FALSE)-VLOOKUP(AF$5,Coords[],4,FALSE))^2)))</f>
        <v>1000</v>
      </c>
      <c r="AG9" s="10">
        <f>IF($G9=AG$5,1000,IF(AG$4=0,1000,SQRT((VLOOKUP($G9,Coords[],3,FALSE)-VLOOKUP(AG$5,Coords[],3,FALSE))^2+(VLOOKUP($G9,Coords[],4,FALSE)-VLOOKUP(AG$5,Coords[],4,FALSE))^2)))</f>
        <v>1000</v>
      </c>
      <c r="AH9" s="10">
        <f>IF($G9=AH$5,1000,IF(AH$4=0,1000,SQRT((VLOOKUP($G9,Coords[],3,FALSE)-VLOOKUP(AH$5,Coords[],3,FALSE))^2+(VLOOKUP($G9,Coords[],4,FALSE)-VLOOKUP(AH$5,Coords[],4,FALSE))^2)))</f>
        <v>1000</v>
      </c>
      <c r="AI9" s="10">
        <f>IF($G9=AI$5,1000,IF(AI$4=0,1000,SQRT((VLOOKUP($G9,Coords[],3,FALSE)-VLOOKUP(AI$5,Coords[],3,FALSE))^2+(VLOOKUP($G9,Coords[],4,FALSE)-VLOOKUP(AI$5,Coords[],4,FALSE))^2)))</f>
        <v>1000</v>
      </c>
      <c r="AJ9" s="10">
        <f>IF($G9=AJ$5,1000,IF(AJ$4=0,1000,SQRT((VLOOKUP($G9,Coords[],3,FALSE)-VLOOKUP(AJ$5,Coords[],3,FALSE))^2+(VLOOKUP($G9,Coords[],4,FALSE)-VLOOKUP(AJ$5,Coords[],4,FALSE))^2)))</f>
        <v>43.908996800200299</v>
      </c>
      <c r="AK9" s="10">
        <f>IF($G9=AK$5,1000,IF(AK$4=0,1000,SQRT((VLOOKUP($G9,Coords[],3,FALSE)-VLOOKUP(AK$5,Coords[],3,FALSE))^2+(VLOOKUP($G9,Coords[],4,FALSE)-VLOOKUP(AK$5,Coords[],4,FALSE))^2)))</f>
        <v>1000</v>
      </c>
      <c r="AL9" s="10">
        <f>IF($G9=AL$5,1000,IF(AL$4=0,1000,SQRT((VLOOKUP($G9,Coords[],3,FALSE)-VLOOKUP(AL$5,Coords[],3,FALSE))^2+(VLOOKUP($G9,Coords[],4,FALSE)-VLOOKUP(AL$5,Coords[],4,FALSE))^2)))</f>
        <v>1000</v>
      </c>
      <c r="AM9" s="10">
        <f>IF($G9=AM$5,1000,IF(AM$4=0,1000,SQRT((VLOOKUP($G9,Coords[],3,FALSE)-VLOOKUP(AM$5,Coords[],3,FALSE))^2+(VLOOKUP($G9,Coords[],4,FALSE)-VLOOKUP(AM$5,Coords[],4,FALSE))^2)))</f>
        <v>26.90724809414742</v>
      </c>
      <c r="AN9" s="10">
        <f>IF($G9=AN$5,1000,IF(AN$4=0,1000,SQRT((VLOOKUP($G9,Coords[],3,FALSE)-VLOOKUP(AN$5,Coords[],3,FALSE))^2+(VLOOKUP($G9,Coords[],4,FALSE)-VLOOKUP(AN$5,Coords[],4,FALSE))^2)))</f>
        <v>1000</v>
      </c>
      <c r="AO9" s="10">
        <f>IF($G9=AO$5,1000,IF(AO$4=0,1000,SQRT((VLOOKUP($G9,Coords[],3,FALSE)-VLOOKUP(AO$5,Coords[],3,FALSE))^2+(VLOOKUP($G9,Coords[],4,FALSE)-VLOOKUP(AO$5,Coords[],4,FALSE))^2)))</f>
        <v>1000</v>
      </c>
      <c r="AP9" s="10">
        <f>IF($G9=AP$5,1000,IF(AP$4=0,1000,SQRT((VLOOKUP($G9,Coords[],3,FALSE)-VLOOKUP(AP$5,Coords[],3,FALSE))^2+(VLOOKUP($G9,Coords[],4,FALSE)-VLOOKUP(AP$5,Coords[],4,FALSE))^2)))</f>
        <v>1000</v>
      </c>
      <c r="AQ9" s="10">
        <f>IF($G9=AQ$5,1000,IF(AQ$4=0,1000,SQRT((VLOOKUP($G9,Coords[],3,FALSE)-VLOOKUP(AQ$5,Coords[],3,FALSE))^2+(VLOOKUP($G9,Coords[],4,FALSE)-VLOOKUP(AQ$5,Coords[],4,FALSE))^2)))</f>
        <v>1000</v>
      </c>
      <c r="AR9" s="10">
        <f>IF($G9=AR$5,1000,IF(AR$4=0,1000,SQRT((VLOOKUP($G9,Coords[],3,FALSE)-VLOOKUP(AR$5,Coords[],3,FALSE))^2+(VLOOKUP($G9,Coords[],4,FALSE)-VLOOKUP(AR$5,Coords[],4,FALSE))^2)))</f>
        <v>1000</v>
      </c>
      <c r="AS9" s="10">
        <f>IF($G9=AS$5,1000,IF(AS$4=0,1000,SQRT((VLOOKUP($G9,Coords[],3,FALSE)-VLOOKUP(AS$5,Coords[],3,FALSE))^2+(VLOOKUP($G9,Coords[],4,FALSE)-VLOOKUP(AS$5,Coords[],4,FALSE))^2)))</f>
        <v>1000</v>
      </c>
      <c r="AT9" s="10">
        <f>IF($G9=AT$5,1000,IF(AT$4=0,1000,SQRT((VLOOKUP($G9,Coords[],3,FALSE)-VLOOKUP(AT$5,Coords[],3,FALSE))^2+(VLOOKUP($G9,Coords[],4,FALSE)-VLOOKUP(AT$5,Coords[],4,FALSE))^2)))</f>
        <v>1000</v>
      </c>
      <c r="AU9" s="10">
        <f>IF($G9=AU$5,1000,IF(AU$4=0,1000,SQRT((VLOOKUP($G9,Coords[],3,FALSE)-VLOOKUP(AU$5,Coords[],3,FALSE))^2+(VLOOKUP($G9,Coords[],4,FALSE)-VLOOKUP(AU$5,Coords[],4,FALSE))^2)))</f>
        <v>1000</v>
      </c>
      <c r="AV9" s="10">
        <f>IF($G9=AV$5,1000,IF(AV$4=0,1000,SQRT((VLOOKUP($G9,Coords[],3,FALSE)-VLOOKUP(AV$5,Coords[],3,FALSE))^2+(VLOOKUP($G9,Coords[],4,FALSE)-VLOOKUP(AV$5,Coords[],4,FALSE))^2)))</f>
        <v>1000</v>
      </c>
      <c r="AW9" s="10">
        <f>IF($G9=AW$5,1000,IF(AW$4=0,1000,SQRT((VLOOKUP($G9,Coords[],3,FALSE)-VLOOKUP(AW$5,Coords[],3,FALSE))^2+(VLOOKUP($G9,Coords[],4,FALSE)-VLOOKUP(AW$5,Coords[],4,FALSE))^2)))</f>
        <v>1000</v>
      </c>
      <c r="AX9" s="10">
        <f>IF($G9=AX$5,1000,IF(AX$4=0,1000,SQRT((VLOOKUP($G9,Coords[],3,FALSE)-VLOOKUP(AX$5,Coords[],3,FALSE))^2+(VLOOKUP($G9,Coords[],4,FALSE)-VLOOKUP(AX$5,Coords[],4,FALSE))^2)))</f>
        <v>1000</v>
      </c>
      <c r="AY9" s="10">
        <f>IF($G9=AY$5,1000,IF(AY$4=0,1000,SQRT((VLOOKUP($G9,Coords[],3,FALSE)-VLOOKUP(AY$5,Coords[],3,FALSE))^2+(VLOOKUP($G9,Coords[],4,FALSE)-VLOOKUP(AY$5,Coords[],4,FALSE))^2)))</f>
        <v>1000</v>
      </c>
      <c r="AZ9" s="10">
        <f>IF($G9=AZ$5,1000,IF(AZ$4=0,1000,SQRT((VLOOKUP($G9,Coords[],3,FALSE)-VLOOKUP(AZ$5,Coords[],3,FALSE))^2+(VLOOKUP($G9,Coords[],4,FALSE)-VLOOKUP(AZ$5,Coords[],4,FALSE))^2)))</f>
        <v>1000</v>
      </c>
      <c r="BA9" s="10">
        <f>IF($G9=BA$5,1000,IF(BA$4=0,1000,SQRT((VLOOKUP($G9,Coords[],3,FALSE)-VLOOKUP(BA$5,Coords[],3,FALSE))^2+(VLOOKUP($G9,Coords[],4,FALSE)-VLOOKUP(BA$5,Coords[],4,FALSE))^2)))</f>
        <v>1000</v>
      </c>
      <c r="BB9" s="10">
        <f>IF($G9=BB$5,1000,IF(BB$4=0,1000,SQRT((VLOOKUP($G9,Coords[],3,FALSE)-VLOOKUP(BB$5,Coords[],3,FALSE))^2+(VLOOKUP($G9,Coords[],4,FALSE)-VLOOKUP(BB$5,Coords[],4,FALSE))^2)))</f>
        <v>1000</v>
      </c>
      <c r="BC9" s="10">
        <f>IF($G9=BC$5,1000,IF(BC$4=0,1000,SQRT((VLOOKUP($G9,Coords[],3,FALSE)-VLOOKUP(BC$5,Coords[],3,FALSE))^2+(VLOOKUP($G9,Coords[],4,FALSE)-VLOOKUP(BC$5,Coords[],4,FALSE))^2)))</f>
        <v>1000</v>
      </c>
      <c r="BD9" s="10">
        <f>IF($G9=BD$5,1000,IF(BD$4=0,1000,SQRT((VLOOKUP($G9,Coords[],3,FALSE)-VLOOKUP(BD$5,Coords[],3,FALSE))^2+(VLOOKUP($G9,Coords[],4,FALSE)-VLOOKUP(BD$5,Coords[],4,FALSE))^2)))</f>
        <v>1000</v>
      </c>
      <c r="BE9" s="10">
        <f>IF($G9=BE$5,1000,IF(BE$4=0,1000,SQRT((VLOOKUP($G9,Coords[],3,FALSE)-VLOOKUP(BE$5,Coords[],3,FALSE))^2+(VLOOKUP($G9,Coords[],4,FALSE)-VLOOKUP(BE$5,Coords[],4,FALSE))^2)))</f>
        <v>1000</v>
      </c>
      <c r="BF9" s="10">
        <f>IF($G9=BF$5,1000,IF(BF$4=0,1000,SQRT((VLOOKUP($G9,Coords[],3,FALSE)-VLOOKUP(BF$5,Coords[],3,FALSE))^2+(VLOOKUP($G9,Coords[],4,FALSE)-VLOOKUP(BF$5,Coords[],4,FALSE))^2)))</f>
        <v>1000</v>
      </c>
      <c r="BG9" s="4">
        <v>4</v>
      </c>
      <c r="BI9" s="5">
        <f>IF(E9=1,0,VLOOKUP($G9,$G$6:$BF$57,HLOOKUP(MIN(H9:BF9),$H9:$BF$57,((COUNT($G$6:$G$56)+2)-$G9),FALSE),FALSE)*B9)</f>
        <v>322.88697712976904</v>
      </c>
      <c r="BJ9" s="9">
        <f>VLOOKUP($G9,$G$6:$BF$57,HLOOKUP(MIN(H9:BF9),$H9:$BF$57,((COUNT($G$6:$G$56)+2)-$G9),FALSE),FALSE)</f>
        <v>26.90724809414742</v>
      </c>
      <c r="BK9" s="7">
        <f>HLOOKUP(MIN(H9:BF9),$H9:$BF$57,((COUNT($G$6:$G$56)+2)-$G9),FALSE)</f>
        <v>33</v>
      </c>
      <c r="BL9">
        <f>BJ9*Coords[[#This Row],[Demand]]</f>
        <v>322.88697712976904</v>
      </c>
      <c r="BN9">
        <v>4</v>
      </c>
      <c r="BO9">
        <v>8394.1145295333736</v>
      </c>
      <c r="BP9">
        <v>9319.1247279921172</v>
      </c>
    </row>
    <row r="10" spans="1:68" x14ac:dyDescent="0.25">
      <c r="A10" s="8">
        <v>5</v>
      </c>
      <c r="B10" s="3">
        <v>4</v>
      </c>
      <c r="C10" s="3">
        <v>40</v>
      </c>
      <c r="D10" s="3">
        <v>30</v>
      </c>
      <c r="E10">
        <v>0</v>
      </c>
      <c r="G10" s="4">
        <v>5</v>
      </c>
      <c r="H10" s="10">
        <f>IF($G10=H$5,1000,IF(H$4=0,1000,SQRT((VLOOKUP($G10,Coords[],3,FALSE)-VLOOKUP(H$5,Coords[],3,FALSE))^2+(VLOOKUP($G10,Coords[],4,FALSE)-VLOOKUP(H$5,Coords[],4,FALSE))^2)))</f>
        <v>1000</v>
      </c>
      <c r="I10" s="10">
        <f>IF($G10=I$5,1000,IF(I$4=0,1000,SQRT((VLOOKUP($G10,Coords[],3,FALSE)-VLOOKUP(I$5,Coords[],3,FALSE))^2+(VLOOKUP($G10,Coords[],4,FALSE)-VLOOKUP(I$5,Coords[],4,FALSE))^2)))</f>
        <v>1000</v>
      </c>
      <c r="J10" s="10">
        <f>IF($G10=J$5,1000,IF(J$4=0,1000,SQRT((VLOOKUP($G10,Coords[],3,FALSE)-VLOOKUP(J$5,Coords[],3,FALSE))^2+(VLOOKUP($G10,Coords[],4,FALSE)-VLOOKUP(J$5,Coords[],4,FALSE))^2)))</f>
        <v>1000</v>
      </c>
      <c r="K10" s="10">
        <f>IF($G10=K$5,1000,IF(K$4=0,1000,SQRT((VLOOKUP($G10,Coords[],3,FALSE)-VLOOKUP(K$5,Coords[],3,FALSE))^2+(VLOOKUP($G10,Coords[],4,FALSE)-VLOOKUP(K$5,Coords[],4,FALSE))^2)))</f>
        <v>1000</v>
      </c>
      <c r="L10" s="10">
        <f>IF($G10=L$5,1000,IF(L$4=0,1000,SQRT((VLOOKUP($G10,Coords[],3,FALSE)-VLOOKUP(L$5,Coords[],3,FALSE))^2+(VLOOKUP($G10,Coords[],4,FALSE)-VLOOKUP(L$5,Coords[],4,FALSE))^2)))</f>
        <v>1000</v>
      </c>
      <c r="M10" s="10">
        <f>IF($G10=M$5,1000,IF(M$4=0,1000,SQRT((VLOOKUP($G10,Coords[],3,FALSE)-VLOOKUP(M$5,Coords[],3,FALSE))^2+(VLOOKUP($G10,Coords[],4,FALSE)-VLOOKUP(M$5,Coords[],4,FALSE))^2)))</f>
        <v>1000</v>
      </c>
      <c r="N10" s="10">
        <f>IF($G10=N$5,1000,IF(N$4=0,1000,SQRT((VLOOKUP($G10,Coords[],3,FALSE)-VLOOKUP(N$5,Coords[],3,FALSE))^2+(VLOOKUP($G10,Coords[],4,FALSE)-VLOOKUP(N$5,Coords[],4,FALSE))^2)))</f>
        <v>1000</v>
      </c>
      <c r="O10" s="10">
        <f>IF($G10=O$5,1000,IF(O$4=0,1000,SQRT((VLOOKUP($G10,Coords[],3,FALSE)-VLOOKUP(O$5,Coords[],3,FALSE))^2+(VLOOKUP($G10,Coords[],4,FALSE)-VLOOKUP(O$5,Coords[],4,FALSE))^2)))</f>
        <v>33.241540277189323</v>
      </c>
      <c r="P10" s="10">
        <f>IF($G10=P$5,1000,IF(P$4=0,1000,SQRT((VLOOKUP($G10,Coords[],3,FALSE)-VLOOKUP(P$5,Coords[],3,FALSE))^2+(VLOOKUP($G10,Coords[],4,FALSE)-VLOOKUP(P$5,Coords[],4,FALSE))^2)))</f>
        <v>1000</v>
      </c>
      <c r="Q10" s="10">
        <f>IF($G10=Q$5,1000,IF(Q$4=0,1000,SQRT((VLOOKUP($G10,Coords[],3,FALSE)-VLOOKUP(Q$5,Coords[],3,FALSE))^2+(VLOOKUP($G10,Coords[],4,FALSE)-VLOOKUP(Q$5,Coords[],4,FALSE))^2)))</f>
        <v>1000</v>
      </c>
      <c r="R10" s="10">
        <f>IF($G10=R$5,1000,IF(R$4=0,1000,SQRT((VLOOKUP($G10,Coords[],3,FALSE)-VLOOKUP(R$5,Coords[],3,FALSE))^2+(VLOOKUP($G10,Coords[],4,FALSE)-VLOOKUP(R$5,Coords[],4,FALSE))^2)))</f>
        <v>1000</v>
      </c>
      <c r="S10" s="10">
        <f>IF($G10=S$5,1000,IF(S$4=0,1000,SQRT((VLOOKUP($G10,Coords[],3,FALSE)-VLOOKUP(S$5,Coords[],3,FALSE))^2+(VLOOKUP($G10,Coords[],4,FALSE)-VLOOKUP(S$5,Coords[],4,FALSE))^2)))</f>
        <v>1000</v>
      </c>
      <c r="T10" s="10">
        <f>IF($G10=T$5,1000,IF(T$4=0,1000,SQRT((VLOOKUP($G10,Coords[],3,FALSE)-VLOOKUP(T$5,Coords[],3,FALSE))^2+(VLOOKUP($G10,Coords[],4,FALSE)-VLOOKUP(T$5,Coords[],4,FALSE))^2)))</f>
        <v>1000</v>
      </c>
      <c r="U10" s="10">
        <f>IF($G10=U$5,1000,IF(U$4=0,1000,SQRT((VLOOKUP($G10,Coords[],3,FALSE)-VLOOKUP(U$5,Coords[],3,FALSE))^2+(VLOOKUP($G10,Coords[],4,FALSE)-VLOOKUP(U$5,Coords[],4,FALSE))^2)))</f>
        <v>1000</v>
      </c>
      <c r="V10" s="10">
        <f>IF($G10=V$5,1000,IF(V$4=0,1000,SQRT((VLOOKUP($G10,Coords[],3,FALSE)-VLOOKUP(V$5,Coords[],3,FALSE))^2+(VLOOKUP($G10,Coords[],4,FALSE)-VLOOKUP(V$5,Coords[],4,FALSE))^2)))</f>
        <v>1000</v>
      </c>
      <c r="W10" s="10">
        <f>IF($G10=W$5,1000,IF(W$4=0,1000,SQRT((VLOOKUP($G10,Coords[],3,FALSE)-VLOOKUP(W$5,Coords[],3,FALSE))^2+(VLOOKUP($G10,Coords[],4,FALSE)-VLOOKUP(W$5,Coords[],4,FALSE))^2)))</f>
        <v>1000</v>
      </c>
      <c r="X10" s="10">
        <f>IF($G10=X$5,1000,IF(X$4=0,1000,SQRT((VLOOKUP($G10,Coords[],3,FALSE)-VLOOKUP(X$5,Coords[],3,FALSE))^2+(VLOOKUP($G10,Coords[],4,FALSE)-VLOOKUP(X$5,Coords[],4,FALSE))^2)))</f>
        <v>1000</v>
      </c>
      <c r="Y10" s="10">
        <f>IF($G10=Y$5,1000,IF(Y$4=0,1000,SQRT((VLOOKUP($G10,Coords[],3,FALSE)-VLOOKUP(Y$5,Coords[],3,FALSE))^2+(VLOOKUP($G10,Coords[],4,FALSE)-VLOOKUP(Y$5,Coords[],4,FALSE))^2)))</f>
        <v>1000</v>
      </c>
      <c r="Z10" s="10">
        <f>IF($G10=Z$5,1000,IF(Z$4=0,1000,SQRT((VLOOKUP($G10,Coords[],3,FALSE)-VLOOKUP(Z$5,Coords[],3,FALSE))^2+(VLOOKUP($G10,Coords[],4,FALSE)-VLOOKUP(Z$5,Coords[],4,FALSE))^2)))</f>
        <v>1000</v>
      </c>
      <c r="AA10" s="10">
        <f>IF($G10=AA$5,1000,IF(AA$4=0,1000,SQRT((VLOOKUP($G10,Coords[],3,FALSE)-VLOOKUP(AA$5,Coords[],3,FALSE))^2+(VLOOKUP($G10,Coords[],4,FALSE)-VLOOKUP(AA$5,Coords[],4,FALSE))^2)))</f>
        <v>32.756678708318397</v>
      </c>
      <c r="AB10" s="10">
        <f>IF($G10=AB$5,1000,IF(AB$4=0,1000,SQRT((VLOOKUP($G10,Coords[],3,FALSE)-VLOOKUP(AB$5,Coords[],3,FALSE))^2+(VLOOKUP($G10,Coords[],4,FALSE)-VLOOKUP(AB$5,Coords[],4,FALSE))^2)))</f>
        <v>1000</v>
      </c>
      <c r="AC10" s="10">
        <f>IF($G10=AC$5,1000,IF(AC$4=0,1000,SQRT((VLOOKUP($G10,Coords[],3,FALSE)-VLOOKUP(AC$5,Coords[],3,FALSE))^2+(VLOOKUP($G10,Coords[],4,FALSE)-VLOOKUP(AC$5,Coords[],4,FALSE))^2)))</f>
        <v>1000</v>
      </c>
      <c r="AD10" s="10">
        <f>IF($G10=AD$5,1000,IF(AD$4=0,1000,SQRT((VLOOKUP($G10,Coords[],3,FALSE)-VLOOKUP(AD$5,Coords[],3,FALSE))^2+(VLOOKUP($G10,Coords[],4,FALSE)-VLOOKUP(AD$5,Coords[],4,FALSE))^2)))</f>
        <v>1000</v>
      </c>
      <c r="AE10" s="10">
        <f>IF($G10=AE$5,1000,IF(AE$4=0,1000,SQRT((VLOOKUP($G10,Coords[],3,FALSE)-VLOOKUP(AE$5,Coords[],3,FALSE))^2+(VLOOKUP($G10,Coords[],4,FALSE)-VLOOKUP(AE$5,Coords[],4,FALSE))^2)))</f>
        <v>1000</v>
      </c>
      <c r="AF10" s="10">
        <f>IF($G10=AF$5,1000,IF(AF$4=0,1000,SQRT((VLOOKUP($G10,Coords[],3,FALSE)-VLOOKUP(AF$5,Coords[],3,FALSE))^2+(VLOOKUP($G10,Coords[],4,FALSE)-VLOOKUP(AF$5,Coords[],4,FALSE))^2)))</f>
        <v>1000</v>
      </c>
      <c r="AG10" s="10">
        <f>IF($G10=AG$5,1000,IF(AG$4=0,1000,SQRT((VLOOKUP($G10,Coords[],3,FALSE)-VLOOKUP(AG$5,Coords[],3,FALSE))^2+(VLOOKUP($G10,Coords[],4,FALSE)-VLOOKUP(AG$5,Coords[],4,FALSE))^2)))</f>
        <v>1000</v>
      </c>
      <c r="AH10" s="10">
        <f>IF($G10=AH$5,1000,IF(AH$4=0,1000,SQRT((VLOOKUP($G10,Coords[],3,FALSE)-VLOOKUP(AH$5,Coords[],3,FALSE))^2+(VLOOKUP($G10,Coords[],4,FALSE)-VLOOKUP(AH$5,Coords[],4,FALSE))^2)))</f>
        <v>1000</v>
      </c>
      <c r="AI10" s="10">
        <f>IF($G10=AI$5,1000,IF(AI$4=0,1000,SQRT((VLOOKUP($G10,Coords[],3,FALSE)-VLOOKUP(AI$5,Coords[],3,FALSE))^2+(VLOOKUP($G10,Coords[],4,FALSE)-VLOOKUP(AI$5,Coords[],4,FALSE))^2)))</f>
        <v>1000</v>
      </c>
      <c r="AJ10" s="10">
        <f>IF($G10=AJ$5,1000,IF(AJ$4=0,1000,SQRT((VLOOKUP($G10,Coords[],3,FALSE)-VLOOKUP(AJ$5,Coords[],3,FALSE))^2+(VLOOKUP($G10,Coords[],4,FALSE)-VLOOKUP(AJ$5,Coords[],4,FALSE))^2)))</f>
        <v>25.45584412271571</v>
      </c>
      <c r="AK10" s="10">
        <f>IF($G10=AK$5,1000,IF(AK$4=0,1000,SQRT((VLOOKUP($G10,Coords[],3,FALSE)-VLOOKUP(AK$5,Coords[],3,FALSE))^2+(VLOOKUP($G10,Coords[],4,FALSE)-VLOOKUP(AK$5,Coords[],4,FALSE))^2)))</f>
        <v>1000</v>
      </c>
      <c r="AL10" s="10">
        <f>IF($G10=AL$5,1000,IF(AL$4=0,1000,SQRT((VLOOKUP($G10,Coords[],3,FALSE)-VLOOKUP(AL$5,Coords[],3,FALSE))^2+(VLOOKUP($G10,Coords[],4,FALSE)-VLOOKUP(AL$5,Coords[],4,FALSE))^2)))</f>
        <v>1000</v>
      </c>
      <c r="AM10" s="10">
        <f>IF($G10=AM$5,1000,IF(AM$4=0,1000,SQRT((VLOOKUP($G10,Coords[],3,FALSE)-VLOOKUP(AM$5,Coords[],3,FALSE))^2+(VLOOKUP($G10,Coords[],4,FALSE)-VLOOKUP(AM$5,Coords[],4,FALSE))^2)))</f>
        <v>16.124515496597098</v>
      </c>
      <c r="AN10" s="10">
        <f>IF($G10=AN$5,1000,IF(AN$4=0,1000,SQRT((VLOOKUP($G10,Coords[],3,FALSE)-VLOOKUP(AN$5,Coords[],3,FALSE))^2+(VLOOKUP($G10,Coords[],4,FALSE)-VLOOKUP(AN$5,Coords[],4,FALSE))^2)))</f>
        <v>1000</v>
      </c>
      <c r="AO10" s="10">
        <f>IF($G10=AO$5,1000,IF(AO$4=0,1000,SQRT((VLOOKUP($G10,Coords[],3,FALSE)-VLOOKUP(AO$5,Coords[],3,FALSE))^2+(VLOOKUP($G10,Coords[],4,FALSE)-VLOOKUP(AO$5,Coords[],4,FALSE))^2)))</f>
        <v>1000</v>
      </c>
      <c r="AP10" s="10">
        <f>IF($G10=AP$5,1000,IF(AP$4=0,1000,SQRT((VLOOKUP($G10,Coords[],3,FALSE)-VLOOKUP(AP$5,Coords[],3,FALSE))^2+(VLOOKUP($G10,Coords[],4,FALSE)-VLOOKUP(AP$5,Coords[],4,FALSE))^2)))</f>
        <v>1000</v>
      </c>
      <c r="AQ10" s="10">
        <f>IF($G10=AQ$5,1000,IF(AQ$4=0,1000,SQRT((VLOOKUP($G10,Coords[],3,FALSE)-VLOOKUP(AQ$5,Coords[],3,FALSE))^2+(VLOOKUP($G10,Coords[],4,FALSE)-VLOOKUP(AQ$5,Coords[],4,FALSE))^2)))</f>
        <v>1000</v>
      </c>
      <c r="AR10" s="10">
        <f>IF($G10=AR$5,1000,IF(AR$4=0,1000,SQRT((VLOOKUP($G10,Coords[],3,FALSE)-VLOOKUP(AR$5,Coords[],3,FALSE))^2+(VLOOKUP($G10,Coords[],4,FALSE)-VLOOKUP(AR$5,Coords[],4,FALSE))^2)))</f>
        <v>1000</v>
      </c>
      <c r="AS10" s="10">
        <f>IF($G10=AS$5,1000,IF(AS$4=0,1000,SQRT((VLOOKUP($G10,Coords[],3,FALSE)-VLOOKUP(AS$5,Coords[],3,FALSE))^2+(VLOOKUP($G10,Coords[],4,FALSE)-VLOOKUP(AS$5,Coords[],4,FALSE))^2)))</f>
        <v>1000</v>
      </c>
      <c r="AT10" s="10">
        <f>IF($G10=AT$5,1000,IF(AT$4=0,1000,SQRT((VLOOKUP($G10,Coords[],3,FALSE)-VLOOKUP(AT$5,Coords[],3,FALSE))^2+(VLOOKUP($G10,Coords[],4,FALSE)-VLOOKUP(AT$5,Coords[],4,FALSE))^2)))</f>
        <v>1000</v>
      </c>
      <c r="AU10" s="10">
        <f>IF($G10=AU$5,1000,IF(AU$4=0,1000,SQRT((VLOOKUP($G10,Coords[],3,FALSE)-VLOOKUP(AU$5,Coords[],3,FALSE))^2+(VLOOKUP($G10,Coords[],4,FALSE)-VLOOKUP(AU$5,Coords[],4,FALSE))^2)))</f>
        <v>1000</v>
      </c>
      <c r="AV10" s="10">
        <f>IF($G10=AV$5,1000,IF(AV$4=0,1000,SQRT((VLOOKUP($G10,Coords[],3,FALSE)-VLOOKUP(AV$5,Coords[],3,FALSE))^2+(VLOOKUP($G10,Coords[],4,FALSE)-VLOOKUP(AV$5,Coords[],4,FALSE))^2)))</f>
        <v>1000</v>
      </c>
      <c r="AW10" s="10">
        <f>IF($G10=AW$5,1000,IF(AW$4=0,1000,SQRT((VLOOKUP($G10,Coords[],3,FALSE)-VLOOKUP(AW$5,Coords[],3,FALSE))^2+(VLOOKUP($G10,Coords[],4,FALSE)-VLOOKUP(AW$5,Coords[],4,FALSE))^2)))</f>
        <v>1000</v>
      </c>
      <c r="AX10" s="10">
        <f>IF($G10=AX$5,1000,IF(AX$4=0,1000,SQRT((VLOOKUP($G10,Coords[],3,FALSE)-VLOOKUP(AX$5,Coords[],3,FALSE))^2+(VLOOKUP($G10,Coords[],4,FALSE)-VLOOKUP(AX$5,Coords[],4,FALSE))^2)))</f>
        <v>1000</v>
      </c>
      <c r="AY10" s="10">
        <f>IF($G10=AY$5,1000,IF(AY$4=0,1000,SQRT((VLOOKUP($G10,Coords[],3,FALSE)-VLOOKUP(AY$5,Coords[],3,FALSE))^2+(VLOOKUP($G10,Coords[],4,FALSE)-VLOOKUP(AY$5,Coords[],4,FALSE))^2)))</f>
        <v>1000</v>
      </c>
      <c r="AZ10" s="10">
        <f>IF($G10=AZ$5,1000,IF(AZ$4=0,1000,SQRT((VLOOKUP($G10,Coords[],3,FALSE)-VLOOKUP(AZ$5,Coords[],3,FALSE))^2+(VLOOKUP($G10,Coords[],4,FALSE)-VLOOKUP(AZ$5,Coords[],4,FALSE))^2)))</f>
        <v>1000</v>
      </c>
      <c r="BA10" s="10">
        <f>IF($G10=BA$5,1000,IF(BA$4=0,1000,SQRT((VLOOKUP($G10,Coords[],3,FALSE)-VLOOKUP(BA$5,Coords[],3,FALSE))^2+(VLOOKUP($G10,Coords[],4,FALSE)-VLOOKUP(BA$5,Coords[],4,FALSE))^2)))</f>
        <v>1000</v>
      </c>
      <c r="BB10" s="10">
        <f>IF($G10=BB$5,1000,IF(BB$4=0,1000,SQRT((VLOOKUP($G10,Coords[],3,FALSE)-VLOOKUP(BB$5,Coords[],3,FALSE))^2+(VLOOKUP($G10,Coords[],4,FALSE)-VLOOKUP(BB$5,Coords[],4,FALSE))^2)))</f>
        <v>1000</v>
      </c>
      <c r="BC10" s="10">
        <f>IF($G10=BC$5,1000,IF(BC$4=0,1000,SQRT((VLOOKUP($G10,Coords[],3,FALSE)-VLOOKUP(BC$5,Coords[],3,FALSE))^2+(VLOOKUP($G10,Coords[],4,FALSE)-VLOOKUP(BC$5,Coords[],4,FALSE))^2)))</f>
        <v>1000</v>
      </c>
      <c r="BD10" s="10">
        <f>IF($G10=BD$5,1000,IF(BD$4=0,1000,SQRT((VLOOKUP($G10,Coords[],3,FALSE)-VLOOKUP(BD$5,Coords[],3,FALSE))^2+(VLOOKUP($G10,Coords[],4,FALSE)-VLOOKUP(BD$5,Coords[],4,FALSE))^2)))</f>
        <v>1000</v>
      </c>
      <c r="BE10" s="10">
        <f>IF($G10=BE$5,1000,IF(BE$4=0,1000,SQRT((VLOOKUP($G10,Coords[],3,FALSE)-VLOOKUP(BE$5,Coords[],3,FALSE))^2+(VLOOKUP($G10,Coords[],4,FALSE)-VLOOKUP(BE$5,Coords[],4,FALSE))^2)))</f>
        <v>1000</v>
      </c>
      <c r="BF10" s="10">
        <f>IF($G10=BF$5,1000,IF(BF$4=0,1000,SQRT((VLOOKUP($G10,Coords[],3,FALSE)-VLOOKUP(BF$5,Coords[],3,FALSE))^2+(VLOOKUP($G10,Coords[],4,FALSE)-VLOOKUP(BF$5,Coords[],4,FALSE))^2)))</f>
        <v>1000</v>
      </c>
      <c r="BG10" s="4">
        <v>5</v>
      </c>
      <c r="BI10" s="5">
        <f>IF(E10=1,0,VLOOKUP($G10,$G$6:$BF$57,HLOOKUP(MIN(H10:BF10),$H10:$BF$57,((COUNT($G$6:$G$56)+2)-$G10),FALSE),FALSE)*B10)</f>
        <v>64.498061986388393</v>
      </c>
      <c r="BJ10" s="9">
        <f>VLOOKUP($G10,$G$6:$BF$57,HLOOKUP(MIN(H10:BF10),$H10:$BF$57,((COUNT($G$6:$G$56)+2)-$G10),FALSE),FALSE)</f>
        <v>16.124515496597098</v>
      </c>
      <c r="BK10" s="7">
        <f>HLOOKUP(MIN(H10:BF10),$H10:$BF$57,((COUNT($G$6:$G$56)+2)-$G10),FALSE)</f>
        <v>33</v>
      </c>
      <c r="BL10">
        <f>BJ10*Coords[[#This Row],[Demand]]</f>
        <v>64.498061986388393</v>
      </c>
      <c r="BN10">
        <v>5</v>
      </c>
      <c r="BO10">
        <v>8394.1145295333736</v>
      </c>
      <c r="BP10">
        <v>10145.508141219641</v>
      </c>
    </row>
    <row r="11" spans="1:68" x14ac:dyDescent="0.25">
      <c r="A11" s="8">
        <v>6</v>
      </c>
      <c r="B11" s="3">
        <v>17</v>
      </c>
      <c r="C11" s="3">
        <v>21</v>
      </c>
      <c r="D11" s="3">
        <v>47</v>
      </c>
      <c r="E11">
        <v>0</v>
      </c>
      <c r="G11" s="4">
        <v>6</v>
      </c>
      <c r="H11" s="10">
        <f>IF($G11=H$5,1000,IF(H$4=0,1000,SQRT((VLOOKUP($G11,Coords[],3,FALSE)-VLOOKUP(H$5,Coords[],3,FALSE))^2+(VLOOKUP($G11,Coords[],4,FALSE)-VLOOKUP(H$5,Coords[],4,FALSE))^2)))</f>
        <v>1000</v>
      </c>
      <c r="I11" s="10">
        <f>IF($G11=I$5,1000,IF(I$4=0,1000,SQRT((VLOOKUP($G11,Coords[],3,FALSE)-VLOOKUP(I$5,Coords[],3,FALSE))^2+(VLOOKUP($G11,Coords[],4,FALSE)-VLOOKUP(I$5,Coords[],4,FALSE))^2)))</f>
        <v>1000</v>
      </c>
      <c r="J11" s="10">
        <f>IF($G11=J$5,1000,IF(J$4=0,1000,SQRT((VLOOKUP($G11,Coords[],3,FALSE)-VLOOKUP(J$5,Coords[],3,FALSE))^2+(VLOOKUP($G11,Coords[],4,FALSE)-VLOOKUP(J$5,Coords[],4,FALSE))^2)))</f>
        <v>1000</v>
      </c>
      <c r="K11" s="10">
        <f>IF($G11=K$5,1000,IF(K$4=0,1000,SQRT((VLOOKUP($G11,Coords[],3,FALSE)-VLOOKUP(K$5,Coords[],3,FALSE))^2+(VLOOKUP($G11,Coords[],4,FALSE)-VLOOKUP(K$5,Coords[],4,FALSE))^2)))</f>
        <v>1000</v>
      </c>
      <c r="L11" s="10">
        <f>IF($G11=L$5,1000,IF(L$4=0,1000,SQRT((VLOOKUP($G11,Coords[],3,FALSE)-VLOOKUP(L$5,Coords[],3,FALSE))^2+(VLOOKUP($G11,Coords[],4,FALSE)-VLOOKUP(L$5,Coords[],4,FALSE))^2)))</f>
        <v>1000</v>
      </c>
      <c r="M11" s="10">
        <f>IF($G11=M$5,1000,IF(M$4=0,1000,SQRT((VLOOKUP($G11,Coords[],3,FALSE)-VLOOKUP(M$5,Coords[],3,FALSE))^2+(VLOOKUP($G11,Coords[],4,FALSE)-VLOOKUP(M$5,Coords[],4,FALSE))^2)))</f>
        <v>1000</v>
      </c>
      <c r="N11" s="10">
        <f>IF($G11=N$5,1000,IF(N$4=0,1000,SQRT((VLOOKUP($G11,Coords[],3,FALSE)-VLOOKUP(N$5,Coords[],3,FALSE))^2+(VLOOKUP($G11,Coords[],4,FALSE)-VLOOKUP(N$5,Coords[],4,FALSE))^2)))</f>
        <v>1000</v>
      </c>
      <c r="O11" s="10">
        <f>IF($G11=O$5,1000,IF(O$4=0,1000,SQRT((VLOOKUP($G11,Coords[],3,FALSE)-VLOOKUP(O$5,Coords[],3,FALSE))^2+(VLOOKUP($G11,Coords[],4,FALSE)-VLOOKUP(O$5,Coords[],4,FALSE))^2)))</f>
        <v>18.027756377319946</v>
      </c>
      <c r="P11" s="10">
        <f>IF($G11=P$5,1000,IF(P$4=0,1000,SQRT((VLOOKUP($G11,Coords[],3,FALSE)-VLOOKUP(P$5,Coords[],3,FALSE))^2+(VLOOKUP($G11,Coords[],4,FALSE)-VLOOKUP(P$5,Coords[],4,FALSE))^2)))</f>
        <v>1000</v>
      </c>
      <c r="Q11" s="10">
        <f>IF($G11=Q$5,1000,IF(Q$4=0,1000,SQRT((VLOOKUP($G11,Coords[],3,FALSE)-VLOOKUP(Q$5,Coords[],3,FALSE))^2+(VLOOKUP($G11,Coords[],4,FALSE)-VLOOKUP(Q$5,Coords[],4,FALSE))^2)))</f>
        <v>1000</v>
      </c>
      <c r="R11" s="10">
        <f>IF($G11=R$5,1000,IF(R$4=0,1000,SQRT((VLOOKUP($G11,Coords[],3,FALSE)-VLOOKUP(R$5,Coords[],3,FALSE))^2+(VLOOKUP($G11,Coords[],4,FALSE)-VLOOKUP(R$5,Coords[],4,FALSE))^2)))</f>
        <v>1000</v>
      </c>
      <c r="S11" s="10">
        <f>IF($G11=S$5,1000,IF(S$4=0,1000,SQRT((VLOOKUP($G11,Coords[],3,FALSE)-VLOOKUP(S$5,Coords[],3,FALSE))^2+(VLOOKUP($G11,Coords[],4,FALSE)-VLOOKUP(S$5,Coords[],4,FALSE))^2)))</f>
        <v>1000</v>
      </c>
      <c r="T11" s="10">
        <f>IF($G11=T$5,1000,IF(T$4=0,1000,SQRT((VLOOKUP($G11,Coords[],3,FALSE)-VLOOKUP(T$5,Coords[],3,FALSE))^2+(VLOOKUP($G11,Coords[],4,FALSE)-VLOOKUP(T$5,Coords[],4,FALSE))^2)))</f>
        <v>1000</v>
      </c>
      <c r="U11" s="10">
        <f>IF($G11=U$5,1000,IF(U$4=0,1000,SQRT((VLOOKUP($G11,Coords[],3,FALSE)-VLOOKUP(U$5,Coords[],3,FALSE))^2+(VLOOKUP($G11,Coords[],4,FALSE)-VLOOKUP(U$5,Coords[],4,FALSE))^2)))</f>
        <v>1000</v>
      </c>
      <c r="V11" s="10">
        <f>IF($G11=V$5,1000,IF(V$4=0,1000,SQRT((VLOOKUP($G11,Coords[],3,FALSE)-VLOOKUP(V$5,Coords[],3,FALSE))^2+(VLOOKUP($G11,Coords[],4,FALSE)-VLOOKUP(V$5,Coords[],4,FALSE))^2)))</f>
        <v>1000</v>
      </c>
      <c r="W11" s="10">
        <f>IF($G11=W$5,1000,IF(W$4=0,1000,SQRT((VLOOKUP($G11,Coords[],3,FALSE)-VLOOKUP(W$5,Coords[],3,FALSE))^2+(VLOOKUP($G11,Coords[],4,FALSE)-VLOOKUP(W$5,Coords[],4,FALSE))^2)))</f>
        <v>1000</v>
      </c>
      <c r="X11" s="10">
        <f>IF($G11=X$5,1000,IF(X$4=0,1000,SQRT((VLOOKUP($G11,Coords[],3,FALSE)-VLOOKUP(X$5,Coords[],3,FALSE))^2+(VLOOKUP($G11,Coords[],4,FALSE)-VLOOKUP(X$5,Coords[],4,FALSE))^2)))</f>
        <v>1000</v>
      </c>
      <c r="Y11" s="10">
        <f>IF($G11=Y$5,1000,IF(Y$4=0,1000,SQRT((VLOOKUP($G11,Coords[],3,FALSE)-VLOOKUP(Y$5,Coords[],3,FALSE))^2+(VLOOKUP($G11,Coords[],4,FALSE)-VLOOKUP(Y$5,Coords[],4,FALSE))^2)))</f>
        <v>1000</v>
      </c>
      <c r="Z11" s="10">
        <f>IF($G11=Z$5,1000,IF(Z$4=0,1000,SQRT((VLOOKUP($G11,Coords[],3,FALSE)-VLOOKUP(Z$5,Coords[],3,FALSE))^2+(VLOOKUP($G11,Coords[],4,FALSE)-VLOOKUP(Z$5,Coords[],4,FALSE))^2)))</f>
        <v>1000</v>
      </c>
      <c r="AA11" s="10">
        <f>IF($G11=AA$5,1000,IF(AA$4=0,1000,SQRT((VLOOKUP($G11,Coords[],3,FALSE)-VLOOKUP(AA$5,Coords[],3,FALSE))^2+(VLOOKUP($G11,Coords[],4,FALSE)-VLOOKUP(AA$5,Coords[],4,FALSE))^2)))</f>
        <v>37.643060449437421</v>
      </c>
      <c r="AB11" s="10">
        <f>IF($G11=AB$5,1000,IF(AB$4=0,1000,SQRT((VLOOKUP($G11,Coords[],3,FALSE)-VLOOKUP(AB$5,Coords[],3,FALSE))^2+(VLOOKUP($G11,Coords[],4,FALSE)-VLOOKUP(AB$5,Coords[],4,FALSE))^2)))</f>
        <v>1000</v>
      </c>
      <c r="AC11" s="10">
        <f>IF($G11=AC$5,1000,IF(AC$4=0,1000,SQRT((VLOOKUP($G11,Coords[],3,FALSE)-VLOOKUP(AC$5,Coords[],3,FALSE))^2+(VLOOKUP($G11,Coords[],4,FALSE)-VLOOKUP(AC$5,Coords[],4,FALSE))^2)))</f>
        <v>1000</v>
      </c>
      <c r="AD11" s="10">
        <f>IF($G11=AD$5,1000,IF(AD$4=0,1000,SQRT((VLOOKUP($G11,Coords[],3,FALSE)-VLOOKUP(AD$5,Coords[],3,FALSE))^2+(VLOOKUP($G11,Coords[],4,FALSE)-VLOOKUP(AD$5,Coords[],4,FALSE))^2)))</f>
        <v>1000</v>
      </c>
      <c r="AE11" s="10">
        <f>IF($G11=AE$5,1000,IF(AE$4=0,1000,SQRT((VLOOKUP($G11,Coords[],3,FALSE)-VLOOKUP(AE$5,Coords[],3,FALSE))^2+(VLOOKUP($G11,Coords[],4,FALSE)-VLOOKUP(AE$5,Coords[],4,FALSE))^2)))</f>
        <v>1000</v>
      </c>
      <c r="AF11" s="10">
        <f>IF($G11=AF$5,1000,IF(AF$4=0,1000,SQRT((VLOOKUP($G11,Coords[],3,FALSE)-VLOOKUP(AF$5,Coords[],3,FALSE))^2+(VLOOKUP($G11,Coords[],4,FALSE)-VLOOKUP(AF$5,Coords[],4,FALSE))^2)))</f>
        <v>1000</v>
      </c>
      <c r="AG11" s="10">
        <f>IF($G11=AG$5,1000,IF(AG$4=0,1000,SQRT((VLOOKUP($G11,Coords[],3,FALSE)-VLOOKUP(AG$5,Coords[],3,FALSE))^2+(VLOOKUP($G11,Coords[],4,FALSE)-VLOOKUP(AG$5,Coords[],4,FALSE))^2)))</f>
        <v>1000</v>
      </c>
      <c r="AH11" s="10">
        <f>IF($G11=AH$5,1000,IF(AH$4=0,1000,SQRT((VLOOKUP($G11,Coords[],3,FALSE)-VLOOKUP(AH$5,Coords[],3,FALSE))^2+(VLOOKUP($G11,Coords[],4,FALSE)-VLOOKUP(AH$5,Coords[],4,FALSE))^2)))</f>
        <v>1000</v>
      </c>
      <c r="AI11" s="10">
        <f>IF($G11=AI$5,1000,IF(AI$4=0,1000,SQRT((VLOOKUP($G11,Coords[],3,FALSE)-VLOOKUP(AI$5,Coords[],3,FALSE))^2+(VLOOKUP($G11,Coords[],4,FALSE)-VLOOKUP(AI$5,Coords[],4,FALSE))^2)))</f>
        <v>1000</v>
      </c>
      <c r="AJ11" s="10">
        <f>IF($G11=AJ$5,1000,IF(AJ$4=0,1000,SQRT((VLOOKUP($G11,Coords[],3,FALSE)-VLOOKUP(AJ$5,Coords[],3,FALSE))^2+(VLOOKUP($G11,Coords[],4,FALSE)-VLOOKUP(AJ$5,Coords[],4,FALSE))^2)))</f>
        <v>37.013511046643494</v>
      </c>
      <c r="AK11" s="10">
        <f>IF($G11=AK$5,1000,IF(AK$4=0,1000,SQRT((VLOOKUP($G11,Coords[],3,FALSE)-VLOOKUP(AK$5,Coords[],3,FALSE))^2+(VLOOKUP($G11,Coords[],4,FALSE)-VLOOKUP(AK$5,Coords[],4,FALSE))^2)))</f>
        <v>1000</v>
      </c>
      <c r="AL11" s="10">
        <f>IF($G11=AL$5,1000,IF(AL$4=0,1000,SQRT((VLOOKUP($G11,Coords[],3,FALSE)-VLOOKUP(AL$5,Coords[],3,FALSE))^2+(VLOOKUP($G11,Coords[],4,FALSE)-VLOOKUP(AL$5,Coords[],4,FALSE))^2)))</f>
        <v>1000</v>
      </c>
      <c r="AM11" s="10">
        <f>IF($G11=AM$5,1000,IF(AM$4=0,1000,SQRT((VLOOKUP($G11,Coords[],3,FALSE)-VLOOKUP(AM$5,Coords[],3,FALSE))^2+(VLOOKUP($G11,Coords[],4,FALSE)-VLOOKUP(AM$5,Coords[],4,FALSE))^2)))</f>
        <v>17.029386365926403</v>
      </c>
      <c r="AN11" s="10">
        <f>IF($G11=AN$5,1000,IF(AN$4=0,1000,SQRT((VLOOKUP($G11,Coords[],3,FALSE)-VLOOKUP(AN$5,Coords[],3,FALSE))^2+(VLOOKUP($G11,Coords[],4,FALSE)-VLOOKUP(AN$5,Coords[],4,FALSE))^2)))</f>
        <v>1000</v>
      </c>
      <c r="AO11" s="10">
        <f>IF($G11=AO$5,1000,IF(AO$4=0,1000,SQRT((VLOOKUP($G11,Coords[],3,FALSE)-VLOOKUP(AO$5,Coords[],3,FALSE))^2+(VLOOKUP($G11,Coords[],4,FALSE)-VLOOKUP(AO$5,Coords[],4,FALSE))^2)))</f>
        <v>1000</v>
      </c>
      <c r="AP11" s="10">
        <f>IF($G11=AP$5,1000,IF(AP$4=0,1000,SQRT((VLOOKUP($G11,Coords[],3,FALSE)-VLOOKUP(AP$5,Coords[],3,FALSE))^2+(VLOOKUP($G11,Coords[],4,FALSE)-VLOOKUP(AP$5,Coords[],4,FALSE))^2)))</f>
        <v>1000</v>
      </c>
      <c r="AQ11" s="10">
        <f>IF($G11=AQ$5,1000,IF(AQ$4=0,1000,SQRT((VLOOKUP($G11,Coords[],3,FALSE)-VLOOKUP(AQ$5,Coords[],3,FALSE))^2+(VLOOKUP($G11,Coords[],4,FALSE)-VLOOKUP(AQ$5,Coords[],4,FALSE))^2)))</f>
        <v>1000</v>
      </c>
      <c r="AR11" s="10">
        <f>IF($G11=AR$5,1000,IF(AR$4=0,1000,SQRT((VLOOKUP($G11,Coords[],3,FALSE)-VLOOKUP(AR$5,Coords[],3,FALSE))^2+(VLOOKUP($G11,Coords[],4,FALSE)-VLOOKUP(AR$5,Coords[],4,FALSE))^2)))</f>
        <v>1000</v>
      </c>
      <c r="AS11" s="10">
        <f>IF($G11=AS$5,1000,IF(AS$4=0,1000,SQRT((VLOOKUP($G11,Coords[],3,FALSE)-VLOOKUP(AS$5,Coords[],3,FALSE))^2+(VLOOKUP($G11,Coords[],4,FALSE)-VLOOKUP(AS$5,Coords[],4,FALSE))^2)))</f>
        <v>1000</v>
      </c>
      <c r="AT11" s="10">
        <f>IF($G11=AT$5,1000,IF(AT$4=0,1000,SQRT((VLOOKUP($G11,Coords[],3,FALSE)-VLOOKUP(AT$5,Coords[],3,FALSE))^2+(VLOOKUP($G11,Coords[],4,FALSE)-VLOOKUP(AT$5,Coords[],4,FALSE))^2)))</f>
        <v>1000</v>
      </c>
      <c r="AU11" s="10">
        <f>IF($G11=AU$5,1000,IF(AU$4=0,1000,SQRT((VLOOKUP($G11,Coords[],3,FALSE)-VLOOKUP(AU$5,Coords[],3,FALSE))^2+(VLOOKUP($G11,Coords[],4,FALSE)-VLOOKUP(AU$5,Coords[],4,FALSE))^2)))</f>
        <v>1000</v>
      </c>
      <c r="AV11" s="10">
        <f>IF($G11=AV$5,1000,IF(AV$4=0,1000,SQRT((VLOOKUP($G11,Coords[],3,FALSE)-VLOOKUP(AV$5,Coords[],3,FALSE))^2+(VLOOKUP($G11,Coords[],4,FALSE)-VLOOKUP(AV$5,Coords[],4,FALSE))^2)))</f>
        <v>1000</v>
      </c>
      <c r="AW11" s="10">
        <f>IF($G11=AW$5,1000,IF(AW$4=0,1000,SQRT((VLOOKUP($G11,Coords[],3,FALSE)-VLOOKUP(AW$5,Coords[],3,FALSE))^2+(VLOOKUP($G11,Coords[],4,FALSE)-VLOOKUP(AW$5,Coords[],4,FALSE))^2)))</f>
        <v>1000</v>
      </c>
      <c r="AX11" s="10">
        <f>IF($G11=AX$5,1000,IF(AX$4=0,1000,SQRT((VLOOKUP($G11,Coords[],3,FALSE)-VLOOKUP(AX$5,Coords[],3,FALSE))^2+(VLOOKUP($G11,Coords[],4,FALSE)-VLOOKUP(AX$5,Coords[],4,FALSE))^2)))</f>
        <v>1000</v>
      </c>
      <c r="AY11" s="10">
        <f>IF($G11=AY$5,1000,IF(AY$4=0,1000,SQRT((VLOOKUP($G11,Coords[],3,FALSE)-VLOOKUP(AY$5,Coords[],3,FALSE))^2+(VLOOKUP($G11,Coords[],4,FALSE)-VLOOKUP(AY$5,Coords[],4,FALSE))^2)))</f>
        <v>1000</v>
      </c>
      <c r="AZ11" s="10">
        <f>IF($G11=AZ$5,1000,IF(AZ$4=0,1000,SQRT((VLOOKUP($G11,Coords[],3,FALSE)-VLOOKUP(AZ$5,Coords[],3,FALSE))^2+(VLOOKUP($G11,Coords[],4,FALSE)-VLOOKUP(AZ$5,Coords[],4,FALSE))^2)))</f>
        <v>1000</v>
      </c>
      <c r="BA11" s="10">
        <f>IF($G11=BA$5,1000,IF(BA$4=0,1000,SQRT((VLOOKUP($G11,Coords[],3,FALSE)-VLOOKUP(BA$5,Coords[],3,FALSE))^2+(VLOOKUP($G11,Coords[],4,FALSE)-VLOOKUP(BA$5,Coords[],4,FALSE))^2)))</f>
        <v>1000</v>
      </c>
      <c r="BB11" s="10">
        <f>IF($G11=BB$5,1000,IF(BB$4=0,1000,SQRT((VLOOKUP($G11,Coords[],3,FALSE)-VLOOKUP(BB$5,Coords[],3,FALSE))^2+(VLOOKUP($G11,Coords[],4,FALSE)-VLOOKUP(BB$5,Coords[],4,FALSE))^2)))</f>
        <v>1000</v>
      </c>
      <c r="BC11" s="10">
        <f>IF($G11=BC$5,1000,IF(BC$4=0,1000,SQRT((VLOOKUP($G11,Coords[],3,FALSE)-VLOOKUP(BC$5,Coords[],3,FALSE))^2+(VLOOKUP($G11,Coords[],4,FALSE)-VLOOKUP(BC$5,Coords[],4,FALSE))^2)))</f>
        <v>1000</v>
      </c>
      <c r="BD11" s="10">
        <f>IF($G11=BD$5,1000,IF(BD$4=0,1000,SQRT((VLOOKUP($G11,Coords[],3,FALSE)-VLOOKUP(BD$5,Coords[],3,FALSE))^2+(VLOOKUP($G11,Coords[],4,FALSE)-VLOOKUP(BD$5,Coords[],4,FALSE))^2)))</f>
        <v>1000</v>
      </c>
      <c r="BE11" s="10">
        <f>IF($G11=BE$5,1000,IF(BE$4=0,1000,SQRT((VLOOKUP($G11,Coords[],3,FALSE)-VLOOKUP(BE$5,Coords[],3,FALSE))^2+(VLOOKUP($G11,Coords[],4,FALSE)-VLOOKUP(BE$5,Coords[],4,FALSE))^2)))</f>
        <v>1000</v>
      </c>
      <c r="BF11" s="10">
        <f>IF($G11=BF$5,1000,IF(BF$4=0,1000,SQRT((VLOOKUP($G11,Coords[],3,FALSE)-VLOOKUP(BF$5,Coords[],3,FALSE))^2+(VLOOKUP($G11,Coords[],4,FALSE)-VLOOKUP(BF$5,Coords[],4,FALSE))^2)))</f>
        <v>1000</v>
      </c>
      <c r="BG11" s="4">
        <v>6</v>
      </c>
      <c r="BI11" s="5">
        <f>IF(E11=1,0,VLOOKUP($G11,$G$6:$BF$57,HLOOKUP(MIN(H11:BF11),$H11:$BF$57,((COUNT($G$6:$G$56)+2)-$G11),FALSE),FALSE)*B11)</f>
        <v>289.49956822074887</v>
      </c>
      <c r="BJ11" s="9">
        <f>VLOOKUP($G11,$G$6:$BF$57,HLOOKUP(MIN(H11:BF11),$H11:$BF$57,((COUNT($G$6:$G$56)+2)-$G11),FALSE),FALSE)</f>
        <v>17.029386365926403</v>
      </c>
      <c r="BK11" s="7">
        <f>HLOOKUP(MIN(H11:BF11),$H11:$BF$57,((COUNT($G$6:$G$56)+2)-$G11),FALSE)</f>
        <v>33</v>
      </c>
      <c r="BL11">
        <f>BJ11*Coords[[#This Row],[Demand]]</f>
        <v>289.49956822074887</v>
      </c>
      <c r="BN11">
        <v>6</v>
      </c>
      <c r="BO11">
        <v>8394.1145295333736</v>
      </c>
      <c r="BP11">
        <v>11244.536070259586</v>
      </c>
    </row>
    <row r="12" spans="1:68" x14ac:dyDescent="0.25">
      <c r="A12" s="8">
        <v>7</v>
      </c>
      <c r="B12" s="3">
        <v>14</v>
      </c>
      <c r="C12" s="3">
        <v>17</v>
      </c>
      <c r="D12" s="3">
        <v>63</v>
      </c>
      <c r="E12">
        <v>0</v>
      </c>
      <c r="G12" s="4">
        <v>7</v>
      </c>
      <c r="H12" s="10">
        <f>IF($G12=H$5,1000,IF(H$4=0,1000,SQRT((VLOOKUP($G12,Coords[],3,FALSE)-VLOOKUP(H$5,Coords[],3,FALSE))^2+(VLOOKUP($G12,Coords[],4,FALSE)-VLOOKUP(H$5,Coords[],4,FALSE))^2)))</f>
        <v>1000</v>
      </c>
      <c r="I12" s="10">
        <f>IF($G12=I$5,1000,IF(I$4=0,1000,SQRT((VLOOKUP($G12,Coords[],3,FALSE)-VLOOKUP(I$5,Coords[],3,FALSE))^2+(VLOOKUP($G12,Coords[],4,FALSE)-VLOOKUP(I$5,Coords[],4,FALSE))^2)))</f>
        <v>1000</v>
      </c>
      <c r="J12" s="10">
        <f>IF($G12=J$5,1000,IF(J$4=0,1000,SQRT((VLOOKUP($G12,Coords[],3,FALSE)-VLOOKUP(J$5,Coords[],3,FALSE))^2+(VLOOKUP($G12,Coords[],4,FALSE)-VLOOKUP(J$5,Coords[],4,FALSE))^2)))</f>
        <v>1000</v>
      </c>
      <c r="K12" s="10">
        <f>IF($G12=K$5,1000,IF(K$4=0,1000,SQRT((VLOOKUP($G12,Coords[],3,FALSE)-VLOOKUP(K$5,Coords[],3,FALSE))^2+(VLOOKUP($G12,Coords[],4,FALSE)-VLOOKUP(K$5,Coords[],4,FALSE))^2)))</f>
        <v>1000</v>
      </c>
      <c r="L12" s="10">
        <f>IF($G12=L$5,1000,IF(L$4=0,1000,SQRT((VLOOKUP($G12,Coords[],3,FALSE)-VLOOKUP(L$5,Coords[],3,FALSE))^2+(VLOOKUP($G12,Coords[],4,FALSE)-VLOOKUP(L$5,Coords[],4,FALSE))^2)))</f>
        <v>1000</v>
      </c>
      <c r="M12" s="10">
        <f>IF($G12=M$5,1000,IF(M$4=0,1000,SQRT((VLOOKUP($G12,Coords[],3,FALSE)-VLOOKUP(M$5,Coords[],3,FALSE))^2+(VLOOKUP($G12,Coords[],4,FALSE)-VLOOKUP(M$5,Coords[],4,FALSE))^2)))</f>
        <v>1000</v>
      </c>
      <c r="N12" s="10">
        <f>IF($G12=N$5,1000,IF(N$4=0,1000,SQRT((VLOOKUP($G12,Coords[],3,FALSE)-VLOOKUP(N$5,Coords[],3,FALSE))^2+(VLOOKUP($G12,Coords[],4,FALSE)-VLOOKUP(N$5,Coords[],4,FALSE))^2)))</f>
        <v>1000</v>
      </c>
      <c r="O12" s="10">
        <f>IF($G12=O$5,1000,IF(O$4=0,1000,SQRT((VLOOKUP($G12,Coords[],3,FALSE)-VLOOKUP(O$5,Coords[],3,FALSE))^2+(VLOOKUP($G12,Coords[],4,FALSE)-VLOOKUP(O$5,Coords[],4,FALSE))^2)))</f>
        <v>14.035668847618199</v>
      </c>
      <c r="P12" s="10">
        <f>IF($G12=P$5,1000,IF(P$4=0,1000,SQRT((VLOOKUP($G12,Coords[],3,FALSE)-VLOOKUP(P$5,Coords[],3,FALSE))^2+(VLOOKUP($G12,Coords[],4,FALSE)-VLOOKUP(P$5,Coords[],4,FALSE))^2)))</f>
        <v>1000</v>
      </c>
      <c r="Q12" s="10">
        <f>IF($G12=Q$5,1000,IF(Q$4=0,1000,SQRT((VLOOKUP($G12,Coords[],3,FALSE)-VLOOKUP(Q$5,Coords[],3,FALSE))^2+(VLOOKUP($G12,Coords[],4,FALSE)-VLOOKUP(Q$5,Coords[],4,FALSE))^2)))</f>
        <v>1000</v>
      </c>
      <c r="R12" s="10">
        <f>IF($G12=R$5,1000,IF(R$4=0,1000,SQRT((VLOOKUP($G12,Coords[],3,FALSE)-VLOOKUP(R$5,Coords[],3,FALSE))^2+(VLOOKUP($G12,Coords[],4,FALSE)-VLOOKUP(R$5,Coords[],4,FALSE))^2)))</f>
        <v>1000</v>
      </c>
      <c r="S12" s="10">
        <f>IF($G12=S$5,1000,IF(S$4=0,1000,SQRT((VLOOKUP($G12,Coords[],3,FALSE)-VLOOKUP(S$5,Coords[],3,FALSE))^2+(VLOOKUP($G12,Coords[],4,FALSE)-VLOOKUP(S$5,Coords[],4,FALSE))^2)))</f>
        <v>1000</v>
      </c>
      <c r="T12" s="10">
        <f>IF($G12=T$5,1000,IF(T$4=0,1000,SQRT((VLOOKUP($G12,Coords[],3,FALSE)-VLOOKUP(T$5,Coords[],3,FALSE))^2+(VLOOKUP($G12,Coords[],4,FALSE)-VLOOKUP(T$5,Coords[],4,FALSE))^2)))</f>
        <v>1000</v>
      </c>
      <c r="U12" s="10">
        <f>IF($G12=U$5,1000,IF(U$4=0,1000,SQRT((VLOOKUP($G12,Coords[],3,FALSE)-VLOOKUP(U$5,Coords[],3,FALSE))^2+(VLOOKUP($G12,Coords[],4,FALSE)-VLOOKUP(U$5,Coords[],4,FALSE))^2)))</f>
        <v>1000</v>
      </c>
      <c r="V12" s="10">
        <f>IF($G12=V$5,1000,IF(V$4=0,1000,SQRT((VLOOKUP($G12,Coords[],3,FALSE)-VLOOKUP(V$5,Coords[],3,FALSE))^2+(VLOOKUP($G12,Coords[],4,FALSE)-VLOOKUP(V$5,Coords[],4,FALSE))^2)))</f>
        <v>1000</v>
      </c>
      <c r="W12" s="10">
        <f>IF($G12=W$5,1000,IF(W$4=0,1000,SQRT((VLOOKUP($G12,Coords[],3,FALSE)-VLOOKUP(W$5,Coords[],3,FALSE))^2+(VLOOKUP($G12,Coords[],4,FALSE)-VLOOKUP(W$5,Coords[],4,FALSE))^2)))</f>
        <v>1000</v>
      </c>
      <c r="X12" s="10">
        <f>IF($G12=X$5,1000,IF(X$4=0,1000,SQRT((VLOOKUP($G12,Coords[],3,FALSE)-VLOOKUP(X$5,Coords[],3,FALSE))^2+(VLOOKUP($G12,Coords[],4,FALSE)-VLOOKUP(X$5,Coords[],4,FALSE))^2)))</f>
        <v>1000</v>
      </c>
      <c r="Y12" s="10">
        <f>IF($G12=Y$5,1000,IF(Y$4=0,1000,SQRT((VLOOKUP($G12,Coords[],3,FALSE)-VLOOKUP(Y$5,Coords[],3,FALSE))^2+(VLOOKUP($G12,Coords[],4,FALSE)-VLOOKUP(Y$5,Coords[],4,FALSE))^2)))</f>
        <v>1000</v>
      </c>
      <c r="Z12" s="10">
        <f>IF($G12=Z$5,1000,IF(Z$4=0,1000,SQRT((VLOOKUP($G12,Coords[],3,FALSE)-VLOOKUP(Z$5,Coords[],3,FALSE))^2+(VLOOKUP($G12,Coords[],4,FALSE)-VLOOKUP(Z$5,Coords[],4,FALSE))^2)))</f>
        <v>1000</v>
      </c>
      <c r="AA12" s="10">
        <f>IF($G12=AA$5,1000,IF(AA$4=0,1000,SQRT((VLOOKUP($G12,Coords[],3,FALSE)-VLOOKUP(AA$5,Coords[],3,FALSE))^2+(VLOOKUP($G12,Coords[],4,FALSE)-VLOOKUP(AA$5,Coords[],4,FALSE))^2)))</f>
        <v>40.311288741492746</v>
      </c>
      <c r="AB12" s="10">
        <f>IF($G12=AB$5,1000,IF(AB$4=0,1000,SQRT((VLOOKUP($G12,Coords[],3,FALSE)-VLOOKUP(AB$5,Coords[],3,FALSE))^2+(VLOOKUP($G12,Coords[],4,FALSE)-VLOOKUP(AB$5,Coords[],4,FALSE))^2)))</f>
        <v>1000</v>
      </c>
      <c r="AC12" s="10">
        <f>IF($G12=AC$5,1000,IF(AC$4=0,1000,SQRT((VLOOKUP($G12,Coords[],3,FALSE)-VLOOKUP(AC$5,Coords[],3,FALSE))^2+(VLOOKUP($G12,Coords[],4,FALSE)-VLOOKUP(AC$5,Coords[],4,FALSE))^2)))</f>
        <v>1000</v>
      </c>
      <c r="AD12" s="10">
        <f>IF($G12=AD$5,1000,IF(AD$4=0,1000,SQRT((VLOOKUP($G12,Coords[],3,FALSE)-VLOOKUP(AD$5,Coords[],3,FALSE))^2+(VLOOKUP($G12,Coords[],4,FALSE)-VLOOKUP(AD$5,Coords[],4,FALSE))^2)))</f>
        <v>1000</v>
      </c>
      <c r="AE12" s="10">
        <f>IF($G12=AE$5,1000,IF(AE$4=0,1000,SQRT((VLOOKUP($G12,Coords[],3,FALSE)-VLOOKUP(AE$5,Coords[],3,FALSE))^2+(VLOOKUP($G12,Coords[],4,FALSE)-VLOOKUP(AE$5,Coords[],4,FALSE))^2)))</f>
        <v>1000</v>
      </c>
      <c r="AF12" s="10">
        <f>IF($G12=AF$5,1000,IF(AF$4=0,1000,SQRT((VLOOKUP($G12,Coords[],3,FALSE)-VLOOKUP(AF$5,Coords[],3,FALSE))^2+(VLOOKUP($G12,Coords[],4,FALSE)-VLOOKUP(AF$5,Coords[],4,FALSE))^2)))</f>
        <v>1000</v>
      </c>
      <c r="AG12" s="10">
        <f>IF($G12=AG$5,1000,IF(AG$4=0,1000,SQRT((VLOOKUP($G12,Coords[],3,FALSE)-VLOOKUP(AG$5,Coords[],3,FALSE))^2+(VLOOKUP($G12,Coords[],4,FALSE)-VLOOKUP(AG$5,Coords[],4,FALSE))^2)))</f>
        <v>1000</v>
      </c>
      <c r="AH12" s="10">
        <f>IF($G12=AH$5,1000,IF(AH$4=0,1000,SQRT((VLOOKUP($G12,Coords[],3,FALSE)-VLOOKUP(AH$5,Coords[],3,FALSE))^2+(VLOOKUP($G12,Coords[],4,FALSE)-VLOOKUP(AH$5,Coords[],4,FALSE))^2)))</f>
        <v>1000</v>
      </c>
      <c r="AI12" s="10">
        <f>IF($G12=AI$5,1000,IF(AI$4=0,1000,SQRT((VLOOKUP($G12,Coords[],3,FALSE)-VLOOKUP(AI$5,Coords[],3,FALSE))^2+(VLOOKUP($G12,Coords[],4,FALSE)-VLOOKUP(AI$5,Coords[],4,FALSE))^2)))</f>
        <v>1000</v>
      </c>
      <c r="AJ12" s="10">
        <f>IF($G12=AJ$5,1000,IF(AJ$4=0,1000,SQRT((VLOOKUP($G12,Coords[],3,FALSE)-VLOOKUP(AJ$5,Coords[],3,FALSE))^2+(VLOOKUP($G12,Coords[],4,FALSE)-VLOOKUP(AJ$5,Coords[],4,FALSE))^2)))</f>
        <v>43.657759905886145</v>
      </c>
      <c r="AK12" s="10">
        <f>IF($G12=AK$5,1000,IF(AK$4=0,1000,SQRT((VLOOKUP($G12,Coords[],3,FALSE)-VLOOKUP(AK$5,Coords[],3,FALSE))^2+(VLOOKUP($G12,Coords[],4,FALSE)-VLOOKUP(AK$5,Coords[],4,FALSE))^2)))</f>
        <v>1000</v>
      </c>
      <c r="AL12" s="10">
        <f>IF($G12=AL$5,1000,IF(AL$4=0,1000,SQRT((VLOOKUP($G12,Coords[],3,FALSE)-VLOOKUP(AL$5,Coords[],3,FALSE))^2+(VLOOKUP($G12,Coords[],4,FALSE)-VLOOKUP(AL$5,Coords[],4,FALSE))^2)))</f>
        <v>1000</v>
      </c>
      <c r="AM12" s="10">
        <f>IF($G12=AM$5,1000,IF(AM$4=0,1000,SQRT((VLOOKUP($G12,Coords[],3,FALSE)-VLOOKUP(AM$5,Coords[],3,FALSE))^2+(VLOOKUP($G12,Coords[],4,FALSE)-VLOOKUP(AM$5,Coords[],4,FALSE))^2)))</f>
        <v>27.018512172212592</v>
      </c>
      <c r="AN12" s="10">
        <f>IF($G12=AN$5,1000,IF(AN$4=0,1000,SQRT((VLOOKUP($G12,Coords[],3,FALSE)-VLOOKUP(AN$5,Coords[],3,FALSE))^2+(VLOOKUP($G12,Coords[],4,FALSE)-VLOOKUP(AN$5,Coords[],4,FALSE))^2)))</f>
        <v>1000</v>
      </c>
      <c r="AO12" s="10">
        <f>IF($G12=AO$5,1000,IF(AO$4=0,1000,SQRT((VLOOKUP($G12,Coords[],3,FALSE)-VLOOKUP(AO$5,Coords[],3,FALSE))^2+(VLOOKUP($G12,Coords[],4,FALSE)-VLOOKUP(AO$5,Coords[],4,FALSE))^2)))</f>
        <v>1000</v>
      </c>
      <c r="AP12" s="10">
        <f>IF($G12=AP$5,1000,IF(AP$4=0,1000,SQRT((VLOOKUP($G12,Coords[],3,FALSE)-VLOOKUP(AP$5,Coords[],3,FALSE))^2+(VLOOKUP($G12,Coords[],4,FALSE)-VLOOKUP(AP$5,Coords[],4,FALSE))^2)))</f>
        <v>1000</v>
      </c>
      <c r="AQ12" s="10">
        <f>IF($G12=AQ$5,1000,IF(AQ$4=0,1000,SQRT((VLOOKUP($G12,Coords[],3,FALSE)-VLOOKUP(AQ$5,Coords[],3,FALSE))^2+(VLOOKUP($G12,Coords[],4,FALSE)-VLOOKUP(AQ$5,Coords[],4,FALSE))^2)))</f>
        <v>1000</v>
      </c>
      <c r="AR12" s="10">
        <f>IF($G12=AR$5,1000,IF(AR$4=0,1000,SQRT((VLOOKUP($G12,Coords[],3,FALSE)-VLOOKUP(AR$5,Coords[],3,FALSE))^2+(VLOOKUP($G12,Coords[],4,FALSE)-VLOOKUP(AR$5,Coords[],4,FALSE))^2)))</f>
        <v>1000</v>
      </c>
      <c r="AS12" s="10">
        <f>IF($G12=AS$5,1000,IF(AS$4=0,1000,SQRT((VLOOKUP($G12,Coords[],3,FALSE)-VLOOKUP(AS$5,Coords[],3,FALSE))^2+(VLOOKUP($G12,Coords[],4,FALSE)-VLOOKUP(AS$5,Coords[],4,FALSE))^2)))</f>
        <v>1000</v>
      </c>
      <c r="AT12" s="10">
        <f>IF($G12=AT$5,1000,IF(AT$4=0,1000,SQRT((VLOOKUP($G12,Coords[],3,FALSE)-VLOOKUP(AT$5,Coords[],3,FALSE))^2+(VLOOKUP($G12,Coords[],4,FALSE)-VLOOKUP(AT$5,Coords[],4,FALSE))^2)))</f>
        <v>1000</v>
      </c>
      <c r="AU12" s="10">
        <f>IF($G12=AU$5,1000,IF(AU$4=0,1000,SQRT((VLOOKUP($G12,Coords[],3,FALSE)-VLOOKUP(AU$5,Coords[],3,FALSE))^2+(VLOOKUP($G12,Coords[],4,FALSE)-VLOOKUP(AU$5,Coords[],4,FALSE))^2)))</f>
        <v>1000</v>
      </c>
      <c r="AV12" s="10">
        <f>IF($G12=AV$5,1000,IF(AV$4=0,1000,SQRT((VLOOKUP($G12,Coords[],3,FALSE)-VLOOKUP(AV$5,Coords[],3,FALSE))^2+(VLOOKUP($G12,Coords[],4,FALSE)-VLOOKUP(AV$5,Coords[],4,FALSE))^2)))</f>
        <v>1000</v>
      </c>
      <c r="AW12" s="10">
        <f>IF($G12=AW$5,1000,IF(AW$4=0,1000,SQRT((VLOOKUP($G12,Coords[],3,FALSE)-VLOOKUP(AW$5,Coords[],3,FALSE))^2+(VLOOKUP($G12,Coords[],4,FALSE)-VLOOKUP(AW$5,Coords[],4,FALSE))^2)))</f>
        <v>1000</v>
      </c>
      <c r="AX12" s="10">
        <f>IF($G12=AX$5,1000,IF(AX$4=0,1000,SQRT((VLOOKUP($G12,Coords[],3,FALSE)-VLOOKUP(AX$5,Coords[],3,FALSE))^2+(VLOOKUP($G12,Coords[],4,FALSE)-VLOOKUP(AX$5,Coords[],4,FALSE))^2)))</f>
        <v>1000</v>
      </c>
      <c r="AY12" s="10">
        <f>IF($G12=AY$5,1000,IF(AY$4=0,1000,SQRT((VLOOKUP($G12,Coords[],3,FALSE)-VLOOKUP(AY$5,Coords[],3,FALSE))^2+(VLOOKUP($G12,Coords[],4,FALSE)-VLOOKUP(AY$5,Coords[],4,FALSE))^2)))</f>
        <v>1000</v>
      </c>
      <c r="AZ12" s="10">
        <f>IF($G12=AZ$5,1000,IF(AZ$4=0,1000,SQRT((VLOOKUP($G12,Coords[],3,FALSE)-VLOOKUP(AZ$5,Coords[],3,FALSE))^2+(VLOOKUP($G12,Coords[],4,FALSE)-VLOOKUP(AZ$5,Coords[],4,FALSE))^2)))</f>
        <v>1000</v>
      </c>
      <c r="BA12" s="10">
        <f>IF($G12=BA$5,1000,IF(BA$4=0,1000,SQRT((VLOOKUP($G12,Coords[],3,FALSE)-VLOOKUP(BA$5,Coords[],3,FALSE))^2+(VLOOKUP($G12,Coords[],4,FALSE)-VLOOKUP(BA$5,Coords[],4,FALSE))^2)))</f>
        <v>1000</v>
      </c>
      <c r="BB12" s="10">
        <f>IF($G12=BB$5,1000,IF(BB$4=0,1000,SQRT((VLOOKUP($G12,Coords[],3,FALSE)-VLOOKUP(BB$5,Coords[],3,FALSE))^2+(VLOOKUP($G12,Coords[],4,FALSE)-VLOOKUP(BB$5,Coords[],4,FALSE))^2)))</f>
        <v>1000</v>
      </c>
      <c r="BC12" s="10">
        <f>IF($G12=BC$5,1000,IF(BC$4=0,1000,SQRT((VLOOKUP($G12,Coords[],3,FALSE)-VLOOKUP(BC$5,Coords[],3,FALSE))^2+(VLOOKUP($G12,Coords[],4,FALSE)-VLOOKUP(BC$5,Coords[],4,FALSE))^2)))</f>
        <v>1000</v>
      </c>
      <c r="BD12" s="10">
        <f>IF($G12=BD$5,1000,IF(BD$4=0,1000,SQRT((VLOOKUP($G12,Coords[],3,FALSE)-VLOOKUP(BD$5,Coords[],3,FALSE))^2+(VLOOKUP($G12,Coords[],4,FALSE)-VLOOKUP(BD$5,Coords[],4,FALSE))^2)))</f>
        <v>1000</v>
      </c>
      <c r="BE12" s="10">
        <f>IF($G12=BE$5,1000,IF(BE$4=0,1000,SQRT((VLOOKUP($G12,Coords[],3,FALSE)-VLOOKUP(BE$5,Coords[],3,FALSE))^2+(VLOOKUP($G12,Coords[],4,FALSE)-VLOOKUP(BE$5,Coords[],4,FALSE))^2)))</f>
        <v>1000</v>
      </c>
      <c r="BF12" s="10">
        <f>IF($G12=BF$5,1000,IF(BF$4=0,1000,SQRT((VLOOKUP($G12,Coords[],3,FALSE)-VLOOKUP(BF$5,Coords[],3,FALSE))^2+(VLOOKUP($G12,Coords[],4,FALSE)-VLOOKUP(BF$5,Coords[],4,FALSE))^2)))</f>
        <v>1000</v>
      </c>
      <c r="BG12" s="4">
        <v>7</v>
      </c>
      <c r="BI12" s="5">
        <f>IF(E12=1,0,VLOOKUP($G12,$G$6:$BF$57,HLOOKUP(MIN(H12:BF12),$H12:$BF$57,((COUNT($G$6:$G$56)+2)-$G12),FALSE),FALSE)*B12)</f>
        <v>14000</v>
      </c>
      <c r="BJ12" s="9">
        <f>VLOOKUP($G12,$G$6:$BF$57,HLOOKUP(MIN(H12:BF12),$H12:$BF$57,((COUNT($G$6:$G$56)+2)-$G12),FALSE),FALSE)</f>
        <v>1000</v>
      </c>
      <c r="BK12" s="7">
        <f>HLOOKUP(MIN(H12:BF12),$H12:$BF$57,((COUNT($G$6:$G$56)+2)-$G12),FALSE)</f>
        <v>8</v>
      </c>
      <c r="BL12">
        <f>BJ12*Coords[[#This Row],[Demand]]</f>
        <v>14000</v>
      </c>
      <c r="BN12">
        <v>7</v>
      </c>
      <c r="BO12">
        <v>8394.1145295333736</v>
      </c>
      <c r="BP12">
        <v>9492.5012338449305</v>
      </c>
    </row>
    <row r="13" spans="1:68" x14ac:dyDescent="0.25">
      <c r="A13" s="8">
        <v>8</v>
      </c>
      <c r="B13" s="3">
        <v>23</v>
      </c>
      <c r="C13" s="3">
        <v>31</v>
      </c>
      <c r="D13" s="3">
        <v>62</v>
      </c>
      <c r="E13">
        <v>1</v>
      </c>
      <c r="G13" s="4">
        <v>8</v>
      </c>
      <c r="H13" s="10">
        <f>IF($G13=H$5,1000,IF(H$4=0,1000,SQRT((VLOOKUP($G13,Coords[],3,FALSE)-VLOOKUP(H$5,Coords[],3,FALSE))^2+(VLOOKUP($G13,Coords[],4,FALSE)-VLOOKUP(H$5,Coords[],4,FALSE))^2)))</f>
        <v>1000</v>
      </c>
      <c r="I13" s="10">
        <f>IF($G13=I$5,1000,IF(I$4=0,1000,SQRT((VLOOKUP($G13,Coords[],3,FALSE)-VLOOKUP(I$5,Coords[],3,FALSE))^2+(VLOOKUP($G13,Coords[],4,FALSE)-VLOOKUP(I$5,Coords[],4,FALSE))^2)))</f>
        <v>1000</v>
      </c>
      <c r="J13" s="10">
        <f>IF($G13=J$5,1000,IF(J$4=0,1000,SQRT((VLOOKUP($G13,Coords[],3,FALSE)-VLOOKUP(J$5,Coords[],3,FALSE))^2+(VLOOKUP($G13,Coords[],4,FALSE)-VLOOKUP(J$5,Coords[],4,FALSE))^2)))</f>
        <v>1000</v>
      </c>
      <c r="K13" s="10">
        <f>IF($G13=K$5,1000,IF(K$4=0,1000,SQRT((VLOOKUP($G13,Coords[],3,FALSE)-VLOOKUP(K$5,Coords[],3,FALSE))^2+(VLOOKUP($G13,Coords[],4,FALSE)-VLOOKUP(K$5,Coords[],4,FALSE))^2)))</f>
        <v>1000</v>
      </c>
      <c r="L13" s="10">
        <f>IF($G13=L$5,1000,IF(L$4=0,1000,SQRT((VLOOKUP($G13,Coords[],3,FALSE)-VLOOKUP(L$5,Coords[],3,FALSE))^2+(VLOOKUP($G13,Coords[],4,FALSE)-VLOOKUP(L$5,Coords[],4,FALSE))^2)))</f>
        <v>1000</v>
      </c>
      <c r="M13" s="10">
        <f>IF($G13=M$5,1000,IF(M$4=0,1000,SQRT((VLOOKUP($G13,Coords[],3,FALSE)-VLOOKUP(M$5,Coords[],3,FALSE))^2+(VLOOKUP($G13,Coords[],4,FALSE)-VLOOKUP(M$5,Coords[],4,FALSE))^2)))</f>
        <v>1000</v>
      </c>
      <c r="N13" s="10">
        <f>IF($G13=N$5,1000,IF(N$4=0,1000,SQRT((VLOOKUP($G13,Coords[],3,FALSE)-VLOOKUP(N$5,Coords[],3,FALSE))^2+(VLOOKUP($G13,Coords[],4,FALSE)-VLOOKUP(N$5,Coords[],4,FALSE))^2)))</f>
        <v>1000</v>
      </c>
      <c r="O13" s="10">
        <f>IF($G13=O$5,1000,IF(O$4=0,1000,SQRT((VLOOKUP($G13,Coords[],3,FALSE)-VLOOKUP(O$5,Coords[],3,FALSE))^2+(VLOOKUP($G13,Coords[],4,FALSE)-VLOOKUP(O$5,Coords[],4,FALSE))^2)))</f>
        <v>1000</v>
      </c>
      <c r="P13" s="10">
        <f>IF($G13=P$5,1000,IF(P$4=0,1000,SQRT((VLOOKUP($G13,Coords[],3,FALSE)-VLOOKUP(P$5,Coords[],3,FALSE))^2+(VLOOKUP($G13,Coords[],4,FALSE)-VLOOKUP(P$5,Coords[],4,FALSE))^2)))</f>
        <v>1000</v>
      </c>
      <c r="Q13" s="10">
        <f>IF($G13=Q$5,1000,IF(Q$4=0,1000,SQRT((VLOOKUP($G13,Coords[],3,FALSE)-VLOOKUP(Q$5,Coords[],3,FALSE))^2+(VLOOKUP($G13,Coords[],4,FALSE)-VLOOKUP(Q$5,Coords[],4,FALSE))^2)))</f>
        <v>1000</v>
      </c>
      <c r="R13" s="10">
        <f>IF($G13=R$5,1000,IF(R$4=0,1000,SQRT((VLOOKUP($G13,Coords[],3,FALSE)-VLOOKUP(R$5,Coords[],3,FALSE))^2+(VLOOKUP($G13,Coords[],4,FALSE)-VLOOKUP(R$5,Coords[],4,FALSE))^2)))</f>
        <v>1000</v>
      </c>
      <c r="S13" s="10">
        <f>IF($G13=S$5,1000,IF(S$4=0,1000,SQRT((VLOOKUP($G13,Coords[],3,FALSE)-VLOOKUP(S$5,Coords[],3,FALSE))^2+(VLOOKUP($G13,Coords[],4,FALSE)-VLOOKUP(S$5,Coords[],4,FALSE))^2)))</f>
        <v>1000</v>
      </c>
      <c r="T13" s="10">
        <f>IF($G13=T$5,1000,IF(T$4=0,1000,SQRT((VLOOKUP($G13,Coords[],3,FALSE)-VLOOKUP(T$5,Coords[],3,FALSE))^2+(VLOOKUP($G13,Coords[],4,FALSE)-VLOOKUP(T$5,Coords[],4,FALSE))^2)))</f>
        <v>1000</v>
      </c>
      <c r="U13" s="10">
        <f>IF($G13=U$5,1000,IF(U$4=0,1000,SQRT((VLOOKUP($G13,Coords[],3,FALSE)-VLOOKUP(U$5,Coords[],3,FALSE))^2+(VLOOKUP($G13,Coords[],4,FALSE)-VLOOKUP(U$5,Coords[],4,FALSE))^2)))</f>
        <v>1000</v>
      </c>
      <c r="V13" s="10">
        <f>IF($G13=V$5,1000,IF(V$4=0,1000,SQRT((VLOOKUP($G13,Coords[],3,FALSE)-VLOOKUP(V$5,Coords[],3,FALSE))^2+(VLOOKUP($G13,Coords[],4,FALSE)-VLOOKUP(V$5,Coords[],4,FALSE))^2)))</f>
        <v>1000</v>
      </c>
      <c r="W13" s="10">
        <f>IF($G13=W$5,1000,IF(W$4=0,1000,SQRT((VLOOKUP($G13,Coords[],3,FALSE)-VLOOKUP(W$5,Coords[],3,FALSE))^2+(VLOOKUP($G13,Coords[],4,FALSE)-VLOOKUP(W$5,Coords[],4,FALSE))^2)))</f>
        <v>1000</v>
      </c>
      <c r="X13" s="10">
        <f>IF($G13=X$5,1000,IF(X$4=0,1000,SQRT((VLOOKUP($G13,Coords[],3,FALSE)-VLOOKUP(X$5,Coords[],3,FALSE))^2+(VLOOKUP($G13,Coords[],4,FALSE)-VLOOKUP(X$5,Coords[],4,FALSE))^2)))</f>
        <v>1000</v>
      </c>
      <c r="Y13" s="10">
        <f>IF($G13=Y$5,1000,IF(Y$4=0,1000,SQRT((VLOOKUP($G13,Coords[],3,FALSE)-VLOOKUP(Y$5,Coords[],3,FALSE))^2+(VLOOKUP($G13,Coords[],4,FALSE)-VLOOKUP(Y$5,Coords[],4,FALSE))^2)))</f>
        <v>1000</v>
      </c>
      <c r="Z13" s="10">
        <f>IF($G13=Z$5,1000,IF(Z$4=0,1000,SQRT((VLOOKUP($G13,Coords[],3,FALSE)-VLOOKUP(Z$5,Coords[],3,FALSE))^2+(VLOOKUP($G13,Coords[],4,FALSE)-VLOOKUP(Z$5,Coords[],4,FALSE))^2)))</f>
        <v>1000</v>
      </c>
      <c r="AA13" s="10">
        <f>IF($G13=AA$5,1000,IF(AA$4=0,1000,SQRT((VLOOKUP($G13,Coords[],3,FALSE)-VLOOKUP(AA$5,Coords[],3,FALSE))^2+(VLOOKUP($G13,Coords[],4,FALSE)-VLOOKUP(AA$5,Coords[],4,FALSE))^2)))</f>
        <v>26.305892875931811</v>
      </c>
      <c r="AB13" s="10">
        <f>IF($G13=AB$5,1000,IF(AB$4=0,1000,SQRT((VLOOKUP($G13,Coords[],3,FALSE)-VLOOKUP(AB$5,Coords[],3,FALSE))^2+(VLOOKUP($G13,Coords[],4,FALSE)-VLOOKUP(AB$5,Coords[],4,FALSE))^2)))</f>
        <v>1000</v>
      </c>
      <c r="AC13" s="10">
        <f>IF($G13=AC$5,1000,IF(AC$4=0,1000,SQRT((VLOOKUP($G13,Coords[],3,FALSE)-VLOOKUP(AC$5,Coords[],3,FALSE))^2+(VLOOKUP($G13,Coords[],4,FALSE)-VLOOKUP(AC$5,Coords[],4,FALSE))^2)))</f>
        <v>1000</v>
      </c>
      <c r="AD13" s="10">
        <f>IF($G13=AD$5,1000,IF(AD$4=0,1000,SQRT((VLOOKUP($G13,Coords[],3,FALSE)-VLOOKUP(AD$5,Coords[],3,FALSE))^2+(VLOOKUP($G13,Coords[],4,FALSE)-VLOOKUP(AD$5,Coords[],4,FALSE))^2)))</f>
        <v>1000</v>
      </c>
      <c r="AE13" s="10">
        <f>IF($G13=AE$5,1000,IF(AE$4=0,1000,SQRT((VLOOKUP($G13,Coords[],3,FALSE)-VLOOKUP(AE$5,Coords[],3,FALSE))^2+(VLOOKUP($G13,Coords[],4,FALSE)-VLOOKUP(AE$5,Coords[],4,FALSE))^2)))</f>
        <v>1000</v>
      </c>
      <c r="AF13" s="10">
        <f>IF($G13=AF$5,1000,IF(AF$4=0,1000,SQRT((VLOOKUP($G13,Coords[],3,FALSE)-VLOOKUP(AF$5,Coords[],3,FALSE))^2+(VLOOKUP($G13,Coords[],4,FALSE)-VLOOKUP(AF$5,Coords[],4,FALSE))^2)))</f>
        <v>1000</v>
      </c>
      <c r="AG13" s="10">
        <f>IF($G13=AG$5,1000,IF(AG$4=0,1000,SQRT((VLOOKUP($G13,Coords[],3,FALSE)-VLOOKUP(AG$5,Coords[],3,FALSE))^2+(VLOOKUP($G13,Coords[],4,FALSE)-VLOOKUP(AG$5,Coords[],4,FALSE))^2)))</f>
        <v>1000</v>
      </c>
      <c r="AH13" s="10">
        <f>IF($G13=AH$5,1000,IF(AH$4=0,1000,SQRT((VLOOKUP($G13,Coords[],3,FALSE)-VLOOKUP(AH$5,Coords[],3,FALSE))^2+(VLOOKUP($G13,Coords[],4,FALSE)-VLOOKUP(AH$5,Coords[],4,FALSE))^2)))</f>
        <v>1000</v>
      </c>
      <c r="AI13" s="10">
        <f>IF($G13=AI$5,1000,IF(AI$4=0,1000,SQRT((VLOOKUP($G13,Coords[],3,FALSE)-VLOOKUP(AI$5,Coords[],3,FALSE))^2+(VLOOKUP($G13,Coords[],4,FALSE)-VLOOKUP(AI$5,Coords[],4,FALSE))^2)))</f>
        <v>1000</v>
      </c>
      <c r="AJ13" s="10">
        <f>IF($G13=AJ$5,1000,IF(AJ$4=0,1000,SQRT((VLOOKUP($G13,Coords[],3,FALSE)-VLOOKUP(AJ$5,Coords[],3,FALSE))^2+(VLOOKUP($G13,Coords[],4,FALSE)-VLOOKUP(AJ$5,Coords[],4,FALSE))^2)))</f>
        <v>30.413812651491099</v>
      </c>
      <c r="AK13" s="10">
        <f>IF($G13=AK$5,1000,IF(AK$4=0,1000,SQRT((VLOOKUP($G13,Coords[],3,FALSE)-VLOOKUP(AK$5,Coords[],3,FALSE))^2+(VLOOKUP($G13,Coords[],4,FALSE)-VLOOKUP(AK$5,Coords[],4,FALSE))^2)))</f>
        <v>1000</v>
      </c>
      <c r="AL13" s="10">
        <f>IF($G13=AL$5,1000,IF(AL$4=0,1000,SQRT((VLOOKUP($G13,Coords[],3,FALSE)-VLOOKUP(AL$5,Coords[],3,FALSE))^2+(VLOOKUP($G13,Coords[],4,FALSE)-VLOOKUP(AL$5,Coords[],4,FALSE))^2)))</f>
        <v>1000</v>
      </c>
      <c r="AM13" s="10">
        <f>IF($G13=AM$5,1000,IF(AM$4=0,1000,SQRT((VLOOKUP($G13,Coords[],3,FALSE)-VLOOKUP(AM$5,Coords[],3,FALSE))^2+(VLOOKUP($G13,Coords[],4,FALSE)-VLOOKUP(AM$5,Coords[],4,FALSE))^2)))</f>
        <v>17.464249196572979</v>
      </c>
      <c r="AN13" s="10">
        <f>IF($G13=AN$5,1000,IF(AN$4=0,1000,SQRT((VLOOKUP($G13,Coords[],3,FALSE)-VLOOKUP(AN$5,Coords[],3,FALSE))^2+(VLOOKUP($G13,Coords[],4,FALSE)-VLOOKUP(AN$5,Coords[],4,FALSE))^2)))</f>
        <v>1000</v>
      </c>
      <c r="AO13" s="10">
        <f>IF($G13=AO$5,1000,IF(AO$4=0,1000,SQRT((VLOOKUP($G13,Coords[],3,FALSE)-VLOOKUP(AO$5,Coords[],3,FALSE))^2+(VLOOKUP($G13,Coords[],4,FALSE)-VLOOKUP(AO$5,Coords[],4,FALSE))^2)))</f>
        <v>1000</v>
      </c>
      <c r="AP13" s="10">
        <f>IF($G13=AP$5,1000,IF(AP$4=0,1000,SQRT((VLOOKUP($G13,Coords[],3,FALSE)-VLOOKUP(AP$5,Coords[],3,FALSE))^2+(VLOOKUP($G13,Coords[],4,FALSE)-VLOOKUP(AP$5,Coords[],4,FALSE))^2)))</f>
        <v>1000</v>
      </c>
      <c r="AQ13" s="10">
        <f>IF($G13=AQ$5,1000,IF(AQ$4=0,1000,SQRT((VLOOKUP($G13,Coords[],3,FALSE)-VLOOKUP(AQ$5,Coords[],3,FALSE))^2+(VLOOKUP($G13,Coords[],4,FALSE)-VLOOKUP(AQ$5,Coords[],4,FALSE))^2)))</f>
        <v>1000</v>
      </c>
      <c r="AR13" s="10">
        <f>IF($G13=AR$5,1000,IF(AR$4=0,1000,SQRT((VLOOKUP($G13,Coords[],3,FALSE)-VLOOKUP(AR$5,Coords[],3,FALSE))^2+(VLOOKUP($G13,Coords[],4,FALSE)-VLOOKUP(AR$5,Coords[],4,FALSE))^2)))</f>
        <v>1000</v>
      </c>
      <c r="AS13" s="10">
        <f>IF($G13=AS$5,1000,IF(AS$4=0,1000,SQRT((VLOOKUP($G13,Coords[],3,FALSE)-VLOOKUP(AS$5,Coords[],3,FALSE))^2+(VLOOKUP($G13,Coords[],4,FALSE)-VLOOKUP(AS$5,Coords[],4,FALSE))^2)))</f>
        <v>1000</v>
      </c>
      <c r="AT13" s="10">
        <f>IF($G13=AT$5,1000,IF(AT$4=0,1000,SQRT((VLOOKUP($G13,Coords[],3,FALSE)-VLOOKUP(AT$5,Coords[],3,FALSE))^2+(VLOOKUP($G13,Coords[],4,FALSE)-VLOOKUP(AT$5,Coords[],4,FALSE))^2)))</f>
        <v>1000</v>
      </c>
      <c r="AU13" s="10">
        <f>IF($G13=AU$5,1000,IF(AU$4=0,1000,SQRT((VLOOKUP($G13,Coords[],3,FALSE)-VLOOKUP(AU$5,Coords[],3,FALSE))^2+(VLOOKUP($G13,Coords[],4,FALSE)-VLOOKUP(AU$5,Coords[],4,FALSE))^2)))</f>
        <v>1000</v>
      </c>
      <c r="AV13" s="10">
        <f>IF($G13=AV$5,1000,IF(AV$4=0,1000,SQRT((VLOOKUP($G13,Coords[],3,FALSE)-VLOOKUP(AV$5,Coords[],3,FALSE))^2+(VLOOKUP($G13,Coords[],4,FALSE)-VLOOKUP(AV$5,Coords[],4,FALSE))^2)))</f>
        <v>1000</v>
      </c>
      <c r="AW13" s="10">
        <f>IF($G13=AW$5,1000,IF(AW$4=0,1000,SQRT((VLOOKUP($G13,Coords[],3,FALSE)-VLOOKUP(AW$5,Coords[],3,FALSE))^2+(VLOOKUP($G13,Coords[],4,FALSE)-VLOOKUP(AW$5,Coords[],4,FALSE))^2)))</f>
        <v>1000</v>
      </c>
      <c r="AX13" s="10">
        <f>IF($G13=AX$5,1000,IF(AX$4=0,1000,SQRT((VLOOKUP($G13,Coords[],3,FALSE)-VLOOKUP(AX$5,Coords[],3,FALSE))^2+(VLOOKUP($G13,Coords[],4,FALSE)-VLOOKUP(AX$5,Coords[],4,FALSE))^2)))</f>
        <v>1000</v>
      </c>
      <c r="AY13" s="10">
        <f>IF($G13=AY$5,1000,IF(AY$4=0,1000,SQRT((VLOOKUP($G13,Coords[],3,FALSE)-VLOOKUP(AY$5,Coords[],3,FALSE))^2+(VLOOKUP($G13,Coords[],4,FALSE)-VLOOKUP(AY$5,Coords[],4,FALSE))^2)))</f>
        <v>1000</v>
      </c>
      <c r="AZ13" s="10">
        <f>IF($G13=AZ$5,1000,IF(AZ$4=0,1000,SQRT((VLOOKUP($G13,Coords[],3,FALSE)-VLOOKUP(AZ$5,Coords[],3,FALSE))^2+(VLOOKUP($G13,Coords[],4,FALSE)-VLOOKUP(AZ$5,Coords[],4,FALSE))^2)))</f>
        <v>1000</v>
      </c>
      <c r="BA13" s="10">
        <f>IF($G13=BA$5,1000,IF(BA$4=0,1000,SQRT((VLOOKUP($G13,Coords[],3,FALSE)-VLOOKUP(BA$5,Coords[],3,FALSE))^2+(VLOOKUP($G13,Coords[],4,FALSE)-VLOOKUP(BA$5,Coords[],4,FALSE))^2)))</f>
        <v>1000</v>
      </c>
      <c r="BB13" s="10">
        <f>IF($G13=BB$5,1000,IF(BB$4=0,1000,SQRT((VLOOKUP($G13,Coords[],3,FALSE)-VLOOKUP(BB$5,Coords[],3,FALSE))^2+(VLOOKUP($G13,Coords[],4,FALSE)-VLOOKUP(BB$5,Coords[],4,FALSE))^2)))</f>
        <v>1000</v>
      </c>
      <c r="BC13" s="10">
        <f>IF($G13=BC$5,1000,IF(BC$4=0,1000,SQRT((VLOOKUP($G13,Coords[],3,FALSE)-VLOOKUP(BC$5,Coords[],3,FALSE))^2+(VLOOKUP($G13,Coords[],4,FALSE)-VLOOKUP(BC$5,Coords[],4,FALSE))^2)))</f>
        <v>1000</v>
      </c>
      <c r="BD13" s="10">
        <f>IF($G13=BD$5,1000,IF(BD$4=0,1000,SQRT((VLOOKUP($G13,Coords[],3,FALSE)-VLOOKUP(BD$5,Coords[],3,FALSE))^2+(VLOOKUP($G13,Coords[],4,FALSE)-VLOOKUP(BD$5,Coords[],4,FALSE))^2)))</f>
        <v>1000</v>
      </c>
      <c r="BE13" s="10">
        <f>IF($G13=BE$5,1000,IF(BE$4=0,1000,SQRT((VLOOKUP($G13,Coords[],3,FALSE)-VLOOKUP(BE$5,Coords[],3,FALSE))^2+(VLOOKUP($G13,Coords[],4,FALSE)-VLOOKUP(BE$5,Coords[],4,FALSE))^2)))</f>
        <v>1000</v>
      </c>
      <c r="BF13" s="10">
        <f>IF($G13=BF$5,1000,IF(BF$4=0,1000,SQRT((VLOOKUP($G13,Coords[],3,FALSE)-VLOOKUP(BF$5,Coords[],3,FALSE))^2+(VLOOKUP($G13,Coords[],4,FALSE)-VLOOKUP(BF$5,Coords[],4,FALSE))^2)))</f>
        <v>1000</v>
      </c>
      <c r="BG13" s="4">
        <v>8</v>
      </c>
      <c r="BI13" s="5">
        <f>IF(E13=1,0,VLOOKUP($G13,$G$6:$BF$57,HLOOKUP(MIN(H13:BF13),$H13:$BF$57,((COUNT($G$6:$G$56)+2)-$G13),FALSE),FALSE)*B13)</f>
        <v>0</v>
      </c>
      <c r="BJ13" s="9">
        <f>VLOOKUP($G13,$G$6:$BF$57,HLOOKUP(MIN(H13:BF13),$H13:$BF$57,((COUNT($G$6:$G$56)+2)-$G13),FALSE),FALSE)</f>
        <v>17.464249196572979</v>
      </c>
      <c r="BK13" s="7">
        <f>HLOOKUP(MIN(H13:BF13),$H13:$BF$57,((COUNT($G$6:$G$56)+2)-$G13),FALSE)</f>
        <v>33</v>
      </c>
      <c r="BL13">
        <f>BJ13*Coords[[#This Row],[Demand]]</f>
        <v>401.67773152117854</v>
      </c>
      <c r="BN13">
        <v>8</v>
      </c>
      <c r="BO13">
        <v>8394.1145295333736</v>
      </c>
      <c r="BP13">
        <v>11231.602620013868</v>
      </c>
    </row>
    <row r="14" spans="1:68" x14ac:dyDescent="0.25">
      <c r="A14" s="8">
        <v>9</v>
      </c>
      <c r="B14" s="3">
        <v>8</v>
      </c>
      <c r="C14" s="3">
        <v>52</v>
      </c>
      <c r="D14" s="3">
        <v>33</v>
      </c>
      <c r="E14">
        <v>0</v>
      </c>
      <c r="G14" s="4">
        <v>9</v>
      </c>
      <c r="H14" s="10">
        <f>IF($G14=H$5,1000,IF(H$4=0,1000,SQRT((VLOOKUP($G14,Coords[],3,FALSE)-VLOOKUP(H$5,Coords[],3,FALSE))^2+(VLOOKUP($G14,Coords[],4,FALSE)-VLOOKUP(H$5,Coords[],4,FALSE))^2)))</f>
        <v>1000</v>
      </c>
      <c r="I14" s="10">
        <f>IF($G14=I$5,1000,IF(I$4=0,1000,SQRT((VLOOKUP($G14,Coords[],3,FALSE)-VLOOKUP(I$5,Coords[],3,FALSE))^2+(VLOOKUP($G14,Coords[],4,FALSE)-VLOOKUP(I$5,Coords[],4,FALSE))^2)))</f>
        <v>1000</v>
      </c>
      <c r="J14" s="10">
        <f>IF($G14=J$5,1000,IF(J$4=0,1000,SQRT((VLOOKUP($G14,Coords[],3,FALSE)-VLOOKUP(J$5,Coords[],3,FALSE))^2+(VLOOKUP($G14,Coords[],4,FALSE)-VLOOKUP(J$5,Coords[],4,FALSE))^2)))</f>
        <v>1000</v>
      </c>
      <c r="K14" s="10">
        <f>IF($G14=K$5,1000,IF(K$4=0,1000,SQRT((VLOOKUP($G14,Coords[],3,FALSE)-VLOOKUP(K$5,Coords[],3,FALSE))^2+(VLOOKUP($G14,Coords[],4,FALSE)-VLOOKUP(K$5,Coords[],4,FALSE))^2)))</f>
        <v>1000</v>
      </c>
      <c r="L14" s="10">
        <f>IF($G14=L$5,1000,IF(L$4=0,1000,SQRT((VLOOKUP($G14,Coords[],3,FALSE)-VLOOKUP(L$5,Coords[],3,FALSE))^2+(VLOOKUP($G14,Coords[],4,FALSE)-VLOOKUP(L$5,Coords[],4,FALSE))^2)))</f>
        <v>1000</v>
      </c>
      <c r="M14" s="10">
        <f>IF($G14=M$5,1000,IF(M$4=0,1000,SQRT((VLOOKUP($G14,Coords[],3,FALSE)-VLOOKUP(M$5,Coords[],3,FALSE))^2+(VLOOKUP($G14,Coords[],4,FALSE)-VLOOKUP(M$5,Coords[],4,FALSE))^2)))</f>
        <v>1000</v>
      </c>
      <c r="N14" s="10">
        <f>IF($G14=N$5,1000,IF(N$4=0,1000,SQRT((VLOOKUP($G14,Coords[],3,FALSE)-VLOOKUP(N$5,Coords[],3,FALSE))^2+(VLOOKUP($G14,Coords[],4,FALSE)-VLOOKUP(N$5,Coords[],4,FALSE))^2)))</f>
        <v>1000</v>
      </c>
      <c r="O14" s="10">
        <f>IF($G14=O$5,1000,IF(O$4=0,1000,SQRT((VLOOKUP($G14,Coords[],3,FALSE)-VLOOKUP(O$5,Coords[],3,FALSE))^2+(VLOOKUP($G14,Coords[],4,FALSE)-VLOOKUP(O$5,Coords[],4,FALSE))^2)))</f>
        <v>35.805027579936315</v>
      </c>
      <c r="P14" s="10">
        <f>IF($G14=P$5,1000,IF(P$4=0,1000,SQRT((VLOOKUP($G14,Coords[],3,FALSE)-VLOOKUP(P$5,Coords[],3,FALSE))^2+(VLOOKUP($G14,Coords[],4,FALSE)-VLOOKUP(P$5,Coords[],4,FALSE))^2)))</f>
        <v>1000</v>
      </c>
      <c r="Q14" s="10">
        <f>IF($G14=Q$5,1000,IF(Q$4=0,1000,SQRT((VLOOKUP($G14,Coords[],3,FALSE)-VLOOKUP(Q$5,Coords[],3,FALSE))^2+(VLOOKUP($G14,Coords[],4,FALSE)-VLOOKUP(Q$5,Coords[],4,FALSE))^2)))</f>
        <v>1000</v>
      </c>
      <c r="R14" s="10">
        <f>IF($G14=R$5,1000,IF(R$4=0,1000,SQRT((VLOOKUP($G14,Coords[],3,FALSE)-VLOOKUP(R$5,Coords[],3,FALSE))^2+(VLOOKUP($G14,Coords[],4,FALSE)-VLOOKUP(R$5,Coords[],4,FALSE))^2)))</f>
        <v>1000</v>
      </c>
      <c r="S14" s="10">
        <f>IF($G14=S$5,1000,IF(S$4=0,1000,SQRT((VLOOKUP($G14,Coords[],3,FALSE)-VLOOKUP(S$5,Coords[],3,FALSE))^2+(VLOOKUP($G14,Coords[],4,FALSE)-VLOOKUP(S$5,Coords[],4,FALSE))^2)))</f>
        <v>1000</v>
      </c>
      <c r="T14" s="10">
        <f>IF($G14=T$5,1000,IF(T$4=0,1000,SQRT((VLOOKUP($G14,Coords[],3,FALSE)-VLOOKUP(T$5,Coords[],3,FALSE))^2+(VLOOKUP($G14,Coords[],4,FALSE)-VLOOKUP(T$5,Coords[],4,FALSE))^2)))</f>
        <v>1000</v>
      </c>
      <c r="U14" s="10">
        <f>IF($G14=U$5,1000,IF(U$4=0,1000,SQRT((VLOOKUP($G14,Coords[],3,FALSE)-VLOOKUP(U$5,Coords[],3,FALSE))^2+(VLOOKUP($G14,Coords[],4,FALSE)-VLOOKUP(U$5,Coords[],4,FALSE))^2)))</f>
        <v>1000</v>
      </c>
      <c r="V14" s="10">
        <f>IF($G14=V$5,1000,IF(V$4=0,1000,SQRT((VLOOKUP($G14,Coords[],3,FALSE)-VLOOKUP(V$5,Coords[],3,FALSE))^2+(VLOOKUP($G14,Coords[],4,FALSE)-VLOOKUP(V$5,Coords[],4,FALSE))^2)))</f>
        <v>1000</v>
      </c>
      <c r="W14" s="10">
        <f>IF($G14=W$5,1000,IF(W$4=0,1000,SQRT((VLOOKUP($G14,Coords[],3,FALSE)-VLOOKUP(W$5,Coords[],3,FALSE))^2+(VLOOKUP($G14,Coords[],4,FALSE)-VLOOKUP(W$5,Coords[],4,FALSE))^2)))</f>
        <v>1000</v>
      </c>
      <c r="X14" s="10">
        <f>IF($G14=X$5,1000,IF(X$4=0,1000,SQRT((VLOOKUP($G14,Coords[],3,FALSE)-VLOOKUP(X$5,Coords[],3,FALSE))^2+(VLOOKUP($G14,Coords[],4,FALSE)-VLOOKUP(X$5,Coords[],4,FALSE))^2)))</f>
        <v>1000</v>
      </c>
      <c r="Y14" s="10">
        <f>IF($G14=Y$5,1000,IF(Y$4=0,1000,SQRT((VLOOKUP($G14,Coords[],3,FALSE)-VLOOKUP(Y$5,Coords[],3,FALSE))^2+(VLOOKUP($G14,Coords[],4,FALSE)-VLOOKUP(Y$5,Coords[],4,FALSE))^2)))</f>
        <v>1000</v>
      </c>
      <c r="Z14" s="10">
        <f>IF($G14=Z$5,1000,IF(Z$4=0,1000,SQRT((VLOOKUP($G14,Coords[],3,FALSE)-VLOOKUP(Z$5,Coords[],3,FALSE))^2+(VLOOKUP($G14,Coords[],4,FALSE)-VLOOKUP(Z$5,Coords[],4,FALSE))^2)))</f>
        <v>1000</v>
      </c>
      <c r="AA14" s="10">
        <f>IF($G14=AA$5,1000,IF(AA$4=0,1000,SQRT((VLOOKUP($G14,Coords[],3,FALSE)-VLOOKUP(AA$5,Coords[],3,FALSE))^2+(VLOOKUP($G14,Coords[],4,FALSE)-VLOOKUP(AA$5,Coords[],4,FALSE))^2)))</f>
        <v>25.495097567963924</v>
      </c>
      <c r="AB14" s="10">
        <f>IF($G14=AB$5,1000,IF(AB$4=0,1000,SQRT((VLOOKUP($G14,Coords[],3,FALSE)-VLOOKUP(AB$5,Coords[],3,FALSE))^2+(VLOOKUP($G14,Coords[],4,FALSE)-VLOOKUP(AB$5,Coords[],4,FALSE))^2)))</f>
        <v>1000</v>
      </c>
      <c r="AC14" s="10">
        <f>IF($G14=AC$5,1000,IF(AC$4=0,1000,SQRT((VLOOKUP($G14,Coords[],3,FALSE)-VLOOKUP(AC$5,Coords[],3,FALSE))^2+(VLOOKUP($G14,Coords[],4,FALSE)-VLOOKUP(AC$5,Coords[],4,FALSE))^2)))</f>
        <v>1000</v>
      </c>
      <c r="AD14" s="10">
        <f>IF($G14=AD$5,1000,IF(AD$4=0,1000,SQRT((VLOOKUP($G14,Coords[],3,FALSE)-VLOOKUP(AD$5,Coords[],3,FALSE))^2+(VLOOKUP($G14,Coords[],4,FALSE)-VLOOKUP(AD$5,Coords[],4,FALSE))^2)))</f>
        <v>1000</v>
      </c>
      <c r="AE14" s="10">
        <f>IF($G14=AE$5,1000,IF(AE$4=0,1000,SQRT((VLOOKUP($G14,Coords[],3,FALSE)-VLOOKUP(AE$5,Coords[],3,FALSE))^2+(VLOOKUP($G14,Coords[],4,FALSE)-VLOOKUP(AE$5,Coords[],4,FALSE))^2)))</f>
        <v>1000</v>
      </c>
      <c r="AF14" s="10">
        <f>IF($G14=AF$5,1000,IF(AF$4=0,1000,SQRT((VLOOKUP($G14,Coords[],3,FALSE)-VLOOKUP(AF$5,Coords[],3,FALSE))^2+(VLOOKUP($G14,Coords[],4,FALSE)-VLOOKUP(AF$5,Coords[],4,FALSE))^2)))</f>
        <v>1000</v>
      </c>
      <c r="AG14" s="10">
        <f>IF($G14=AG$5,1000,IF(AG$4=0,1000,SQRT((VLOOKUP($G14,Coords[],3,FALSE)-VLOOKUP(AG$5,Coords[],3,FALSE))^2+(VLOOKUP($G14,Coords[],4,FALSE)-VLOOKUP(AG$5,Coords[],4,FALSE))^2)))</f>
        <v>1000</v>
      </c>
      <c r="AH14" s="10">
        <f>IF($G14=AH$5,1000,IF(AH$4=0,1000,SQRT((VLOOKUP($G14,Coords[],3,FALSE)-VLOOKUP(AH$5,Coords[],3,FALSE))^2+(VLOOKUP($G14,Coords[],4,FALSE)-VLOOKUP(AH$5,Coords[],4,FALSE))^2)))</f>
        <v>1000</v>
      </c>
      <c r="AI14" s="10">
        <f>IF($G14=AI$5,1000,IF(AI$4=0,1000,SQRT((VLOOKUP($G14,Coords[],3,FALSE)-VLOOKUP(AI$5,Coords[],3,FALSE))^2+(VLOOKUP($G14,Coords[],4,FALSE)-VLOOKUP(AI$5,Coords[],4,FALSE))^2)))</f>
        <v>1000</v>
      </c>
      <c r="AJ14" s="10">
        <f>IF($G14=AJ$5,1000,IF(AJ$4=0,1000,SQRT((VLOOKUP($G14,Coords[],3,FALSE)-VLOOKUP(AJ$5,Coords[],3,FALSE))^2+(VLOOKUP($G14,Coords[],4,FALSE)-VLOOKUP(AJ$5,Coords[],4,FALSE))^2)))</f>
        <v>16.15549442140351</v>
      </c>
      <c r="AK14" s="10">
        <f>IF($G14=AK$5,1000,IF(AK$4=0,1000,SQRT((VLOOKUP($G14,Coords[],3,FALSE)-VLOOKUP(AK$5,Coords[],3,FALSE))^2+(VLOOKUP($G14,Coords[],4,FALSE)-VLOOKUP(AK$5,Coords[],4,FALSE))^2)))</f>
        <v>1000</v>
      </c>
      <c r="AL14" s="10">
        <f>IF($G14=AL$5,1000,IF(AL$4=0,1000,SQRT((VLOOKUP($G14,Coords[],3,FALSE)-VLOOKUP(AL$5,Coords[],3,FALSE))^2+(VLOOKUP($G14,Coords[],4,FALSE)-VLOOKUP(AL$5,Coords[],4,FALSE))^2)))</f>
        <v>1000</v>
      </c>
      <c r="AM14" s="10">
        <f>IF($G14=AM$5,1000,IF(AM$4=0,1000,SQRT((VLOOKUP($G14,Coords[],3,FALSE)-VLOOKUP(AM$5,Coords[],3,FALSE))^2+(VLOOKUP($G14,Coords[],4,FALSE)-VLOOKUP(AM$5,Coords[],4,FALSE))^2)))</f>
        <v>19.104973174542799</v>
      </c>
      <c r="AN14" s="10">
        <f>IF($G14=AN$5,1000,IF(AN$4=0,1000,SQRT((VLOOKUP($G14,Coords[],3,FALSE)-VLOOKUP(AN$5,Coords[],3,FALSE))^2+(VLOOKUP($G14,Coords[],4,FALSE)-VLOOKUP(AN$5,Coords[],4,FALSE))^2)))</f>
        <v>1000</v>
      </c>
      <c r="AO14" s="10">
        <f>IF($G14=AO$5,1000,IF(AO$4=0,1000,SQRT((VLOOKUP($G14,Coords[],3,FALSE)-VLOOKUP(AO$5,Coords[],3,FALSE))^2+(VLOOKUP($G14,Coords[],4,FALSE)-VLOOKUP(AO$5,Coords[],4,FALSE))^2)))</f>
        <v>1000</v>
      </c>
      <c r="AP14" s="10">
        <f>IF($G14=AP$5,1000,IF(AP$4=0,1000,SQRT((VLOOKUP($G14,Coords[],3,FALSE)-VLOOKUP(AP$5,Coords[],3,FALSE))^2+(VLOOKUP($G14,Coords[],4,FALSE)-VLOOKUP(AP$5,Coords[],4,FALSE))^2)))</f>
        <v>1000</v>
      </c>
      <c r="AQ14" s="10">
        <f>IF($G14=AQ$5,1000,IF(AQ$4=0,1000,SQRT((VLOOKUP($G14,Coords[],3,FALSE)-VLOOKUP(AQ$5,Coords[],3,FALSE))^2+(VLOOKUP($G14,Coords[],4,FALSE)-VLOOKUP(AQ$5,Coords[],4,FALSE))^2)))</f>
        <v>1000</v>
      </c>
      <c r="AR14" s="10">
        <f>IF($G14=AR$5,1000,IF(AR$4=0,1000,SQRT((VLOOKUP($G14,Coords[],3,FALSE)-VLOOKUP(AR$5,Coords[],3,FALSE))^2+(VLOOKUP($G14,Coords[],4,FALSE)-VLOOKUP(AR$5,Coords[],4,FALSE))^2)))</f>
        <v>1000</v>
      </c>
      <c r="AS14" s="10">
        <f>IF($G14=AS$5,1000,IF(AS$4=0,1000,SQRT((VLOOKUP($G14,Coords[],3,FALSE)-VLOOKUP(AS$5,Coords[],3,FALSE))^2+(VLOOKUP($G14,Coords[],4,FALSE)-VLOOKUP(AS$5,Coords[],4,FALSE))^2)))</f>
        <v>1000</v>
      </c>
      <c r="AT14" s="10">
        <f>IF($G14=AT$5,1000,IF(AT$4=0,1000,SQRT((VLOOKUP($G14,Coords[],3,FALSE)-VLOOKUP(AT$5,Coords[],3,FALSE))^2+(VLOOKUP($G14,Coords[],4,FALSE)-VLOOKUP(AT$5,Coords[],4,FALSE))^2)))</f>
        <v>1000</v>
      </c>
      <c r="AU14" s="10">
        <f>IF($G14=AU$5,1000,IF(AU$4=0,1000,SQRT((VLOOKUP($G14,Coords[],3,FALSE)-VLOOKUP(AU$5,Coords[],3,FALSE))^2+(VLOOKUP($G14,Coords[],4,FALSE)-VLOOKUP(AU$5,Coords[],4,FALSE))^2)))</f>
        <v>1000</v>
      </c>
      <c r="AV14" s="10">
        <f>IF($G14=AV$5,1000,IF(AV$4=0,1000,SQRT((VLOOKUP($G14,Coords[],3,FALSE)-VLOOKUP(AV$5,Coords[],3,FALSE))^2+(VLOOKUP($G14,Coords[],4,FALSE)-VLOOKUP(AV$5,Coords[],4,FALSE))^2)))</f>
        <v>1000</v>
      </c>
      <c r="AW14" s="10">
        <f>IF($G14=AW$5,1000,IF(AW$4=0,1000,SQRT((VLOOKUP($G14,Coords[],3,FALSE)-VLOOKUP(AW$5,Coords[],3,FALSE))^2+(VLOOKUP($G14,Coords[],4,FALSE)-VLOOKUP(AW$5,Coords[],4,FALSE))^2)))</f>
        <v>1000</v>
      </c>
      <c r="AX14" s="10">
        <f>IF($G14=AX$5,1000,IF(AX$4=0,1000,SQRT((VLOOKUP($G14,Coords[],3,FALSE)-VLOOKUP(AX$5,Coords[],3,FALSE))^2+(VLOOKUP($G14,Coords[],4,FALSE)-VLOOKUP(AX$5,Coords[],4,FALSE))^2)))</f>
        <v>1000</v>
      </c>
      <c r="AY14" s="10">
        <f>IF($G14=AY$5,1000,IF(AY$4=0,1000,SQRT((VLOOKUP($G14,Coords[],3,FALSE)-VLOOKUP(AY$5,Coords[],3,FALSE))^2+(VLOOKUP($G14,Coords[],4,FALSE)-VLOOKUP(AY$5,Coords[],4,FALSE))^2)))</f>
        <v>1000</v>
      </c>
      <c r="AZ14" s="10">
        <f>IF($G14=AZ$5,1000,IF(AZ$4=0,1000,SQRT((VLOOKUP($G14,Coords[],3,FALSE)-VLOOKUP(AZ$5,Coords[],3,FALSE))^2+(VLOOKUP($G14,Coords[],4,FALSE)-VLOOKUP(AZ$5,Coords[],4,FALSE))^2)))</f>
        <v>1000</v>
      </c>
      <c r="BA14" s="10">
        <f>IF($G14=BA$5,1000,IF(BA$4=0,1000,SQRT((VLOOKUP($G14,Coords[],3,FALSE)-VLOOKUP(BA$5,Coords[],3,FALSE))^2+(VLOOKUP($G14,Coords[],4,FALSE)-VLOOKUP(BA$5,Coords[],4,FALSE))^2)))</f>
        <v>1000</v>
      </c>
      <c r="BB14" s="10">
        <f>IF($G14=BB$5,1000,IF(BB$4=0,1000,SQRT((VLOOKUP($G14,Coords[],3,FALSE)-VLOOKUP(BB$5,Coords[],3,FALSE))^2+(VLOOKUP($G14,Coords[],4,FALSE)-VLOOKUP(BB$5,Coords[],4,FALSE))^2)))</f>
        <v>1000</v>
      </c>
      <c r="BC14" s="10">
        <f>IF($G14=BC$5,1000,IF(BC$4=0,1000,SQRT((VLOOKUP($G14,Coords[],3,FALSE)-VLOOKUP(BC$5,Coords[],3,FALSE))^2+(VLOOKUP($G14,Coords[],4,FALSE)-VLOOKUP(BC$5,Coords[],4,FALSE))^2)))</f>
        <v>1000</v>
      </c>
      <c r="BD14" s="10">
        <f>IF($G14=BD$5,1000,IF(BD$4=0,1000,SQRT((VLOOKUP($G14,Coords[],3,FALSE)-VLOOKUP(BD$5,Coords[],3,FALSE))^2+(VLOOKUP($G14,Coords[],4,FALSE)-VLOOKUP(BD$5,Coords[],4,FALSE))^2)))</f>
        <v>1000</v>
      </c>
      <c r="BE14" s="10">
        <f>IF($G14=BE$5,1000,IF(BE$4=0,1000,SQRT((VLOOKUP($G14,Coords[],3,FALSE)-VLOOKUP(BE$5,Coords[],3,FALSE))^2+(VLOOKUP($G14,Coords[],4,FALSE)-VLOOKUP(BE$5,Coords[],4,FALSE))^2)))</f>
        <v>1000</v>
      </c>
      <c r="BF14" s="10">
        <f>IF($G14=BF$5,1000,IF(BF$4=0,1000,SQRT((VLOOKUP($G14,Coords[],3,FALSE)-VLOOKUP(BF$5,Coords[],3,FALSE))^2+(VLOOKUP($G14,Coords[],4,FALSE)-VLOOKUP(BF$5,Coords[],4,FALSE))^2)))</f>
        <v>1000</v>
      </c>
      <c r="BG14" s="4">
        <v>9</v>
      </c>
      <c r="BI14" s="5">
        <f>IF(E14=1,0,VLOOKUP($G14,$G$6:$BF$57,HLOOKUP(MIN(H14:BF14),$H14:$BF$57,((COUNT($G$6:$G$56)+2)-$G14),FALSE),FALSE)*B14)</f>
        <v>129.24395537122808</v>
      </c>
      <c r="BJ14" s="9">
        <f>VLOOKUP($G14,$G$6:$BF$57,HLOOKUP(MIN(H14:BF14),$H14:$BF$57,((COUNT($G$6:$G$56)+2)-$G14),FALSE),FALSE)</f>
        <v>16.15549442140351</v>
      </c>
      <c r="BK14" s="7">
        <f>HLOOKUP(MIN(H14:BF14),$H14:$BF$57,((COUNT($G$6:$G$56)+2)-$G14),FALSE)</f>
        <v>30</v>
      </c>
      <c r="BL14">
        <f>BJ14*Coords[[#This Row],[Demand]]</f>
        <v>129.24395537122808</v>
      </c>
      <c r="BN14">
        <v>9</v>
      </c>
      <c r="BO14">
        <v>8358.2753268247379</v>
      </c>
      <c r="BP14">
        <v>10901.471090337278</v>
      </c>
    </row>
    <row r="15" spans="1:68" x14ac:dyDescent="0.25">
      <c r="A15" s="8">
        <v>10</v>
      </c>
      <c r="B15" s="3">
        <v>15</v>
      </c>
      <c r="C15" s="3">
        <v>51</v>
      </c>
      <c r="D15" s="3">
        <v>21</v>
      </c>
      <c r="E15">
        <v>0</v>
      </c>
      <c r="G15" s="4">
        <v>10</v>
      </c>
      <c r="H15" s="10">
        <f>IF($G15=H$5,1000,IF(H$4=0,1000,SQRT((VLOOKUP($G15,Coords[],3,FALSE)-VLOOKUP(H$5,Coords[],3,FALSE))^2+(VLOOKUP($G15,Coords[],4,FALSE)-VLOOKUP(H$5,Coords[],4,FALSE))^2)))</f>
        <v>1000</v>
      </c>
      <c r="I15" s="10">
        <f>IF($G15=I$5,1000,IF(I$4=0,1000,SQRT((VLOOKUP($G15,Coords[],3,FALSE)-VLOOKUP(I$5,Coords[],3,FALSE))^2+(VLOOKUP($G15,Coords[],4,FALSE)-VLOOKUP(I$5,Coords[],4,FALSE))^2)))</f>
        <v>1000</v>
      </c>
      <c r="J15" s="10">
        <f>IF($G15=J$5,1000,IF(J$4=0,1000,SQRT((VLOOKUP($G15,Coords[],3,FALSE)-VLOOKUP(J$5,Coords[],3,FALSE))^2+(VLOOKUP($G15,Coords[],4,FALSE)-VLOOKUP(J$5,Coords[],4,FALSE))^2)))</f>
        <v>1000</v>
      </c>
      <c r="K15" s="10">
        <f>IF($G15=K$5,1000,IF(K$4=0,1000,SQRT((VLOOKUP($G15,Coords[],3,FALSE)-VLOOKUP(K$5,Coords[],3,FALSE))^2+(VLOOKUP($G15,Coords[],4,FALSE)-VLOOKUP(K$5,Coords[],4,FALSE))^2)))</f>
        <v>1000</v>
      </c>
      <c r="L15" s="10">
        <f>IF($G15=L$5,1000,IF(L$4=0,1000,SQRT((VLOOKUP($G15,Coords[],3,FALSE)-VLOOKUP(L$5,Coords[],3,FALSE))^2+(VLOOKUP($G15,Coords[],4,FALSE)-VLOOKUP(L$5,Coords[],4,FALSE))^2)))</f>
        <v>1000</v>
      </c>
      <c r="M15" s="10">
        <f>IF($G15=M$5,1000,IF(M$4=0,1000,SQRT((VLOOKUP($G15,Coords[],3,FALSE)-VLOOKUP(M$5,Coords[],3,FALSE))^2+(VLOOKUP($G15,Coords[],4,FALSE)-VLOOKUP(M$5,Coords[],4,FALSE))^2)))</f>
        <v>1000</v>
      </c>
      <c r="N15" s="10">
        <f>IF($G15=N$5,1000,IF(N$4=0,1000,SQRT((VLOOKUP($G15,Coords[],3,FALSE)-VLOOKUP(N$5,Coords[],3,FALSE))^2+(VLOOKUP($G15,Coords[],4,FALSE)-VLOOKUP(N$5,Coords[],4,FALSE))^2)))</f>
        <v>1000</v>
      </c>
      <c r="O15" s="10">
        <f>IF($G15=O$5,1000,IF(O$4=0,1000,SQRT((VLOOKUP($G15,Coords[],3,FALSE)-VLOOKUP(O$5,Coords[],3,FALSE))^2+(VLOOKUP($G15,Coords[],4,FALSE)-VLOOKUP(O$5,Coords[],4,FALSE))^2)))</f>
        <v>45.617978911828175</v>
      </c>
      <c r="P15" s="10">
        <f>IF($G15=P$5,1000,IF(P$4=0,1000,SQRT((VLOOKUP($G15,Coords[],3,FALSE)-VLOOKUP(P$5,Coords[],3,FALSE))^2+(VLOOKUP($G15,Coords[],4,FALSE)-VLOOKUP(P$5,Coords[],4,FALSE))^2)))</f>
        <v>1000</v>
      </c>
      <c r="Q15" s="10">
        <f>IF($G15=Q$5,1000,IF(Q$4=0,1000,SQRT((VLOOKUP($G15,Coords[],3,FALSE)-VLOOKUP(Q$5,Coords[],3,FALSE))^2+(VLOOKUP($G15,Coords[],4,FALSE)-VLOOKUP(Q$5,Coords[],4,FALSE))^2)))</f>
        <v>1000</v>
      </c>
      <c r="R15" s="10">
        <f>IF($G15=R$5,1000,IF(R$4=0,1000,SQRT((VLOOKUP($G15,Coords[],3,FALSE)-VLOOKUP(R$5,Coords[],3,FALSE))^2+(VLOOKUP($G15,Coords[],4,FALSE)-VLOOKUP(R$5,Coords[],4,FALSE))^2)))</f>
        <v>1000</v>
      </c>
      <c r="S15" s="10">
        <f>IF($G15=S$5,1000,IF(S$4=0,1000,SQRT((VLOOKUP($G15,Coords[],3,FALSE)-VLOOKUP(S$5,Coords[],3,FALSE))^2+(VLOOKUP($G15,Coords[],4,FALSE)-VLOOKUP(S$5,Coords[],4,FALSE))^2)))</f>
        <v>1000</v>
      </c>
      <c r="T15" s="10">
        <f>IF($G15=T$5,1000,IF(T$4=0,1000,SQRT((VLOOKUP($G15,Coords[],3,FALSE)-VLOOKUP(T$5,Coords[],3,FALSE))^2+(VLOOKUP($G15,Coords[],4,FALSE)-VLOOKUP(T$5,Coords[],4,FALSE))^2)))</f>
        <v>1000</v>
      </c>
      <c r="U15" s="10">
        <f>IF($G15=U$5,1000,IF(U$4=0,1000,SQRT((VLOOKUP($G15,Coords[],3,FALSE)-VLOOKUP(U$5,Coords[],3,FALSE))^2+(VLOOKUP($G15,Coords[],4,FALSE)-VLOOKUP(U$5,Coords[],4,FALSE))^2)))</f>
        <v>1000</v>
      </c>
      <c r="V15" s="10">
        <f>IF($G15=V$5,1000,IF(V$4=0,1000,SQRT((VLOOKUP($G15,Coords[],3,FALSE)-VLOOKUP(V$5,Coords[],3,FALSE))^2+(VLOOKUP($G15,Coords[],4,FALSE)-VLOOKUP(V$5,Coords[],4,FALSE))^2)))</f>
        <v>1000</v>
      </c>
      <c r="W15" s="10">
        <f>IF($G15=W$5,1000,IF(W$4=0,1000,SQRT((VLOOKUP($G15,Coords[],3,FALSE)-VLOOKUP(W$5,Coords[],3,FALSE))^2+(VLOOKUP($G15,Coords[],4,FALSE)-VLOOKUP(W$5,Coords[],4,FALSE))^2)))</f>
        <v>1000</v>
      </c>
      <c r="X15" s="10">
        <f>IF($G15=X$5,1000,IF(X$4=0,1000,SQRT((VLOOKUP($G15,Coords[],3,FALSE)-VLOOKUP(X$5,Coords[],3,FALSE))^2+(VLOOKUP($G15,Coords[],4,FALSE)-VLOOKUP(X$5,Coords[],4,FALSE))^2)))</f>
        <v>1000</v>
      </c>
      <c r="Y15" s="10">
        <f>IF($G15=Y$5,1000,IF(Y$4=0,1000,SQRT((VLOOKUP($G15,Coords[],3,FALSE)-VLOOKUP(Y$5,Coords[],3,FALSE))^2+(VLOOKUP($G15,Coords[],4,FALSE)-VLOOKUP(Y$5,Coords[],4,FALSE))^2)))</f>
        <v>1000</v>
      </c>
      <c r="Z15" s="10">
        <f>IF($G15=Z$5,1000,IF(Z$4=0,1000,SQRT((VLOOKUP($G15,Coords[],3,FALSE)-VLOOKUP(Z$5,Coords[],3,FALSE))^2+(VLOOKUP($G15,Coords[],4,FALSE)-VLOOKUP(Z$5,Coords[],4,FALSE))^2)))</f>
        <v>1000</v>
      </c>
      <c r="AA15" s="10">
        <f>IF($G15=AA$5,1000,IF(AA$4=0,1000,SQRT((VLOOKUP($G15,Coords[],3,FALSE)-VLOOKUP(AA$5,Coords[],3,FALSE))^2+(VLOOKUP($G15,Coords[],4,FALSE)-VLOOKUP(AA$5,Coords[],4,FALSE))^2)))</f>
        <v>37.483329627982627</v>
      </c>
      <c r="AB15" s="10">
        <f>IF($G15=AB$5,1000,IF(AB$4=0,1000,SQRT((VLOOKUP($G15,Coords[],3,FALSE)-VLOOKUP(AB$5,Coords[],3,FALSE))^2+(VLOOKUP($G15,Coords[],4,FALSE)-VLOOKUP(AB$5,Coords[],4,FALSE))^2)))</f>
        <v>1000</v>
      </c>
      <c r="AC15" s="10">
        <f>IF($G15=AC$5,1000,IF(AC$4=0,1000,SQRT((VLOOKUP($G15,Coords[],3,FALSE)-VLOOKUP(AC$5,Coords[],3,FALSE))^2+(VLOOKUP($G15,Coords[],4,FALSE)-VLOOKUP(AC$5,Coords[],4,FALSE))^2)))</f>
        <v>1000</v>
      </c>
      <c r="AD15" s="10">
        <f>IF($G15=AD$5,1000,IF(AD$4=0,1000,SQRT((VLOOKUP($G15,Coords[],3,FALSE)-VLOOKUP(AD$5,Coords[],3,FALSE))^2+(VLOOKUP($G15,Coords[],4,FALSE)-VLOOKUP(AD$5,Coords[],4,FALSE))^2)))</f>
        <v>1000</v>
      </c>
      <c r="AE15" s="10">
        <f>IF($G15=AE$5,1000,IF(AE$4=0,1000,SQRT((VLOOKUP($G15,Coords[],3,FALSE)-VLOOKUP(AE$5,Coords[],3,FALSE))^2+(VLOOKUP($G15,Coords[],4,FALSE)-VLOOKUP(AE$5,Coords[],4,FALSE))^2)))</f>
        <v>1000</v>
      </c>
      <c r="AF15" s="10">
        <f>IF($G15=AF$5,1000,IF(AF$4=0,1000,SQRT((VLOOKUP($G15,Coords[],3,FALSE)-VLOOKUP(AF$5,Coords[],3,FALSE))^2+(VLOOKUP($G15,Coords[],4,FALSE)-VLOOKUP(AF$5,Coords[],4,FALSE))^2)))</f>
        <v>1000</v>
      </c>
      <c r="AG15" s="10">
        <f>IF($G15=AG$5,1000,IF(AG$4=0,1000,SQRT((VLOOKUP($G15,Coords[],3,FALSE)-VLOOKUP(AG$5,Coords[],3,FALSE))^2+(VLOOKUP($G15,Coords[],4,FALSE)-VLOOKUP(AG$5,Coords[],4,FALSE))^2)))</f>
        <v>1000</v>
      </c>
      <c r="AH15" s="10">
        <f>IF($G15=AH$5,1000,IF(AH$4=0,1000,SQRT((VLOOKUP($G15,Coords[],3,FALSE)-VLOOKUP(AH$5,Coords[],3,FALSE))^2+(VLOOKUP($G15,Coords[],4,FALSE)-VLOOKUP(AH$5,Coords[],4,FALSE))^2)))</f>
        <v>1000</v>
      </c>
      <c r="AI15" s="10">
        <f>IF($G15=AI$5,1000,IF(AI$4=0,1000,SQRT((VLOOKUP($G15,Coords[],3,FALSE)-VLOOKUP(AI$5,Coords[],3,FALSE))^2+(VLOOKUP($G15,Coords[],4,FALSE)-VLOOKUP(AI$5,Coords[],4,FALSE))^2)))</f>
        <v>1000</v>
      </c>
      <c r="AJ15" s="10">
        <f>IF($G15=AJ$5,1000,IF(AJ$4=0,1000,SQRT((VLOOKUP($G15,Coords[],3,FALSE)-VLOOKUP(AJ$5,Coords[],3,FALSE))^2+(VLOOKUP($G15,Coords[],4,FALSE)-VLOOKUP(AJ$5,Coords[],4,FALSE))^2)))</f>
        <v>27.892651361962706</v>
      </c>
      <c r="AK15" s="10">
        <f>IF($G15=AK$5,1000,IF(AK$4=0,1000,SQRT((VLOOKUP($G15,Coords[],3,FALSE)-VLOOKUP(AK$5,Coords[],3,FALSE))^2+(VLOOKUP($G15,Coords[],4,FALSE)-VLOOKUP(AK$5,Coords[],4,FALSE))^2)))</f>
        <v>1000</v>
      </c>
      <c r="AL15" s="10">
        <f>IF($G15=AL$5,1000,IF(AL$4=0,1000,SQRT((VLOOKUP($G15,Coords[],3,FALSE)-VLOOKUP(AL$5,Coords[],3,FALSE))^2+(VLOOKUP($G15,Coords[],4,FALSE)-VLOOKUP(AL$5,Coords[],4,FALSE))^2)))</f>
        <v>1000</v>
      </c>
      <c r="AM15" s="10">
        <f>IF($G15=AM$5,1000,IF(AM$4=0,1000,SQRT((VLOOKUP($G15,Coords[],3,FALSE)-VLOOKUP(AM$5,Coords[],3,FALSE))^2+(VLOOKUP($G15,Coords[],4,FALSE)-VLOOKUP(AM$5,Coords[],4,FALSE))^2)))</f>
        <v>28.178005607210743</v>
      </c>
      <c r="AN15" s="10">
        <f>IF($G15=AN$5,1000,IF(AN$4=0,1000,SQRT((VLOOKUP($G15,Coords[],3,FALSE)-VLOOKUP(AN$5,Coords[],3,FALSE))^2+(VLOOKUP($G15,Coords[],4,FALSE)-VLOOKUP(AN$5,Coords[],4,FALSE))^2)))</f>
        <v>1000</v>
      </c>
      <c r="AO15" s="10">
        <f>IF($G15=AO$5,1000,IF(AO$4=0,1000,SQRT((VLOOKUP($G15,Coords[],3,FALSE)-VLOOKUP(AO$5,Coords[],3,FALSE))^2+(VLOOKUP($G15,Coords[],4,FALSE)-VLOOKUP(AO$5,Coords[],4,FALSE))^2)))</f>
        <v>1000</v>
      </c>
      <c r="AP15" s="10">
        <f>IF($G15=AP$5,1000,IF(AP$4=0,1000,SQRT((VLOOKUP($G15,Coords[],3,FALSE)-VLOOKUP(AP$5,Coords[],3,FALSE))^2+(VLOOKUP($G15,Coords[],4,FALSE)-VLOOKUP(AP$5,Coords[],4,FALSE))^2)))</f>
        <v>1000</v>
      </c>
      <c r="AQ15" s="10">
        <f>IF($G15=AQ$5,1000,IF(AQ$4=0,1000,SQRT((VLOOKUP($G15,Coords[],3,FALSE)-VLOOKUP(AQ$5,Coords[],3,FALSE))^2+(VLOOKUP($G15,Coords[],4,FALSE)-VLOOKUP(AQ$5,Coords[],4,FALSE))^2)))</f>
        <v>1000</v>
      </c>
      <c r="AR15" s="10">
        <f>IF($G15=AR$5,1000,IF(AR$4=0,1000,SQRT((VLOOKUP($G15,Coords[],3,FALSE)-VLOOKUP(AR$5,Coords[],3,FALSE))^2+(VLOOKUP($G15,Coords[],4,FALSE)-VLOOKUP(AR$5,Coords[],4,FALSE))^2)))</f>
        <v>1000</v>
      </c>
      <c r="AS15" s="10">
        <f>IF($G15=AS$5,1000,IF(AS$4=0,1000,SQRT((VLOOKUP($G15,Coords[],3,FALSE)-VLOOKUP(AS$5,Coords[],3,FALSE))^2+(VLOOKUP($G15,Coords[],4,FALSE)-VLOOKUP(AS$5,Coords[],4,FALSE))^2)))</f>
        <v>1000</v>
      </c>
      <c r="AT15" s="10">
        <f>IF($G15=AT$5,1000,IF(AT$4=0,1000,SQRT((VLOOKUP($G15,Coords[],3,FALSE)-VLOOKUP(AT$5,Coords[],3,FALSE))^2+(VLOOKUP($G15,Coords[],4,FALSE)-VLOOKUP(AT$5,Coords[],4,FALSE))^2)))</f>
        <v>1000</v>
      </c>
      <c r="AU15" s="10">
        <f>IF($G15=AU$5,1000,IF(AU$4=0,1000,SQRT((VLOOKUP($G15,Coords[],3,FALSE)-VLOOKUP(AU$5,Coords[],3,FALSE))^2+(VLOOKUP($G15,Coords[],4,FALSE)-VLOOKUP(AU$5,Coords[],4,FALSE))^2)))</f>
        <v>1000</v>
      </c>
      <c r="AV15" s="10">
        <f>IF($G15=AV$5,1000,IF(AV$4=0,1000,SQRT((VLOOKUP($G15,Coords[],3,FALSE)-VLOOKUP(AV$5,Coords[],3,FALSE))^2+(VLOOKUP($G15,Coords[],4,FALSE)-VLOOKUP(AV$5,Coords[],4,FALSE))^2)))</f>
        <v>1000</v>
      </c>
      <c r="AW15" s="10">
        <f>IF($G15=AW$5,1000,IF(AW$4=0,1000,SQRT((VLOOKUP($G15,Coords[],3,FALSE)-VLOOKUP(AW$5,Coords[],3,FALSE))^2+(VLOOKUP($G15,Coords[],4,FALSE)-VLOOKUP(AW$5,Coords[],4,FALSE))^2)))</f>
        <v>1000</v>
      </c>
      <c r="AX15" s="10">
        <f>IF($G15=AX$5,1000,IF(AX$4=0,1000,SQRT((VLOOKUP($G15,Coords[],3,FALSE)-VLOOKUP(AX$5,Coords[],3,FALSE))^2+(VLOOKUP($G15,Coords[],4,FALSE)-VLOOKUP(AX$5,Coords[],4,FALSE))^2)))</f>
        <v>1000</v>
      </c>
      <c r="AY15" s="10">
        <f>IF($G15=AY$5,1000,IF(AY$4=0,1000,SQRT((VLOOKUP($G15,Coords[],3,FALSE)-VLOOKUP(AY$5,Coords[],3,FALSE))^2+(VLOOKUP($G15,Coords[],4,FALSE)-VLOOKUP(AY$5,Coords[],4,FALSE))^2)))</f>
        <v>1000</v>
      </c>
      <c r="AZ15" s="10">
        <f>IF($G15=AZ$5,1000,IF(AZ$4=0,1000,SQRT((VLOOKUP($G15,Coords[],3,FALSE)-VLOOKUP(AZ$5,Coords[],3,FALSE))^2+(VLOOKUP($G15,Coords[],4,FALSE)-VLOOKUP(AZ$5,Coords[],4,FALSE))^2)))</f>
        <v>1000</v>
      </c>
      <c r="BA15" s="10">
        <f>IF($G15=BA$5,1000,IF(BA$4=0,1000,SQRT((VLOOKUP($G15,Coords[],3,FALSE)-VLOOKUP(BA$5,Coords[],3,FALSE))^2+(VLOOKUP($G15,Coords[],4,FALSE)-VLOOKUP(BA$5,Coords[],4,FALSE))^2)))</f>
        <v>1000</v>
      </c>
      <c r="BB15" s="10">
        <f>IF($G15=BB$5,1000,IF(BB$4=0,1000,SQRT((VLOOKUP($G15,Coords[],3,FALSE)-VLOOKUP(BB$5,Coords[],3,FALSE))^2+(VLOOKUP($G15,Coords[],4,FALSE)-VLOOKUP(BB$5,Coords[],4,FALSE))^2)))</f>
        <v>1000</v>
      </c>
      <c r="BC15" s="10">
        <f>IF($G15=BC$5,1000,IF(BC$4=0,1000,SQRT((VLOOKUP($G15,Coords[],3,FALSE)-VLOOKUP(BC$5,Coords[],3,FALSE))^2+(VLOOKUP($G15,Coords[],4,FALSE)-VLOOKUP(BC$5,Coords[],4,FALSE))^2)))</f>
        <v>1000</v>
      </c>
      <c r="BD15" s="10">
        <f>IF($G15=BD$5,1000,IF(BD$4=0,1000,SQRT((VLOOKUP($G15,Coords[],3,FALSE)-VLOOKUP(BD$5,Coords[],3,FALSE))^2+(VLOOKUP($G15,Coords[],4,FALSE)-VLOOKUP(BD$5,Coords[],4,FALSE))^2)))</f>
        <v>1000</v>
      </c>
      <c r="BE15" s="10">
        <f>IF($G15=BE$5,1000,IF(BE$4=0,1000,SQRT((VLOOKUP($G15,Coords[],3,FALSE)-VLOOKUP(BE$5,Coords[],3,FALSE))^2+(VLOOKUP($G15,Coords[],4,FALSE)-VLOOKUP(BE$5,Coords[],4,FALSE))^2)))</f>
        <v>1000</v>
      </c>
      <c r="BF15" s="10">
        <f>IF($G15=BF$5,1000,IF(BF$4=0,1000,SQRT((VLOOKUP($G15,Coords[],3,FALSE)-VLOOKUP(BF$5,Coords[],3,FALSE))^2+(VLOOKUP($G15,Coords[],4,FALSE)-VLOOKUP(BF$5,Coords[],4,FALSE))^2)))</f>
        <v>1000</v>
      </c>
      <c r="BG15" s="4">
        <v>10</v>
      </c>
      <c r="BI15" s="5">
        <f>IF(E15=1,0,VLOOKUP($G15,$G$6:$BF$57,HLOOKUP(MIN(H15:BF15),$H15:$BF$57,((COUNT($G$6:$G$56)+2)-$G15),FALSE),FALSE)*B15)</f>
        <v>418.3897704294406</v>
      </c>
      <c r="BJ15" s="9">
        <f>VLOOKUP($G15,$G$6:$BF$57,HLOOKUP(MIN(H15:BF15),$H15:$BF$57,((COUNT($G$6:$G$56)+2)-$G15),FALSE),FALSE)</f>
        <v>27.892651361962706</v>
      </c>
      <c r="BK15" s="7">
        <f>HLOOKUP(MIN(H15:BF15),$H15:$BF$57,((COUNT($G$6:$G$56)+2)-$G15),FALSE)</f>
        <v>30</v>
      </c>
      <c r="BL15">
        <f>BJ15*Coords[[#This Row],[Demand]]</f>
        <v>418.3897704294406</v>
      </c>
      <c r="BN15">
        <v>10</v>
      </c>
      <c r="BO15">
        <v>8358.2753268247379</v>
      </c>
      <c r="BP15">
        <v>9078.9475930390145</v>
      </c>
    </row>
    <row r="16" spans="1:68" x14ac:dyDescent="0.25">
      <c r="A16" s="8">
        <v>11</v>
      </c>
      <c r="B16" s="3">
        <v>7</v>
      </c>
      <c r="C16" s="3">
        <v>42</v>
      </c>
      <c r="D16" s="3">
        <v>41</v>
      </c>
      <c r="E16">
        <v>0</v>
      </c>
      <c r="G16" s="4">
        <v>11</v>
      </c>
      <c r="H16" s="10">
        <f>IF($G16=H$5,1000,IF(H$4=0,1000,SQRT((VLOOKUP($G16,Coords[],3,FALSE)-VLOOKUP(H$5,Coords[],3,FALSE))^2+(VLOOKUP($G16,Coords[],4,FALSE)-VLOOKUP(H$5,Coords[],4,FALSE))^2)))</f>
        <v>1000</v>
      </c>
      <c r="I16" s="10">
        <f>IF($G16=I$5,1000,IF(I$4=0,1000,SQRT((VLOOKUP($G16,Coords[],3,FALSE)-VLOOKUP(I$5,Coords[],3,FALSE))^2+(VLOOKUP($G16,Coords[],4,FALSE)-VLOOKUP(I$5,Coords[],4,FALSE))^2)))</f>
        <v>1000</v>
      </c>
      <c r="J16" s="10">
        <f>IF($G16=J$5,1000,IF(J$4=0,1000,SQRT((VLOOKUP($G16,Coords[],3,FALSE)-VLOOKUP(J$5,Coords[],3,FALSE))^2+(VLOOKUP($G16,Coords[],4,FALSE)-VLOOKUP(J$5,Coords[],4,FALSE))^2)))</f>
        <v>1000</v>
      </c>
      <c r="K16" s="10">
        <f>IF($G16=K$5,1000,IF(K$4=0,1000,SQRT((VLOOKUP($G16,Coords[],3,FALSE)-VLOOKUP(K$5,Coords[],3,FALSE))^2+(VLOOKUP($G16,Coords[],4,FALSE)-VLOOKUP(K$5,Coords[],4,FALSE))^2)))</f>
        <v>1000</v>
      </c>
      <c r="L16" s="10">
        <f>IF($G16=L$5,1000,IF(L$4=0,1000,SQRT((VLOOKUP($G16,Coords[],3,FALSE)-VLOOKUP(L$5,Coords[],3,FALSE))^2+(VLOOKUP($G16,Coords[],4,FALSE)-VLOOKUP(L$5,Coords[],4,FALSE))^2)))</f>
        <v>1000</v>
      </c>
      <c r="M16" s="10">
        <f>IF($G16=M$5,1000,IF(M$4=0,1000,SQRT((VLOOKUP($G16,Coords[],3,FALSE)-VLOOKUP(M$5,Coords[],3,FALSE))^2+(VLOOKUP($G16,Coords[],4,FALSE)-VLOOKUP(M$5,Coords[],4,FALSE))^2)))</f>
        <v>1000</v>
      </c>
      <c r="N16" s="10">
        <f>IF($G16=N$5,1000,IF(N$4=0,1000,SQRT((VLOOKUP($G16,Coords[],3,FALSE)-VLOOKUP(N$5,Coords[],3,FALSE))^2+(VLOOKUP($G16,Coords[],4,FALSE)-VLOOKUP(N$5,Coords[],4,FALSE))^2)))</f>
        <v>1000</v>
      </c>
      <c r="O16" s="10">
        <f>IF($G16=O$5,1000,IF(O$4=0,1000,SQRT((VLOOKUP($G16,Coords[],3,FALSE)-VLOOKUP(O$5,Coords[],3,FALSE))^2+(VLOOKUP($G16,Coords[],4,FALSE)-VLOOKUP(O$5,Coords[],4,FALSE))^2)))</f>
        <v>23.706539182259394</v>
      </c>
      <c r="P16" s="10">
        <f>IF($G16=P$5,1000,IF(P$4=0,1000,SQRT((VLOOKUP($G16,Coords[],3,FALSE)-VLOOKUP(P$5,Coords[],3,FALSE))^2+(VLOOKUP($G16,Coords[],4,FALSE)-VLOOKUP(P$5,Coords[],4,FALSE))^2)))</f>
        <v>1000</v>
      </c>
      <c r="Q16" s="10">
        <f>IF($G16=Q$5,1000,IF(Q$4=0,1000,SQRT((VLOOKUP($G16,Coords[],3,FALSE)-VLOOKUP(Q$5,Coords[],3,FALSE))^2+(VLOOKUP($G16,Coords[],4,FALSE)-VLOOKUP(Q$5,Coords[],4,FALSE))^2)))</f>
        <v>1000</v>
      </c>
      <c r="R16" s="10">
        <f>IF($G16=R$5,1000,IF(R$4=0,1000,SQRT((VLOOKUP($G16,Coords[],3,FALSE)-VLOOKUP(R$5,Coords[],3,FALSE))^2+(VLOOKUP($G16,Coords[],4,FALSE)-VLOOKUP(R$5,Coords[],4,FALSE))^2)))</f>
        <v>1000</v>
      </c>
      <c r="S16" s="10">
        <f>IF($G16=S$5,1000,IF(S$4=0,1000,SQRT((VLOOKUP($G16,Coords[],3,FALSE)-VLOOKUP(S$5,Coords[],3,FALSE))^2+(VLOOKUP($G16,Coords[],4,FALSE)-VLOOKUP(S$5,Coords[],4,FALSE))^2)))</f>
        <v>1000</v>
      </c>
      <c r="T16" s="10">
        <f>IF($G16=T$5,1000,IF(T$4=0,1000,SQRT((VLOOKUP($G16,Coords[],3,FALSE)-VLOOKUP(T$5,Coords[],3,FALSE))^2+(VLOOKUP($G16,Coords[],4,FALSE)-VLOOKUP(T$5,Coords[],4,FALSE))^2)))</f>
        <v>1000</v>
      </c>
      <c r="U16" s="10">
        <f>IF($G16=U$5,1000,IF(U$4=0,1000,SQRT((VLOOKUP($G16,Coords[],3,FALSE)-VLOOKUP(U$5,Coords[],3,FALSE))^2+(VLOOKUP($G16,Coords[],4,FALSE)-VLOOKUP(U$5,Coords[],4,FALSE))^2)))</f>
        <v>1000</v>
      </c>
      <c r="V16" s="10">
        <f>IF($G16=V$5,1000,IF(V$4=0,1000,SQRT((VLOOKUP($G16,Coords[],3,FALSE)-VLOOKUP(V$5,Coords[],3,FALSE))^2+(VLOOKUP($G16,Coords[],4,FALSE)-VLOOKUP(V$5,Coords[],4,FALSE))^2)))</f>
        <v>1000</v>
      </c>
      <c r="W16" s="10">
        <f>IF($G16=W$5,1000,IF(W$4=0,1000,SQRT((VLOOKUP($G16,Coords[],3,FALSE)-VLOOKUP(W$5,Coords[],3,FALSE))^2+(VLOOKUP($G16,Coords[],4,FALSE)-VLOOKUP(W$5,Coords[],4,FALSE))^2)))</f>
        <v>1000</v>
      </c>
      <c r="X16" s="10">
        <f>IF($G16=X$5,1000,IF(X$4=0,1000,SQRT((VLOOKUP($G16,Coords[],3,FALSE)-VLOOKUP(X$5,Coords[],3,FALSE))^2+(VLOOKUP($G16,Coords[],4,FALSE)-VLOOKUP(X$5,Coords[],4,FALSE))^2)))</f>
        <v>1000</v>
      </c>
      <c r="Y16" s="10">
        <f>IF($G16=Y$5,1000,IF(Y$4=0,1000,SQRT((VLOOKUP($G16,Coords[],3,FALSE)-VLOOKUP(Y$5,Coords[],3,FALSE))^2+(VLOOKUP($G16,Coords[],4,FALSE)-VLOOKUP(Y$5,Coords[],4,FALSE))^2)))</f>
        <v>1000</v>
      </c>
      <c r="Z16" s="10">
        <f>IF($G16=Z$5,1000,IF(Z$4=0,1000,SQRT((VLOOKUP($G16,Coords[],3,FALSE)-VLOOKUP(Z$5,Coords[],3,FALSE))^2+(VLOOKUP($G16,Coords[],4,FALSE)-VLOOKUP(Z$5,Coords[],4,FALSE))^2)))</f>
        <v>1000</v>
      </c>
      <c r="AA16" s="10">
        <f>IF($G16=AA$5,1000,IF(AA$4=0,1000,SQRT((VLOOKUP($G16,Coords[],3,FALSE)-VLOOKUP(AA$5,Coords[],3,FALSE))^2+(VLOOKUP($G16,Coords[],4,FALSE)-VLOOKUP(AA$5,Coords[],4,FALSE))^2)))</f>
        <v>22.671568097509269</v>
      </c>
      <c r="AB16" s="10">
        <f>IF($G16=AB$5,1000,IF(AB$4=0,1000,SQRT((VLOOKUP($G16,Coords[],3,FALSE)-VLOOKUP(AB$5,Coords[],3,FALSE))^2+(VLOOKUP($G16,Coords[],4,FALSE)-VLOOKUP(AB$5,Coords[],4,FALSE))^2)))</f>
        <v>1000</v>
      </c>
      <c r="AC16" s="10">
        <f>IF($G16=AC$5,1000,IF(AC$4=0,1000,SQRT((VLOOKUP($G16,Coords[],3,FALSE)-VLOOKUP(AC$5,Coords[],3,FALSE))^2+(VLOOKUP($G16,Coords[],4,FALSE)-VLOOKUP(AC$5,Coords[],4,FALSE))^2)))</f>
        <v>1000</v>
      </c>
      <c r="AD16" s="10">
        <f>IF($G16=AD$5,1000,IF(AD$4=0,1000,SQRT((VLOOKUP($G16,Coords[],3,FALSE)-VLOOKUP(AD$5,Coords[],3,FALSE))^2+(VLOOKUP($G16,Coords[],4,FALSE)-VLOOKUP(AD$5,Coords[],4,FALSE))^2)))</f>
        <v>1000</v>
      </c>
      <c r="AE16" s="10">
        <f>IF($G16=AE$5,1000,IF(AE$4=0,1000,SQRT((VLOOKUP($G16,Coords[],3,FALSE)-VLOOKUP(AE$5,Coords[],3,FALSE))^2+(VLOOKUP($G16,Coords[],4,FALSE)-VLOOKUP(AE$5,Coords[],4,FALSE))^2)))</f>
        <v>1000</v>
      </c>
      <c r="AF16" s="10">
        <f>IF($G16=AF$5,1000,IF(AF$4=0,1000,SQRT((VLOOKUP($G16,Coords[],3,FALSE)-VLOOKUP(AF$5,Coords[],3,FALSE))^2+(VLOOKUP($G16,Coords[],4,FALSE)-VLOOKUP(AF$5,Coords[],4,FALSE))^2)))</f>
        <v>1000</v>
      </c>
      <c r="AG16" s="10">
        <f>IF($G16=AG$5,1000,IF(AG$4=0,1000,SQRT((VLOOKUP($G16,Coords[],3,FALSE)-VLOOKUP(AG$5,Coords[],3,FALSE))^2+(VLOOKUP($G16,Coords[],4,FALSE)-VLOOKUP(AG$5,Coords[],4,FALSE))^2)))</f>
        <v>1000</v>
      </c>
      <c r="AH16" s="10">
        <f>IF($G16=AH$5,1000,IF(AH$4=0,1000,SQRT((VLOOKUP($G16,Coords[],3,FALSE)-VLOOKUP(AH$5,Coords[],3,FALSE))^2+(VLOOKUP($G16,Coords[],4,FALSE)-VLOOKUP(AH$5,Coords[],4,FALSE))^2)))</f>
        <v>1000</v>
      </c>
      <c r="AI16" s="10">
        <f>IF($G16=AI$5,1000,IF(AI$4=0,1000,SQRT((VLOOKUP($G16,Coords[],3,FALSE)-VLOOKUP(AI$5,Coords[],3,FALSE))^2+(VLOOKUP($G16,Coords[],4,FALSE)-VLOOKUP(AI$5,Coords[],4,FALSE))^2)))</f>
        <v>1000</v>
      </c>
      <c r="AJ16" s="10">
        <f>IF($G16=AJ$5,1000,IF(AJ$4=0,1000,SQRT((VLOOKUP($G16,Coords[],3,FALSE)-VLOOKUP(AJ$5,Coords[],3,FALSE))^2+(VLOOKUP($G16,Coords[],4,FALSE)-VLOOKUP(AJ$5,Coords[],4,FALSE))^2)))</f>
        <v>17.464249196572979</v>
      </c>
      <c r="AK16" s="10">
        <f>IF($G16=AK$5,1000,IF(AK$4=0,1000,SQRT((VLOOKUP($G16,Coords[],3,FALSE)-VLOOKUP(AK$5,Coords[],3,FALSE))^2+(VLOOKUP($G16,Coords[],4,FALSE)-VLOOKUP(AK$5,Coords[],4,FALSE))^2)))</f>
        <v>1000</v>
      </c>
      <c r="AL16" s="10">
        <f>IF($G16=AL$5,1000,IF(AL$4=0,1000,SQRT((VLOOKUP($G16,Coords[],3,FALSE)-VLOOKUP(AL$5,Coords[],3,FALSE))^2+(VLOOKUP($G16,Coords[],4,FALSE)-VLOOKUP(AL$5,Coords[],4,FALSE))^2)))</f>
        <v>1000</v>
      </c>
      <c r="AM16" s="10">
        <f>IF($G16=AM$5,1000,IF(AM$4=0,1000,SQRT((VLOOKUP($G16,Coords[],3,FALSE)-VLOOKUP(AM$5,Coords[],3,FALSE))^2+(VLOOKUP($G16,Coords[],4,FALSE)-VLOOKUP(AM$5,Coords[],4,FALSE))^2)))</f>
        <v>6.4031242374328485</v>
      </c>
      <c r="AN16" s="10">
        <f>IF($G16=AN$5,1000,IF(AN$4=0,1000,SQRT((VLOOKUP($G16,Coords[],3,FALSE)-VLOOKUP(AN$5,Coords[],3,FALSE))^2+(VLOOKUP($G16,Coords[],4,FALSE)-VLOOKUP(AN$5,Coords[],4,FALSE))^2)))</f>
        <v>1000</v>
      </c>
      <c r="AO16" s="10">
        <f>IF($G16=AO$5,1000,IF(AO$4=0,1000,SQRT((VLOOKUP($G16,Coords[],3,FALSE)-VLOOKUP(AO$5,Coords[],3,FALSE))^2+(VLOOKUP($G16,Coords[],4,FALSE)-VLOOKUP(AO$5,Coords[],4,FALSE))^2)))</f>
        <v>1000</v>
      </c>
      <c r="AP16" s="10">
        <f>IF($G16=AP$5,1000,IF(AP$4=0,1000,SQRT((VLOOKUP($G16,Coords[],3,FALSE)-VLOOKUP(AP$5,Coords[],3,FALSE))^2+(VLOOKUP($G16,Coords[],4,FALSE)-VLOOKUP(AP$5,Coords[],4,FALSE))^2)))</f>
        <v>1000</v>
      </c>
      <c r="AQ16" s="10">
        <f>IF($G16=AQ$5,1000,IF(AQ$4=0,1000,SQRT((VLOOKUP($G16,Coords[],3,FALSE)-VLOOKUP(AQ$5,Coords[],3,FALSE))^2+(VLOOKUP($G16,Coords[],4,FALSE)-VLOOKUP(AQ$5,Coords[],4,FALSE))^2)))</f>
        <v>1000</v>
      </c>
      <c r="AR16" s="10">
        <f>IF($G16=AR$5,1000,IF(AR$4=0,1000,SQRT((VLOOKUP($G16,Coords[],3,FALSE)-VLOOKUP(AR$5,Coords[],3,FALSE))^2+(VLOOKUP($G16,Coords[],4,FALSE)-VLOOKUP(AR$5,Coords[],4,FALSE))^2)))</f>
        <v>1000</v>
      </c>
      <c r="AS16" s="10">
        <f>IF($G16=AS$5,1000,IF(AS$4=0,1000,SQRT((VLOOKUP($G16,Coords[],3,FALSE)-VLOOKUP(AS$5,Coords[],3,FALSE))^2+(VLOOKUP($G16,Coords[],4,FALSE)-VLOOKUP(AS$5,Coords[],4,FALSE))^2)))</f>
        <v>1000</v>
      </c>
      <c r="AT16" s="10">
        <f>IF($G16=AT$5,1000,IF(AT$4=0,1000,SQRT((VLOOKUP($G16,Coords[],3,FALSE)-VLOOKUP(AT$5,Coords[],3,FALSE))^2+(VLOOKUP($G16,Coords[],4,FALSE)-VLOOKUP(AT$5,Coords[],4,FALSE))^2)))</f>
        <v>1000</v>
      </c>
      <c r="AU16" s="10">
        <f>IF($G16=AU$5,1000,IF(AU$4=0,1000,SQRT((VLOOKUP($G16,Coords[],3,FALSE)-VLOOKUP(AU$5,Coords[],3,FALSE))^2+(VLOOKUP($G16,Coords[],4,FALSE)-VLOOKUP(AU$5,Coords[],4,FALSE))^2)))</f>
        <v>1000</v>
      </c>
      <c r="AV16" s="10">
        <f>IF($G16=AV$5,1000,IF(AV$4=0,1000,SQRT((VLOOKUP($G16,Coords[],3,FALSE)-VLOOKUP(AV$5,Coords[],3,FALSE))^2+(VLOOKUP($G16,Coords[],4,FALSE)-VLOOKUP(AV$5,Coords[],4,FALSE))^2)))</f>
        <v>1000</v>
      </c>
      <c r="AW16" s="10">
        <f>IF($G16=AW$5,1000,IF(AW$4=0,1000,SQRT((VLOOKUP($G16,Coords[],3,FALSE)-VLOOKUP(AW$5,Coords[],3,FALSE))^2+(VLOOKUP($G16,Coords[],4,FALSE)-VLOOKUP(AW$5,Coords[],4,FALSE))^2)))</f>
        <v>1000</v>
      </c>
      <c r="AX16" s="10">
        <f>IF($G16=AX$5,1000,IF(AX$4=0,1000,SQRT((VLOOKUP($G16,Coords[],3,FALSE)-VLOOKUP(AX$5,Coords[],3,FALSE))^2+(VLOOKUP($G16,Coords[],4,FALSE)-VLOOKUP(AX$5,Coords[],4,FALSE))^2)))</f>
        <v>1000</v>
      </c>
      <c r="AY16" s="10">
        <f>IF($G16=AY$5,1000,IF(AY$4=0,1000,SQRT((VLOOKUP($G16,Coords[],3,FALSE)-VLOOKUP(AY$5,Coords[],3,FALSE))^2+(VLOOKUP($G16,Coords[],4,FALSE)-VLOOKUP(AY$5,Coords[],4,FALSE))^2)))</f>
        <v>1000</v>
      </c>
      <c r="AZ16" s="10">
        <f>IF($G16=AZ$5,1000,IF(AZ$4=0,1000,SQRT((VLOOKUP($G16,Coords[],3,FALSE)-VLOOKUP(AZ$5,Coords[],3,FALSE))^2+(VLOOKUP($G16,Coords[],4,FALSE)-VLOOKUP(AZ$5,Coords[],4,FALSE))^2)))</f>
        <v>1000</v>
      </c>
      <c r="BA16" s="10">
        <f>IF($G16=BA$5,1000,IF(BA$4=0,1000,SQRT((VLOOKUP($G16,Coords[],3,FALSE)-VLOOKUP(BA$5,Coords[],3,FALSE))^2+(VLOOKUP($G16,Coords[],4,FALSE)-VLOOKUP(BA$5,Coords[],4,FALSE))^2)))</f>
        <v>1000</v>
      </c>
      <c r="BB16" s="10">
        <f>IF($G16=BB$5,1000,IF(BB$4=0,1000,SQRT((VLOOKUP($G16,Coords[],3,FALSE)-VLOOKUP(BB$5,Coords[],3,FALSE))^2+(VLOOKUP($G16,Coords[],4,FALSE)-VLOOKUP(BB$5,Coords[],4,FALSE))^2)))</f>
        <v>1000</v>
      </c>
      <c r="BC16" s="10">
        <f>IF($G16=BC$5,1000,IF(BC$4=0,1000,SQRT((VLOOKUP($G16,Coords[],3,FALSE)-VLOOKUP(BC$5,Coords[],3,FALSE))^2+(VLOOKUP($G16,Coords[],4,FALSE)-VLOOKUP(BC$5,Coords[],4,FALSE))^2)))</f>
        <v>1000</v>
      </c>
      <c r="BD16" s="10">
        <f>IF($G16=BD$5,1000,IF(BD$4=0,1000,SQRT((VLOOKUP($G16,Coords[],3,FALSE)-VLOOKUP(BD$5,Coords[],3,FALSE))^2+(VLOOKUP($G16,Coords[],4,FALSE)-VLOOKUP(BD$5,Coords[],4,FALSE))^2)))</f>
        <v>1000</v>
      </c>
      <c r="BE16" s="10">
        <f>IF($G16=BE$5,1000,IF(BE$4=0,1000,SQRT((VLOOKUP($G16,Coords[],3,FALSE)-VLOOKUP(BE$5,Coords[],3,FALSE))^2+(VLOOKUP($G16,Coords[],4,FALSE)-VLOOKUP(BE$5,Coords[],4,FALSE))^2)))</f>
        <v>1000</v>
      </c>
      <c r="BF16" s="10">
        <f>IF($G16=BF$5,1000,IF(BF$4=0,1000,SQRT((VLOOKUP($G16,Coords[],3,FALSE)-VLOOKUP(BF$5,Coords[],3,FALSE))^2+(VLOOKUP($G16,Coords[],4,FALSE)-VLOOKUP(BF$5,Coords[],4,FALSE))^2)))</f>
        <v>1000</v>
      </c>
      <c r="BG16" s="4">
        <v>11</v>
      </c>
      <c r="BI16" s="5">
        <f>IF(E16=1,0,VLOOKUP($G16,$G$6:$BF$57,HLOOKUP(MIN(H16:BF16),$H16:$BF$57,((COUNT($G$6:$G$56)+2)-$G16),FALSE),FALSE)*B16)</f>
        <v>44.82186966202994</v>
      </c>
      <c r="BJ16" s="9">
        <f>VLOOKUP($G16,$G$6:$BF$57,HLOOKUP(MIN(H16:BF16),$H16:$BF$57,((COUNT($G$6:$G$56)+2)-$G16),FALSE),FALSE)</f>
        <v>6.4031242374328485</v>
      </c>
      <c r="BK16" s="7">
        <f>HLOOKUP(MIN(H16:BF16),$H16:$BF$57,((COUNT($G$6:$G$56)+2)-$G16),FALSE)</f>
        <v>33</v>
      </c>
      <c r="BL16">
        <f>BJ16*Coords[[#This Row],[Demand]]</f>
        <v>44.82186966202994</v>
      </c>
      <c r="BN16">
        <v>11</v>
      </c>
      <c r="BO16">
        <v>8344.0799102754736</v>
      </c>
      <c r="BP16">
        <v>11530.96593708502</v>
      </c>
    </row>
    <row r="17" spans="1:68" x14ac:dyDescent="0.25">
      <c r="A17" s="8">
        <v>12</v>
      </c>
      <c r="B17" s="3">
        <v>20</v>
      </c>
      <c r="C17" s="3">
        <v>31</v>
      </c>
      <c r="D17" s="3">
        <v>32</v>
      </c>
      <c r="E17">
        <v>0</v>
      </c>
      <c r="G17" s="4">
        <v>12</v>
      </c>
      <c r="H17" s="10">
        <f>IF($G17=H$5,1000,IF(H$4=0,1000,SQRT((VLOOKUP($G17,Coords[],3,FALSE)-VLOOKUP(H$5,Coords[],3,FALSE))^2+(VLOOKUP($G17,Coords[],4,FALSE)-VLOOKUP(H$5,Coords[],4,FALSE))^2)))</f>
        <v>1000</v>
      </c>
      <c r="I17" s="10">
        <f>IF($G17=I$5,1000,IF(I$4=0,1000,SQRT((VLOOKUP($G17,Coords[],3,FALSE)-VLOOKUP(I$5,Coords[],3,FALSE))^2+(VLOOKUP($G17,Coords[],4,FALSE)-VLOOKUP(I$5,Coords[],4,FALSE))^2)))</f>
        <v>1000</v>
      </c>
      <c r="J17" s="10">
        <f>IF($G17=J$5,1000,IF(J$4=0,1000,SQRT((VLOOKUP($G17,Coords[],3,FALSE)-VLOOKUP(J$5,Coords[],3,FALSE))^2+(VLOOKUP($G17,Coords[],4,FALSE)-VLOOKUP(J$5,Coords[],4,FALSE))^2)))</f>
        <v>1000</v>
      </c>
      <c r="K17" s="10">
        <f>IF($G17=K$5,1000,IF(K$4=0,1000,SQRT((VLOOKUP($G17,Coords[],3,FALSE)-VLOOKUP(K$5,Coords[],3,FALSE))^2+(VLOOKUP($G17,Coords[],4,FALSE)-VLOOKUP(K$5,Coords[],4,FALSE))^2)))</f>
        <v>1000</v>
      </c>
      <c r="L17" s="10">
        <f>IF($G17=L$5,1000,IF(L$4=0,1000,SQRT((VLOOKUP($G17,Coords[],3,FALSE)-VLOOKUP(L$5,Coords[],3,FALSE))^2+(VLOOKUP($G17,Coords[],4,FALSE)-VLOOKUP(L$5,Coords[],4,FALSE))^2)))</f>
        <v>1000</v>
      </c>
      <c r="M17" s="10">
        <f>IF($G17=M$5,1000,IF(M$4=0,1000,SQRT((VLOOKUP($G17,Coords[],3,FALSE)-VLOOKUP(M$5,Coords[],3,FALSE))^2+(VLOOKUP($G17,Coords[],4,FALSE)-VLOOKUP(M$5,Coords[],4,FALSE))^2)))</f>
        <v>1000</v>
      </c>
      <c r="N17" s="10">
        <f>IF($G17=N$5,1000,IF(N$4=0,1000,SQRT((VLOOKUP($G17,Coords[],3,FALSE)-VLOOKUP(N$5,Coords[],3,FALSE))^2+(VLOOKUP($G17,Coords[],4,FALSE)-VLOOKUP(N$5,Coords[],4,FALSE))^2)))</f>
        <v>1000</v>
      </c>
      <c r="O17" s="10">
        <f>IF($G17=O$5,1000,IF(O$4=0,1000,SQRT((VLOOKUP($G17,Coords[],3,FALSE)-VLOOKUP(O$5,Coords[],3,FALSE))^2+(VLOOKUP($G17,Coords[],4,FALSE)-VLOOKUP(O$5,Coords[],4,FALSE))^2)))</f>
        <v>30</v>
      </c>
      <c r="P17" s="10">
        <f>IF($G17=P$5,1000,IF(P$4=0,1000,SQRT((VLOOKUP($G17,Coords[],3,FALSE)-VLOOKUP(P$5,Coords[],3,FALSE))^2+(VLOOKUP($G17,Coords[],4,FALSE)-VLOOKUP(P$5,Coords[],4,FALSE))^2)))</f>
        <v>1000</v>
      </c>
      <c r="Q17" s="10">
        <f>IF($G17=Q$5,1000,IF(Q$4=0,1000,SQRT((VLOOKUP($G17,Coords[],3,FALSE)-VLOOKUP(Q$5,Coords[],3,FALSE))^2+(VLOOKUP($G17,Coords[],4,FALSE)-VLOOKUP(Q$5,Coords[],4,FALSE))^2)))</f>
        <v>1000</v>
      </c>
      <c r="R17" s="10">
        <f>IF($G17=R$5,1000,IF(R$4=0,1000,SQRT((VLOOKUP($G17,Coords[],3,FALSE)-VLOOKUP(R$5,Coords[],3,FALSE))^2+(VLOOKUP($G17,Coords[],4,FALSE)-VLOOKUP(R$5,Coords[],4,FALSE))^2)))</f>
        <v>1000</v>
      </c>
      <c r="S17" s="10">
        <f>IF($G17=S$5,1000,IF(S$4=0,1000,SQRT((VLOOKUP($G17,Coords[],3,FALSE)-VLOOKUP(S$5,Coords[],3,FALSE))^2+(VLOOKUP($G17,Coords[],4,FALSE)-VLOOKUP(S$5,Coords[],4,FALSE))^2)))</f>
        <v>1000</v>
      </c>
      <c r="T17" s="10">
        <f>IF($G17=T$5,1000,IF(T$4=0,1000,SQRT((VLOOKUP($G17,Coords[],3,FALSE)-VLOOKUP(T$5,Coords[],3,FALSE))^2+(VLOOKUP($G17,Coords[],4,FALSE)-VLOOKUP(T$5,Coords[],4,FALSE))^2)))</f>
        <v>1000</v>
      </c>
      <c r="U17" s="10">
        <f>IF($G17=U$5,1000,IF(U$4=0,1000,SQRT((VLOOKUP($G17,Coords[],3,FALSE)-VLOOKUP(U$5,Coords[],3,FALSE))^2+(VLOOKUP($G17,Coords[],4,FALSE)-VLOOKUP(U$5,Coords[],4,FALSE))^2)))</f>
        <v>1000</v>
      </c>
      <c r="V17" s="10">
        <f>IF($G17=V$5,1000,IF(V$4=0,1000,SQRT((VLOOKUP($G17,Coords[],3,FALSE)-VLOOKUP(V$5,Coords[],3,FALSE))^2+(VLOOKUP($G17,Coords[],4,FALSE)-VLOOKUP(V$5,Coords[],4,FALSE))^2)))</f>
        <v>1000</v>
      </c>
      <c r="W17" s="10">
        <f>IF($G17=W$5,1000,IF(W$4=0,1000,SQRT((VLOOKUP($G17,Coords[],3,FALSE)-VLOOKUP(W$5,Coords[],3,FALSE))^2+(VLOOKUP($G17,Coords[],4,FALSE)-VLOOKUP(W$5,Coords[],4,FALSE))^2)))</f>
        <v>1000</v>
      </c>
      <c r="X17" s="10">
        <f>IF($G17=X$5,1000,IF(X$4=0,1000,SQRT((VLOOKUP($G17,Coords[],3,FALSE)-VLOOKUP(X$5,Coords[],3,FALSE))^2+(VLOOKUP($G17,Coords[],4,FALSE)-VLOOKUP(X$5,Coords[],4,FALSE))^2)))</f>
        <v>1000</v>
      </c>
      <c r="Y17" s="10">
        <f>IF($G17=Y$5,1000,IF(Y$4=0,1000,SQRT((VLOOKUP($G17,Coords[],3,FALSE)-VLOOKUP(Y$5,Coords[],3,FALSE))^2+(VLOOKUP($G17,Coords[],4,FALSE)-VLOOKUP(Y$5,Coords[],4,FALSE))^2)))</f>
        <v>1000</v>
      </c>
      <c r="Z17" s="10">
        <f>IF($G17=Z$5,1000,IF(Z$4=0,1000,SQRT((VLOOKUP($G17,Coords[],3,FALSE)-VLOOKUP(Z$5,Coords[],3,FALSE))^2+(VLOOKUP($G17,Coords[],4,FALSE)-VLOOKUP(Z$5,Coords[],4,FALSE))^2)))</f>
        <v>1000</v>
      </c>
      <c r="AA17" s="10">
        <f>IF($G17=AA$5,1000,IF(AA$4=0,1000,SQRT((VLOOKUP($G17,Coords[],3,FALSE)-VLOOKUP(AA$5,Coords[],3,FALSE))^2+(VLOOKUP($G17,Coords[],4,FALSE)-VLOOKUP(AA$5,Coords[],4,FALSE))^2)))</f>
        <v>36.76955262170047</v>
      </c>
      <c r="AB17" s="10">
        <f>IF($G17=AB$5,1000,IF(AB$4=0,1000,SQRT((VLOOKUP($G17,Coords[],3,FALSE)-VLOOKUP(AB$5,Coords[],3,FALSE))^2+(VLOOKUP($G17,Coords[],4,FALSE)-VLOOKUP(AB$5,Coords[],4,FALSE))^2)))</f>
        <v>1000</v>
      </c>
      <c r="AC17" s="10">
        <f>IF($G17=AC$5,1000,IF(AC$4=0,1000,SQRT((VLOOKUP($G17,Coords[],3,FALSE)-VLOOKUP(AC$5,Coords[],3,FALSE))^2+(VLOOKUP($G17,Coords[],4,FALSE)-VLOOKUP(AC$5,Coords[],4,FALSE))^2)))</f>
        <v>1000</v>
      </c>
      <c r="AD17" s="10">
        <f>IF($G17=AD$5,1000,IF(AD$4=0,1000,SQRT((VLOOKUP($G17,Coords[],3,FALSE)-VLOOKUP(AD$5,Coords[],3,FALSE))^2+(VLOOKUP($G17,Coords[],4,FALSE)-VLOOKUP(AD$5,Coords[],4,FALSE))^2)))</f>
        <v>1000</v>
      </c>
      <c r="AE17" s="10">
        <f>IF($G17=AE$5,1000,IF(AE$4=0,1000,SQRT((VLOOKUP($G17,Coords[],3,FALSE)-VLOOKUP(AE$5,Coords[],3,FALSE))^2+(VLOOKUP($G17,Coords[],4,FALSE)-VLOOKUP(AE$5,Coords[],4,FALSE))^2)))</f>
        <v>1000</v>
      </c>
      <c r="AF17" s="10">
        <f>IF($G17=AF$5,1000,IF(AF$4=0,1000,SQRT((VLOOKUP($G17,Coords[],3,FALSE)-VLOOKUP(AF$5,Coords[],3,FALSE))^2+(VLOOKUP($G17,Coords[],4,FALSE)-VLOOKUP(AF$5,Coords[],4,FALSE))^2)))</f>
        <v>1000</v>
      </c>
      <c r="AG17" s="10">
        <f>IF($G17=AG$5,1000,IF(AG$4=0,1000,SQRT((VLOOKUP($G17,Coords[],3,FALSE)-VLOOKUP(AG$5,Coords[],3,FALSE))^2+(VLOOKUP($G17,Coords[],4,FALSE)-VLOOKUP(AG$5,Coords[],4,FALSE))^2)))</f>
        <v>1000</v>
      </c>
      <c r="AH17" s="10">
        <f>IF($G17=AH$5,1000,IF(AH$4=0,1000,SQRT((VLOOKUP($G17,Coords[],3,FALSE)-VLOOKUP(AH$5,Coords[],3,FALSE))^2+(VLOOKUP($G17,Coords[],4,FALSE)-VLOOKUP(AH$5,Coords[],4,FALSE))^2)))</f>
        <v>1000</v>
      </c>
      <c r="AI17" s="10">
        <f>IF($G17=AI$5,1000,IF(AI$4=0,1000,SQRT((VLOOKUP($G17,Coords[],3,FALSE)-VLOOKUP(AI$5,Coords[],3,FALSE))^2+(VLOOKUP($G17,Coords[],4,FALSE)-VLOOKUP(AI$5,Coords[],4,FALSE))^2)))</f>
        <v>1000</v>
      </c>
      <c r="AJ17" s="10">
        <f>IF($G17=AJ$5,1000,IF(AJ$4=0,1000,SQRT((VLOOKUP($G17,Coords[],3,FALSE)-VLOOKUP(AJ$5,Coords[],3,FALSE))^2+(VLOOKUP($G17,Coords[],4,FALSE)-VLOOKUP(AJ$5,Coords[],4,FALSE))^2)))</f>
        <v>31.384709652950431</v>
      </c>
      <c r="AK17" s="10">
        <f>IF($G17=AK$5,1000,IF(AK$4=0,1000,SQRT((VLOOKUP($G17,Coords[],3,FALSE)-VLOOKUP(AK$5,Coords[],3,FALSE))^2+(VLOOKUP($G17,Coords[],4,FALSE)-VLOOKUP(AK$5,Coords[],4,FALSE))^2)))</f>
        <v>1000</v>
      </c>
      <c r="AL17" s="10">
        <f>IF($G17=AL$5,1000,IF(AL$4=0,1000,SQRT((VLOOKUP($G17,Coords[],3,FALSE)-VLOOKUP(AL$5,Coords[],3,FALSE))^2+(VLOOKUP($G17,Coords[],4,FALSE)-VLOOKUP(AL$5,Coords[],4,FALSE))^2)))</f>
        <v>1000</v>
      </c>
      <c r="AM17" s="10">
        <f>IF($G17=AM$5,1000,IF(AM$4=0,1000,SQRT((VLOOKUP($G17,Coords[],3,FALSE)-VLOOKUP(AM$5,Coords[],3,FALSE))^2+(VLOOKUP($G17,Coords[],4,FALSE)-VLOOKUP(AM$5,Coords[],4,FALSE))^2)))</f>
        <v>15.652475842498529</v>
      </c>
      <c r="AN17" s="10">
        <f>IF($G17=AN$5,1000,IF(AN$4=0,1000,SQRT((VLOOKUP($G17,Coords[],3,FALSE)-VLOOKUP(AN$5,Coords[],3,FALSE))^2+(VLOOKUP($G17,Coords[],4,FALSE)-VLOOKUP(AN$5,Coords[],4,FALSE))^2)))</f>
        <v>1000</v>
      </c>
      <c r="AO17" s="10">
        <f>IF($G17=AO$5,1000,IF(AO$4=0,1000,SQRT((VLOOKUP($G17,Coords[],3,FALSE)-VLOOKUP(AO$5,Coords[],3,FALSE))^2+(VLOOKUP($G17,Coords[],4,FALSE)-VLOOKUP(AO$5,Coords[],4,FALSE))^2)))</f>
        <v>1000</v>
      </c>
      <c r="AP17" s="10">
        <f>IF($G17=AP$5,1000,IF(AP$4=0,1000,SQRT((VLOOKUP($G17,Coords[],3,FALSE)-VLOOKUP(AP$5,Coords[],3,FALSE))^2+(VLOOKUP($G17,Coords[],4,FALSE)-VLOOKUP(AP$5,Coords[],4,FALSE))^2)))</f>
        <v>1000</v>
      </c>
      <c r="AQ17" s="10">
        <f>IF($G17=AQ$5,1000,IF(AQ$4=0,1000,SQRT((VLOOKUP($G17,Coords[],3,FALSE)-VLOOKUP(AQ$5,Coords[],3,FALSE))^2+(VLOOKUP($G17,Coords[],4,FALSE)-VLOOKUP(AQ$5,Coords[],4,FALSE))^2)))</f>
        <v>1000</v>
      </c>
      <c r="AR17" s="10">
        <f>IF($G17=AR$5,1000,IF(AR$4=0,1000,SQRT((VLOOKUP($G17,Coords[],3,FALSE)-VLOOKUP(AR$5,Coords[],3,FALSE))^2+(VLOOKUP($G17,Coords[],4,FALSE)-VLOOKUP(AR$5,Coords[],4,FALSE))^2)))</f>
        <v>1000</v>
      </c>
      <c r="AS17" s="10">
        <f>IF($G17=AS$5,1000,IF(AS$4=0,1000,SQRT((VLOOKUP($G17,Coords[],3,FALSE)-VLOOKUP(AS$5,Coords[],3,FALSE))^2+(VLOOKUP($G17,Coords[],4,FALSE)-VLOOKUP(AS$5,Coords[],4,FALSE))^2)))</f>
        <v>1000</v>
      </c>
      <c r="AT17" s="10">
        <f>IF($G17=AT$5,1000,IF(AT$4=0,1000,SQRT((VLOOKUP($G17,Coords[],3,FALSE)-VLOOKUP(AT$5,Coords[],3,FALSE))^2+(VLOOKUP($G17,Coords[],4,FALSE)-VLOOKUP(AT$5,Coords[],4,FALSE))^2)))</f>
        <v>1000</v>
      </c>
      <c r="AU17" s="10">
        <f>IF($G17=AU$5,1000,IF(AU$4=0,1000,SQRT((VLOOKUP($G17,Coords[],3,FALSE)-VLOOKUP(AU$5,Coords[],3,FALSE))^2+(VLOOKUP($G17,Coords[],4,FALSE)-VLOOKUP(AU$5,Coords[],4,FALSE))^2)))</f>
        <v>1000</v>
      </c>
      <c r="AV17" s="10">
        <f>IF($G17=AV$5,1000,IF(AV$4=0,1000,SQRT((VLOOKUP($G17,Coords[],3,FALSE)-VLOOKUP(AV$5,Coords[],3,FALSE))^2+(VLOOKUP($G17,Coords[],4,FALSE)-VLOOKUP(AV$5,Coords[],4,FALSE))^2)))</f>
        <v>1000</v>
      </c>
      <c r="AW17" s="10">
        <f>IF($G17=AW$5,1000,IF(AW$4=0,1000,SQRT((VLOOKUP($G17,Coords[],3,FALSE)-VLOOKUP(AW$5,Coords[],3,FALSE))^2+(VLOOKUP($G17,Coords[],4,FALSE)-VLOOKUP(AW$5,Coords[],4,FALSE))^2)))</f>
        <v>1000</v>
      </c>
      <c r="AX17" s="10">
        <f>IF($G17=AX$5,1000,IF(AX$4=0,1000,SQRT((VLOOKUP($G17,Coords[],3,FALSE)-VLOOKUP(AX$5,Coords[],3,FALSE))^2+(VLOOKUP($G17,Coords[],4,FALSE)-VLOOKUP(AX$5,Coords[],4,FALSE))^2)))</f>
        <v>1000</v>
      </c>
      <c r="AY17" s="10">
        <f>IF($G17=AY$5,1000,IF(AY$4=0,1000,SQRT((VLOOKUP($G17,Coords[],3,FALSE)-VLOOKUP(AY$5,Coords[],3,FALSE))^2+(VLOOKUP($G17,Coords[],4,FALSE)-VLOOKUP(AY$5,Coords[],4,FALSE))^2)))</f>
        <v>1000</v>
      </c>
      <c r="AZ17" s="10">
        <f>IF($G17=AZ$5,1000,IF(AZ$4=0,1000,SQRT((VLOOKUP($G17,Coords[],3,FALSE)-VLOOKUP(AZ$5,Coords[],3,FALSE))^2+(VLOOKUP($G17,Coords[],4,FALSE)-VLOOKUP(AZ$5,Coords[],4,FALSE))^2)))</f>
        <v>1000</v>
      </c>
      <c r="BA17" s="10">
        <f>IF($G17=BA$5,1000,IF(BA$4=0,1000,SQRT((VLOOKUP($G17,Coords[],3,FALSE)-VLOOKUP(BA$5,Coords[],3,FALSE))^2+(VLOOKUP($G17,Coords[],4,FALSE)-VLOOKUP(BA$5,Coords[],4,FALSE))^2)))</f>
        <v>1000</v>
      </c>
      <c r="BB17" s="10">
        <f>IF($G17=BB$5,1000,IF(BB$4=0,1000,SQRT((VLOOKUP($G17,Coords[],3,FALSE)-VLOOKUP(BB$5,Coords[],3,FALSE))^2+(VLOOKUP($G17,Coords[],4,FALSE)-VLOOKUP(BB$5,Coords[],4,FALSE))^2)))</f>
        <v>1000</v>
      </c>
      <c r="BC17" s="10">
        <f>IF($G17=BC$5,1000,IF(BC$4=0,1000,SQRT((VLOOKUP($G17,Coords[],3,FALSE)-VLOOKUP(BC$5,Coords[],3,FALSE))^2+(VLOOKUP($G17,Coords[],4,FALSE)-VLOOKUP(BC$5,Coords[],4,FALSE))^2)))</f>
        <v>1000</v>
      </c>
      <c r="BD17" s="10">
        <f>IF($G17=BD$5,1000,IF(BD$4=0,1000,SQRT((VLOOKUP($G17,Coords[],3,FALSE)-VLOOKUP(BD$5,Coords[],3,FALSE))^2+(VLOOKUP($G17,Coords[],4,FALSE)-VLOOKUP(BD$5,Coords[],4,FALSE))^2)))</f>
        <v>1000</v>
      </c>
      <c r="BE17" s="10">
        <f>IF($G17=BE$5,1000,IF(BE$4=0,1000,SQRT((VLOOKUP($G17,Coords[],3,FALSE)-VLOOKUP(BE$5,Coords[],3,FALSE))^2+(VLOOKUP($G17,Coords[],4,FALSE)-VLOOKUP(BE$5,Coords[],4,FALSE))^2)))</f>
        <v>1000</v>
      </c>
      <c r="BF17" s="10">
        <f>IF($G17=BF$5,1000,IF(BF$4=0,1000,SQRT((VLOOKUP($G17,Coords[],3,FALSE)-VLOOKUP(BF$5,Coords[],3,FALSE))^2+(VLOOKUP($G17,Coords[],4,FALSE)-VLOOKUP(BF$5,Coords[],4,FALSE))^2)))</f>
        <v>1000</v>
      </c>
      <c r="BG17" s="4">
        <v>12</v>
      </c>
      <c r="BI17" s="5">
        <f>IF(E17=1,0,VLOOKUP($G17,$G$6:$BF$57,HLOOKUP(MIN(H17:BF17),$H17:$BF$57,((COUNT($G$6:$G$56)+2)-$G17),FALSE),FALSE)*B17)</f>
        <v>313.04951684997059</v>
      </c>
      <c r="BJ17" s="9">
        <f>VLOOKUP($G17,$G$6:$BF$57,HLOOKUP(MIN(H17:BF17),$H17:$BF$57,((COUNT($G$6:$G$56)+2)-$G17),FALSE),FALSE)</f>
        <v>15.652475842498529</v>
      </c>
      <c r="BK17" s="7">
        <f>HLOOKUP(MIN(H17:BF17),$H17:$BF$57,((COUNT($G$6:$G$56)+2)-$G17),FALSE)</f>
        <v>33</v>
      </c>
      <c r="BL17">
        <f>BJ17*Coords[[#This Row],[Demand]]</f>
        <v>313.04951684997059</v>
      </c>
      <c r="BN17">
        <v>12</v>
      </c>
      <c r="BO17">
        <v>8344.0799102754736</v>
      </c>
      <c r="BP17">
        <v>8909.4766814532813</v>
      </c>
    </row>
    <row r="18" spans="1:68" x14ac:dyDescent="0.25">
      <c r="A18" s="8">
        <v>13</v>
      </c>
      <c r="B18" s="3">
        <v>5</v>
      </c>
      <c r="C18" s="3">
        <v>5</v>
      </c>
      <c r="D18" s="3">
        <v>25</v>
      </c>
      <c r="E18">
        <v>0</v>
      </c>
      <c r="G18" s="4">
        <v>13</v>
      </c>
      <c r="H18" s="10">
        <f>IF($G18=H$5,1000,IF(H$4=0,1000,SQRT((VLOOKUP($G18,Coords[],3,FALSE)-VLOOKUP(H$5,Coords[],3,FALSE))^2+(VLOOKUP($G18,Coords[],4,FALSE)-VLOOKUP(H$5,Coords[],4,FALSE))^2)))</f>
        <v>1000</v>
      </c>
      <c r="I18" s="10">
        <f>IF($G18=I$5,1000,IF(I$4=0,1000,SQRT((VLOOKUP($G18,Coords[],3,FALSE)-VLOOKUP(I$5,Coords[],3,FALSE))^2+(VLOOKUP($G18,Coords[],4,FALSE)-VLOOKUP(I$5,Coords[],4,FALSE))^2)))</f>
        <v>1000</v>
      </c>
      <c r="J18" s="10">
        <f>IF($G18=J$5,1000,IF(J$4=0,1000,SQRT((VLOOKUP($G18,Coords[],3,FALSE)-VLOOKUP(J$5,Coords[],3,FALSE))^2+(VLOOKUP($G18,Coords[],4,FALSE)-VLOOKUP(J$5,Coords[],4,FALSE))^2)))</f>
        <v>1000</v>
      </c>
      <c r="K18" s="10">
        <f>IF($G18=K$5,1000,IF(K$4=0,1000,SQRT((VLOOKUP($G18,Coords[],3,FALSE)-VLOOKUP(K$5,Coords[],3,FALSE))^2+(VLOOKUP($G18,Coords[],4,FALSE)-VLOOKUP(K$5,Coords[],4,FALSE))^2)))</f>
        <v>1000</v>
      </c>
      <c r="L18" s="10">
        <f>IF($G18=L$5,1000,IF(L$4=0,1000,SQRT((VLOOKUP($G18,Coords[],3,FALSE)-VLOOKUP(L$5,Coords[],3,FALSE))^2+(VLOOKUP($G18,Coords[],4,FALSE)-VLOOKUP(L$5,Coords[],4,FALSE))^2)))</f>
        <v>1000</v>
      </c>
      <c r="M18" s="10">
        <f>IF($G18=M$5,1000,IF(M$4=0,1000,SQRT((VLOOKUP($G18,Coords[],3,FALSE)-VLOOKUP(M$5,Coords[],3,FALSE))^2+(VLOOKUP($G18,Coords[],4,FALSE)-VLOOKUP(M$5,Coords[],4,FALSE))^2)))</f>
        <v>1000</v>
      </c>
      <c r="N18" s="10">
        <f>IF($G18=N$5,1000,IF(N$4=0,1000,SQRT((VLOOKUP($G18,Coords[],3,FALSE)-VLOOKUP(N$5,Coords[],3,FALSE))^2+(VLOOKUP($G18,Coords[],4,FALSE)-VLOOKUP(N$5,Coords[],4,FALSE))^2)))</f>
        <v>1000</v>
      </c>
      <c r="O18" s="10">
        <f>IF($G18=O$5,1000,IF(O$4=0,1000,SQRT((VLOOKUP($G18,Coords[],3,FALSE)-VLOOKUP(O$5,Coords[],3,FALSE))^2+(VLOOKUP($G18,Coords[],4,FALSE)-VLOOKUP(O$5,Coords[],4,FALSE))^2)))</f>
        <v>45.221676218380054</v>
      </c>
      <c r="P18" s="10">
        <f>IF($G18=P$5,1000,IF(P$4=0,1000,SQRT((VLOOKUP($G18,Coords[],3,FALSE)-VLOOKUP(P$5,Coords[],3,FALSE))^2+(VLOOKUP($G18,Coords[],4,FALSE)-VLOOKUP(P$5,Coords[],4,FALSE))^2)))</f>
        <v>1000</v>
      </c>
      <c r="Q18" s="10">
        <f>IF($G18=Q$5,1000,IF(Q$4=0,1000,SQRT((VLOOKUP($G18,Coords[],3,FALSE)-VLOOKUP(Q$5,Coords[],3,FALSE))^2+(VLOOKUP($G18,Coords[],4,FALSE)-VLOOKUP(Q$5,Coords[],4,FALSE))^2)))</f>
        <v>1000</v>
      </c>
      <c r="R18" s="10">
        <f>IF($G18=R$5,1000,IF(R$4=0,1000,SQRT((VLOOKUP($G18,Coords[],3,FALSE)-VLOOKUP(R$5,Coords[],3,FALSE))^2+(VLOOKUP($G18,Coords[],4,FALSE)-VLOOKUP(R$5,Coords[],4,FALSE))^2)))</f>
        <v>1000</v>
      </c>
      <c r="S18" s="10">
        <f>IF($G18=S$5,1000,IF(S$4=0,1000,SQRT((VLOOKUP($G18,Coords[],3,FALSE)-VLOOKUP(S$5,Coords[],3,FALSE))^2+(VLOOKUP($G18,Coords[],4,FALSE)-VLOOKUP(S$5,Coords[],4,FALSE))^2)))</f>
        <v>1000</v>
      </c>
      <c r="T18" s="10">
        <f>IF($G18=T$5,1000,IF(T$4=0,1000,SQRT((VLOOKUP($G18,Coords[],3,FALSE)-VLOOKUP(T$5,Coords[],3,FALSE))^2+(VLOOKUP($G18,Coords[],4,FALSE)-VLOOKUP(T$5,Coords[],4,FALSE))^2)))</f>
        <v>1000</v>
      </c>
      <c r="U18" s="10">
        <f>IF($G18=U$5,1000,IF(U$4=0,1000,SQRT((VLOOKUP($G18,Coords[],3,FALSE)-VLOOKUP(U$5,Coords[],3,FALSE))^2+(VLOOKUP($G18,Coords[],4,FALSE)-VLOOKUP(U$5,Coords[],4,FALSE))^2)))</f>
        <v>1000</v>
      </c>
      <c r="V18" s="10">
        <f>IF($G18=V$5,1000,IF(V$4=0,1000,SQRT((VLOOKUP($G18,Coords[],3,FALSE)-VLOOKUP(V$5,Coords[],3,FALSE))^2+(VLOOKUP($G18,Coords[],4,FALSE)-VLOOKUP(V$5,Coords[],4,FALSE))^2)))</f>
        <v>1000</v>
      </c>
      <c r="W18" s="10">
        <f>IF($G18=W$5,1000,IF(W$4=0,1000,SQRT((VLOOKUP($G18,Coords[],3,FALSE)-VLOOKUP(W$5,Coords[],3,FALSE))^2+(VLOOKUP($G18,Coords[],4,FALSE)-VLOOKUP(W$5,Coords[],4,FALSE))^2)))</f>
        <v>1000</v>
      </c>
      <c r="X18" s="10">
        <f>IF($G18=X$5,1000,IF(X$4=0,1000,SQRT((VLOOKUP($G18,Coords[],3,FALSE)-VLOOKUP(X$5,Coords[],3,FALSE))^2+(VLOOKUP($G18,Coords[],4,FALSE)-VLOOKUP(X$5,Coords[],4,FALSE))^2)))</f>
        <v>1000</v>
      </c>
      <c r="Y18" s="10">
        <f>IF($G18=Y$5,1000,IF(Y$4=0,1000,SQRT((VLOOKUP($G18,Coords[],3,FALSE)-VLOOKUP(Y$5,Coords[],3,FALSE))^2+(VLOOKUP($G18,Coords[],4,FALSE)-VLOOKUP(Y$5,Coords[],4,FALSE))^2)))</f>
        <v>1000</v>
      </c>
      <c r="Z18" s="10">
        <f>IF($G18=Z$5,1000,IF(Z$4=0,1000,SQRT((VLOOKUP($G18,Coords[],3,FALSE)-VLOOKUP(Z$5,Coords[],3,FALSE))^2+(VLOOKUP($G18,Coords[],4,FALSE)-VLOOKUP(Z$5,Coords[],4,FALSE))^2)))</f>
        <v>1000</v>
      </c>
      <c r="AA18" s="10">
        <f>IF($G18=AA$5,1000,IF(AA$4=0,1000,SQRT((VLOOKUP($G18,Coords[],3,FALSE)-VLOOKUP(AA$5,Coords[],3,FALSE))^2+(VLOOKUP($G18,Coords[],4,FALSE)-VLOOKUP(AA$5,Coords[],4,FALSE))^2)))</f>
        <v>61.587336360651285</v>
      </c>
      <c r="AB18" s="10">
        <f>IF($G18=AB$5,1000,IF(AB$4=0,1000,SQRT((VLOOKUP($G18,Coords[],3,FALSE)-VLOOKUP(AB$5,Coords[],3,FALSE))^2+(VLOOKUP($G18,Coords[],4,FALSE)-VLOOKUP(AB$5,Coords[],4,FALSE))^2)))</f>
        <v>1000</v>
      </c>
      <c r="AC18" s="10">
        <f>IF($G18=AC$5,1000,IF(AC$4=0,1000,SQRT((VLOOKUP($G18,Coords[],3,FALSE)-VLOOKUP(AC$5,Coords[],3,FALSE))^2+(VLOOKUP($G18,Coords[],4,FALSE)-VLOOKUP(AC$5,Coords[],4,FALSE))^2)))</f>
        <v>1000</v>
      </c>
      <c r="AD18" s="10">
        <f>IF($G18=AD$5,1000,IF(AD$4=0,1000,SQRT((VLOOKUP($G18,Coords[],3,FALSE)-VLOOKUP(AD$5,Coords[],3,FALSE))^2+(VLOOKUP($G18,Coords[],4,FALSE)-VLOOKUP(AD$5,Coords[],4,FALSE))^2)))</f>
        <v>1000</v>
      </c>
      <c r="AE18" s="10">
        <f>IF($G18=AE$5,1000,IF(AE$4=0,1000,SQRT((VLOOKUP($G18,Coords[],3,FALSE)-VLOOKUP(AE$5,Coords[],3,FALSE))^2+(VLOOKUP($G18,Coords[],4,FALSE)-VLOOKUP(AE$5,Coords[],4,FALSE))^2)))</f>
        <v>1000</v>
      </c>
      <c r="AF18" s="10">
        <f>IF($G18=AF$5,1000,IF(AF$4=0,1000,SQRT((VLOOKUP($G18,Coords[],3,FALSE)-VLOOKUP(AF$5,Coords[],3,FALSE))^2+(VLOOKUP($G18,Coords[],4,FALSE)-VLOOKUP(AF$5,Coords[],4,FALSE))^2)))</f>
        <v>1000</v>
      </c>
      <c r="AG18" s="10">
        <f>IF($G18=AG$5,1000,IF(AG$4=0,1000,SQRT((VLOOKUP($G18,Coords[],3,FALSE)-VLOOKUP(AG$5,Coords[],3,FALSE))^2+(VLOOKUP($G18,Coords[],4,FALSE)-VLOOKUP(AG$5,Coords[],4,FALSE))^2)))</f>
        <v>1000</v>
      </c>
      <c r="AH18" s="10">
        <f>IF($G18=AH$5,1000,IF(AH$4=0,1000,SQRT((VLOOKUP($G18,Coords[],3,FALSE)-VLOOKUP(AH$5,Coords[],3,FALSE))^2+(VLOOKUP($G18,Coords[],4,FALSE)-VLOOKUP(AH$5,Coords[],4,FALSE))^2)))</f>
        <v>1000</v>
      </c>
      <c r="AI18" s="10">
        <f>IF($G18=AI$5,1000,IF(AI$4=0,1000,SQRT((VLOOKUP($G18,Coords[],3,FALSE)-VLOOKUP(AI$5,Coords[],3,FALSE))^2+(VLOOKUP($G18,Coords[],4,FALSE)-VLOOKUP(AI$5,Coords[],4,FALSE))^2)))</f>
        <v>1000</v>
      </c>
      <c r="AJ18" s="10">
        <f>IF($G18=AJ$5,1000,IF(AJ$4=0,1000,SQRT((VLOOKUP($G18,Coords[],3,FALSE)-VLOOKUP(AJ$5,Coords[],3,FALSE))^2+(VLOOKUP($G18,Coords[],4,FALSE)-VLOOKUP(AJ$5,Coords[],4,FALSE))^2)))</f>
        <v>57.77542730261716</v>
      </c>
      <c r="AK18" s="10">
        <f>IF($G18=AK$5,1000,IF(AK$4=0,1000,SQRT((VLOOKUP($G18,Coords[],3,FALSE)-VLOOKUP(AK$5,Coords[],3,FALSE))^2+(VLOOKUP($G18,Coords[],4,FALSE)-VLOOKUP(AK$5,Coords[],4,FALSE))^2)))</f>
        <v>1000</v>
      </c>
      <c r="AL18" s="10">
        <f>IF($G18=AL$5,1000,IF(AL$4=0,1000,SQRT((VLOOKUP($G18,Coords[],3,FALSE)-VLOOKUP(AL$5,Coords[],3,FALSE))^2+(VLOOKUP($G18,Coords[],4,FALSE)-VLOOKUP(AL$5,Coords[],4,FALSE))^2)))</f>
        <v>1000</v>
      </c>
      <c r="AM18" s="10">
        <f>IF($G18=AM$5,1000,IF(AM$4=0,1000,SQRT((VLOOKUP($G18,Coords[],3,FALSE)-VLOOKUP(AM$5,Coords[],3,FALSE))^2+(VLOOKUP($G18,Coords[],4,FALSE)-VLOOKUP(AM$5,Coords[],4,FALSE))^2)))</f>
        <v>39.11521443121589</v>
      </c>
      <c r="AN18" s="10">
        <f>IF($G18=AN$5,1000,IF(AN$4=0,1000,SQRT((VLOOKUP($G18,Coords[],3,FALSE)-VLOOKUP(AN$5,Coords[],3,FALSE))^2+(VLOOKUP($G18,Coords[],4,FALSE)-VLOOKUP(AN$5,Coords[],4,FALSE))^2)))</f>
        <v>1000</v>
      </c>
      <c r="AO18" s="10">
        <f>IF($G18=AO$5,1000,IF(AO$4=0,1000,SQRT((VLOOKUP($G18,Coords[],3,FALSE)-VLOOKUP(AO$5,Coords[],3,FALSE))^2+(VLOOKUP($G18,Coords[],4,FALSE)-VLOOKUP(AO$5,Coords[],4,FALSE))^2)))</f>
        <v>1000</v>
      </c>
      <c r="AP18" s="10">
        <f>IF($G18=AP$5,1000,IF(AP$4=0,1000,SQRT((VLOOKUP($G18,Coords[],3,FALSE)-VLOOKUP(AP$5,Coords[],3,FALSE))^2+(VLOOKUP($G18,Coords[],4,FALSE)-VLOOKUP(AP$5,Coords[],4,FALSE))^2)))</f>
        <v>1000</v>
      </c>
      <c r="AQ18" s="10">
        <f>IF($G18=AQ$5,1000,IF(AQ$4=0,1000,SQRT((VLOOKUP($G18,Coords[],3,FALSE)-VLOOKUP(AQ$5,Coords[],3,FALSE))^2+(VLOOKUP($G18,Coords[],4,FALSE)-VLOOKUP(AQ$5,Coords[],4,FALSE))^2)))</f>
        <v>1000</v>
      </c>
      <c r="AR18" s="10">
        <f>IF($G18=AR$5,1000,IF(AR$4=0,1000,SQRT((VLOOKUP($G18,Coords[],3,FALSE)-VLOOKUP(AR$5,Coords[],3,FALSE))^2+(VLOOKUP($G18,Coords[],4,FALSE)-VLOOKUP(AR$5,Coords[],4,FALSE))^2)))</f>
        <v>1000</v>
      </c>
      <c r="AS18" s="10">
        <f>IF($G18=AS$5,1000,IF(AS$4=0,1000,SQRT((VLOOKUP($G18,Coords[],3,FALSE)-VLOOKUP(AS$5,Coords[],3,FALSE))^2+(VLOOKUP($G18,Coords[],4,FALSE)-VLOOKUP(AS$5,Coords[],4,FALSE))^2)))</f>
        <v>1000</v>
      </c>
      <c r="AT18" s="10">
        <f>IF($G18=AT$5,1000,IF(AT$4=0,1000,SQRT((VLOOKUP($G18,Coords[],3,FALSE)-VLOOKUP(AT$5,Coords[],3,FALSE))^2+(VLOOKUP($G18,Coords[],4,FALSE)-VLOOKUP(AT$5,Coords[],4,FALSE))^2)))</f>
        <v>1000</v>
      </c>
      <c r="AU18" s="10">
        <f>IF($G18=AU$5,1000,IF(AU$4=0,1000,SQRT((VLOOKUP($G18,Coords[],3,FALSE)-VLOOKUP(AU$5,Coords[],3,FALSE))^2+(VLOOKUP($G18,Coords[],4,FALSE)-VLOOKUP(AU$5,Coords[],4,FALSE))^2)))</f>
        <v>1000</v>
      </c>
      <c r="AV18" s="10">
        <f>IF($G18=AV$5,1000,IF(AV$4=0,1000,SQRT((VLOOKUP($G18,Coords[],3,FALSE)-VLOOKUP(AV$5,Coords[],3,FALSE))^2+(VLOOKUP($G18,Coords[],4,FALSE)-VLOOKUP(AV$5,Coords[],4,FALSE))^2)))</f>
        <v>1000</v>
      </c>
      <c r="AW18" s="10">
        <f>IF($G18=AW$5,1000,IF(AW$4=0,1000,SQRT((VLOOKUP($G18,Coords[],3,FALSE)-VLOOKUP(AW$5,Coords[],3,FALSE))^2+(VLOOKUP($G18,Coords[],4,FALSE)-VLOOKUP(AW$5,Coords[],4,FALSE))^2)))</f>
        <v>1000</v>
      </c>
      <c r="AX18" s="10">
        <f>IF($G18=AX$5,1000,IF(AX$4=0,1000,SQRT((VLOOKUP($G18,Coords[],3,FALSE)-VLOOKUP(AX$5,Coords[],3,FALSE))^2+(VLOOKUP($G18,Coords[],4,FALSE)-VLOOKUP(AX$5,Coords[],4,FALSE))^2)))</f>
        <v>1000</v>
      </c>
      <c r="AY18" s="10">
        <f>IF($G18=AY$5,1000,IF(AY$4=0,1000,SQRT((VLOOKUP($G18,Coords[],3,FALSE)-VLOOKUP(AY$5,Coords[],3,FALSE))^2+(VLOOKUP($G18,Coords[],4,FALSE)-VLOOKUP(AY$5,Coords[],4,FALSE))^2)))</f>
        <v>1000</v>
      </c>
      <c r="AZ18" s="10">
        <f>IF($G18=AZ$5,1000,IF(AZ$4=0,1000,SQRT((VLOOKUP($G18,Coords[],3,FALSE)-VLOOKUP(AZ$5,Coords[],3,FALSE))^2+(VLOOKUP($G18,Coords[],4,FALSE)-VLOOKUP(AZ$5,Coords[],4,FALSE))^2)))</f>
        <v>1000</v>
      </c>
      <c r="BA18" s="10">
        <f>IF($G18=BA$5,1000,IF(BA$4=0,1000,SQRT((VLOOKUP($G18,Coords[],3,FALSE)-VLOOKUP(BA$5,Coords[],3,FALSE))^2+(VLOOKUP($G18,Coords[],4,FALSE)-VLOOKUP(BA$5,Coords[],4,FALSE))^2)))</f>
        <v>1000</v>
      </c>
      <c r="BB18" s="10">
        <f>IF($G18=BB$5,1000,IF(BB$4=0,1000,SQRT((VLOOKUP($G18,Coords[],3,FALSE)-VLOOKUP(BB$5,Coords[],3,FALSE))^2+(VLOOKUP($G18,Coords[],4,FALSE)-VLOOKUP(BB$5,Coords[],4,FALSE))^2)))</f>
        <v>1000</v>
      </c>
      <c r="BC18" s="10">
        <f>IF($G18=BC$5,1000,IF(BC$4=0,1000,SQRT((VLOOKUP($G18,Coords[],3,FALSE)-VLOOKUP(BC$5,Coords[],3,FALSE))^2+(VLOOKUP($G18,Coords[],4,FALSE)-VLOOKUP(BC$5,Coords[],4,FALSE))^2)))</f>
        <v>1000</v>
      </c>
      <c r="BD18" s="10">
        <f>IF($G18=BD$5,1000,IF(BD$4=0,1000,SQRT((VLOOKUP($G18,Coords[],3,FALSE)-VLOOKUP(BD$5,Coords[],3,FALSE))^2+(VLOOKUP($G18,Coords[],4,FALSE)-VLOOKUP(BD$5,Coords[],4,FALSE))^2)))</f>
        <v>1000</v>
      </c>
      <c r="BE18" s="10">
        <f>IF($G18=BE$5,1000,IF(BE$4=0,1000,SQRT((VLOOKUP($G18,Coords[],3,FALSE)-VLOOKUP(BE$5,Coords[],3,FALSE))^2+(VLOOKUP($G18,Coords[],4,FALSE)-VLOOKUP(BE$5,Coords[],4,FALSE))^2)))</f>
        <v>1000</v>
      </c>
      <c r="BF18" s="10">
        <f>IF($G18=BF$5,1000,IF(BF$4=0,1000,SQRT((VLOOKUP($G18,Coords[],3,FALSE)-VLOOKUP(BF$5,Coords[],3,FALSE))^2+(VLOOKUP($G18,Coords[],4,FALSE)-VLOOKUP(BF$5,Coords[],4,FALSE))^2)))</f>
        <v>1000</v>
      </c>
      <c r="BG18" s="4">
        <v>13</v>
      </c>
      <c r="BI18" s="5">
        <f>IF(E18=1,0,VLOOKUP($G18,$G$6:$BF$57,HLOOKUP(MIN(H18:BF18),$H18:$BF$57,((COUNT($G$6:$G$56)+2)-$G18),FALSE),FALSE)*B18)</f>
        <v>195.57607215607945</v>
      </c>
      <c r="BJ18" s="9">
        <f>VLOOKUP($G18,$G$6:$BF$57,HLOOKUP(MIN(H18:BF18),$H18:$BF$57,((COUNT($G$6:$G$56)+2)-$G18),FALSE),FALSE)</f>
        <v>39.11521443121589</v>
      </c>
      <c r="BK18" s="7">
        <f>HLOOKUP(MIN(H18:BF18),$H18:$BF$57,((COUNT($G$6:$G$56)+2)-$G18),FALSE)</f>
        <v>33</v>
      </c>
      <c r="BL18">
        <f>BJ18*Coords[[#This Row],[Demand]]</f>
        <v>195.57607215607945</v>
      </c>
      <c r="BN18">
        <v>13</v>
      </c>
      <c r="BO18">
        <v>8344.0799102754736</v>
      </c>
      <c r="BP18">
        <v>8644.784658831124</v>
      </c>
    </row>
    <row r="19" spans="1:68" x14ac:dyDescent="0.25">
      <c r="A19" s="8">
        <v>14</v>
      </c>
      <c r="B19" s="3">
        <v>29</v>
      </c>
      <c r="C19" s="3">
        <v>12</v>
      </c>
      <c r="D19" s="3">
        <v>42</v>
      </c>
      <c r="E19">
        <v>0</v>
      </c>
      <c r="G19" s="4">
        <v>14</v>
      </c>
      <c r="H19" s="10">
        <f>IF($G19=H$5,1000,IF(H$4=0,1000,SQRT((VLOOKUP($G19,Coords[],3,FALSE)-VLOOKUP(H$5,Coords[],3,FALSE))^2+(VLOOKUP($G19,Coords[],4,FALSE)-VLOOKUP(H$5,Coords[],4,FALSE))^2)))</f>
        <v>1000</v>
      </c>
      <c r="I19" s="10">
        <f>IF($G19=I$5,1000,IF(I$4=0,1000,SQRT((VLOOKUP($G19,Coords[],3,FALSE)-VLOOKUP(I$5,Coords[],3,FALSE))^2+(VLOOKUP($G19,Coords[],4,FALSE)-VLOOKUP(I$5,Coords[],4,FALSE))^2)))</f>
        <v>1000</v>
      </c>
      <c r="J19" s="10">
        <f>IF($G19=J$5,1000,IF(J$4=0,1000,SQRT((VLOOKUP($G19,Coords[],3,FALSE)-VLOOKUP(J$5,Coords[],3,FALSE))^2+(VLOOKUP($G19,Coords[],4,FALSE)-VLOOKUP(J$5,Coords[],4,FALSE))^2)))</f>
        <v>1000</v>
      </c>
      <c r="K19" s="10">
        <f>IF($G19=K$5,1000,IF(K$4=0,1000,SQRT((VLOOKUP($G19,Coords[],3,FALSE)-VLOOKUP(K$5,Coords[],3,FALSE))^2+(VLOOKUP($G19,Coords[],4,FALSE)-VLOOKUP(K$5,Coords[],4,FALSE))^2)))</f>
        <v>1000</v>
      </c>
      <c r="L19" s="10">
        <f>IF($G19=L$5,1000,IF(L$4=0,1000,SQRT((VLOOKUP($G19,Coords[],3,FALSE)-VLOOKUP(L$5,Coords[],3,FALSE))^2+(VLOOKUP($G19,Coords[],4,FALSE)-VLOOKUP(L$5,Coords[],4,FALSE))^2)))</f>
        <v>1000</v>
      </c>
      <c r="M19" s="10">
        <f>IF($G19=M$5,1000,IF(M$4=0,1000,SQRT((VLOOKUP($G19,Coords[],3,FALSE)-VLOOKUP(M$5,Coords[],3,FALSE))^2+(VLOOKUP($G19,Coords[],4,FALSE)-VLOOKUP(M$5,Coords[],4,FALSE))^2)))</f>
        <v>1000</v>
      </c>
      <c r="N19" s="10">
        <f>IF($G19=N$5,1000,IF(N$4=0,1000,SQRT((VLOOKUP($G19,Coords[],3,FALSE)-VLOOKUP(N$5,Coords[],3,FALSE))^2+(VLOOKUP($G19,Coords[],4,FALSE)-VLOOKUP(N$5,Coords[],4,FALSE))^2)))</f>
        <v>1000</v>
      </c>
      <c r="O19" s="10">
        <f>IF($G19=O$5,1000,IF(O$4=0,1000,SQRT((VLOOKUP($G19,Coords[],3,FALSE)-VLOOKUP(O$5,Coords[],3,FALSE))^2+(VLOOKUP($G19,Coords[],4,FALSE)-VLOOKUP(O$5,Coords[],4,FALSE))^2)))</f>
        <v>27.586228448267445</v>
      </c>
      <c r="P19" s="10">
        <f>IF($G19=P$5,1000,IF(P$4=0,1000,SQRT((VLOOKUP($G19,Coords[],3,FALSE)-VLOOKUP(P$5,Coords[],3,FALSE))^2+(VLOOKUP($G19,Coords[],4,FALSE)-VLOOKUP(P$5,Coords[],4,FALSE))^2)))</f>
        <v>1000</v>
      </c>
      <c r="Q19" s="10">
        <f>IF($G19=Q$5,1000,IF(Q$4=0,1000,SQRT((VLOOKUP($G19,Coords[],3,FALSE)-VLOOKUP(Q$5,Coords[],3,FALSE))^2+(VLOOKUP($G19,Coords[],4,FALSE)-VLOOKUP(Q$5,Coords[],4,FALSE))^2)))</f>
        <v>1000</v>
      </c>
      <c r="R19" s="10">
        <f>IF($G19=R$5,1000,IF(R$4=0,1000,SQRT((VLOOKUP($G19,Coords[],3,FALSE)-VLOOKUP(R$5,Coords[],3,FALSE))^2+(VLOOKUP($G19,Coords[],4,FALSE)-VLOOKUP(R$5,Coords[],4,FALSE))^2)))</f>
        <v>1000</v>
      </c>
      <c r="S19" s="10">
        <f>IF($G19=S$5,1000,IF(S$4=0,1000,SQRT((VLOOKUP($G19,Coords[],3,FALSE)-VLOOKUP(S$5,Coords[],3,FALSE))^2+(VLOOKUP($G19,Coords[],4,FALSE)-VLOOKUP(S$5,Coords[],4,FALSE))^2)))</f>
        <v>1000</v>
      </c>
      <c r="T19" s="10">
        <f>IF($G19=T$5,1000,IF(T$4=0,1000,SQRT((VLOOKUP($G19,Coords[],3,FALSE)-VLOOKUP(T$5,Coords[],3,FALSE))^2+(VLOOKUP($G19,Coords[],4,FALSE)-VLOOKUP(T$5,Coords[],4,FALSE))^2)))</f>
        <v>1000</v>
      </c>
      <c r="U19" s="10">
        <f>IF($G19=U$5,1000,IF(U$4=0,1000,SQRT((VLOOKUP($G19,Coords[],3,FALSE)-VLOOKUP(U$5,Coords[],3,FALSE))^2+(VLOOKUP($G19,Coords[],4,FALSE)-VLOOKUP(U$5,Coords[],4,FALSE))^2)))</f>
        <v>1000</v>
      </c>
      <c r="V19" s="10">
        <f>IF($G19=V$5,1000,IF(V$4=0,1000,SQRT((VLOOKUP($G19,Coords[],3,FALSE)-VLOOKUP(V$5,Coords[],3,FALSE))^2+(VLOOKUP($G19,Coords[],4,FALSE)-VLOOKUP(V$5,Coords[],4,FALSE))^2)))</f>
        <v>1000</v>
      </c>
      <c r="W19" s="10">
        <f>IF($G19=W$5,1000,IF(W$4=0,1000,SQRT((VLOOKUP($G19,Coords[],3,FALSE)-VLOOKUP(W$5,Coords[],3,FALSE))^2+(VLOOKUP($G19,Coords[],4,FALSE)-VLOOKUP(W$5,Coords[],4,FALSE))^2)))</f>
        <v>1000</v>
      </c>
      <c r="X19" s="10">
        <f>IF($G19=X$5,1000,IF(X$4=0,1000,SQRT((VLOOKUP($G19,Coords[],3,FALSE)-VLOOKUP(X$5,Coords[],3,FALSE))^2+(VLOOKUP($G19,Coords[],4,FALSE)-VLOOKUP(X$5,Coords[],4,FALSE))^2)))</f>
        <v>1000</v>
      </c>
      <c r="Y19" s="10">
        <f>IF($G19=Y$5,1000,IF(Y$4=0,1000,SQRT((VLOOKUP($G19,Coords[],3,FALSE)-VLOOKUP(Y$5,Coords[],3,FALSE))^2+(VLOOKUP($G19,Coords[],4,FALSE)-VLOOKUP(Y$5,Coords[],4,FALSE))^2)))</f>
        <v>1000</v>
      </c>
      <c r="Z19" s="10">
        <f>IF($G19=Z$5,1000,IF(Z$4=0,1000,SQRT((VLOOKUP($G19,Coords[],3,FALSE)-VLOOKUP(Z$5,Coords[],3,FALSE))^2+(VLOOKUP($G19,Coords[],4,FALSE)-VLOOKUP(Z$5,Coords[],4,FALSE))^2)))</f>
        <v>1000</v>
      </c>
      <c r="AA19" s="10">
        <f>IF($G19=AA$5,1000,IF(AA$4=0,1000,SQRT((VLOOKUP($G19,Coords[],3,FALSE)-VLOOKUP(AA$5,Coords[],3,FALSE))^2+(VLOOKUP($G19,Coords[],4,FALSE)-VLOOKUP(AA$5,Coords[],4,FALSE))^2)))</f>
        <v>47.75981574503821</v>
      </c>
      <c r="AB19" s="10">
        <f>IF($G19=AB$5,1000,IF(AB$4=0,1000,SQRT((VLOOKUP($G19,Coords[],3,FALSE)-VLOOKUP(AB$5,Coords[],3,FALSE))^2+(VLOOKUP($G19,Coords[],4,FALSE)-VLOOKUP(AB$5,Coords[],4,FALSE))^2)))</f>
        <v>1000</v>
      </c>
      <c r="AC19" s="10">
        <f>IF($G19=AC$5,1000,IF(AC$4=0,1000,SQRT((VLOOKUP($G19,Coords[],3,FALSE)-VLOOKUP(AC$5,Coords[],3,FALSE))^2+(VLOOKUP($G19,Coords[],4,FALSE)-VLOOKUP(AC$5,Coords[],4,FALSE))^2)))</f>
        <v>1000</v>
      </c>
      <c r="AD19" s="10">
        <f>IF($G19=AD$5,1000,IF(AD$4=0,1000,SQRT((VLOOKUP($G19,Coords[],3,FALSE)-VLOOKUP(AD$5,Coords[],3,FALSE))^2+(VLOOKUP($G19,Coords[],4,FALSE)-VLOOKUP(AD$5,Coords[],4,FALSE))^2)))</f>
        <v>1000</v>
      </c>
      <c r="AE19" s="10">
        <f>IF($G19=AE$5,1000,IF(AE$4=0,1000,SQRT((VLOOKUP($G19,Coords[],3,FALSE)-VLOOKUP(AE$5,Coords[],3,FALSE))^2+(VLOOKUP($G19,Coords[],4,FALSE)-VLOOKUP(AE$5,Coords[],4,FALSE))^2)))</f>
        <v>1000</v>
      </c>
      <c r="AF19" s="10">
        <f>IF($G19=AF$5,1000,IF(AF$4=0,1000,SQRT((VLOOKUP($G19,Coords[],3,FALSE)-VLOOKUP(AF$5,Coords[],3,FALSE))^2+(VLOOKUP($G19,Coords[],4,FALSE)-VLOOKUP(AF$5,Coords[],4,FALSE))^2)))</f>
        <v>1000</v>
      </c>
      <c r="AG19" s="10">
        <f>IF($G19=AG$5,1000,IF(AG$4=0,1000,SQRT((VLOOKUP($G19,Coords[],3,FALSE)-VLOOKUP(AG$5,Coords[],3,FALSE))^2+(VLOOKUP($G19,Coords[],4,FALSE)-VLOOKUP(AG$5,Coords[],4,FALSE))^2)))</f>
        <v>1000</v>
      </c>
      <c r="AH19" s="10">
        <f>IF($G19=AH$5,1000,IF(AH$4=0,1000,SQRT((VLOOKUP($G19,Coords[],3,FALSE)-VLOOKUP(AH$5,Coords[],3,FALSE))^2+(VLOOKUP($G19,Coords[],4,FALSE)-VLOOKUP(AH$5,Coords[],4,FALSE))^2)))</f>
        <v>1000</v>
      </c>
      <c r="AI19" s="10">
        <f>IF($G19=AI$5,1000,IF(AI$4=0,1000,SQRT((VLOOKUP($G19,Coords[],3,FALSE)-VLOOKUP(AI$5,Coords[],3,FALSE))^2+(VLOOKUP($G19,Coords[],4,FALSE)-VLOOKUP(AI$5,Coords[],4,FALSE))^2)))</f>
        <v>1000</v>
      </c>
      <c r="AJ19" s="10">
        <f>IF($G19=AJ$5,1000,IF(AJ$4=0,1000,SQRT((VLOOKUP($G19,Coords[],3,FALSE)-VLOOKUP(AJ$5,Coords[],3,FALSE))^2+(VLOOKUP($G19,Coords[],4,FALSE)-VLOOKUP(AJ$5,Coords[],4,FALSE))^2)))</f>
        <v>46.389654018972806</v>
      </c>
      <c r="AK19" s="10">
        <f>IF($G19=AK$5,1000,IF(AK$4=0,1000,SQRT((VLOOKUP($G19,Coords[],3,FALSE)-VLOOKUP(AK$5,Coords[],3,FALSE))^2+(VLOOKUP($G19,Coords[],4,FALSE)-VLOOKUP(AK$5,Coords[],4,FALSE))^2)))</f>
        <v>1000</v>
      </c>
      <c r="AL19" s="10">
        <f>IF($G19=AL$5,1000,IF(AL$4=0,1000,SQRT((VLOOKUP($G19,Coords[],3,FALSE)-VLOOKUP(AL$5,Coords[],3,FALSE))^2+(VLOOKUP($G19,Coords[],4,FALSE)-VLOOKUP(AL$5,Coords[],4,FALSE))^2)))</f>
        <v>1000</v>
      </c>
      <c r="AM19" s="10">
        <f>IF($G19=AM$5,1000,IF(AM$4=0,1000,SQRT((VLOOKUP($G19,Coords[],3,FALSE)-VLOOKUP(AM$5,Coords[],3,FALSE))^2+(VLOOKUP($G19,Coords[],4,FALSE)-VLOOKUP(AM$5,Coords[],4,FALSE))^2)))</f>
        <v>26.305892875931811</v>
      </c>
      <c r="AN19" s="10">
        <f>IF($G19=AN$5,1000,IF(AN$4=0,1000,SQRT((VLOOKUP($G19,Coords[],3,FALSE)-VLOOKUP(AN$5,Coords[],3,FALSE))^2+(VLOOKUP($G19,Coords[],4,FALSE)-VLOOKUP(AN$5,Coords[],4,FALSE))^2)))</f>
        <v>1000</v>
      </c>
      <c r="AO19" s="10">
        <f>IF($G19=AO$5,1000,IF(AO$4=0,1000,SQRT((VLOOKUP($G19,Coords[],3,FALSE)-VLOOKUP(AO$5,Coords[],3,FALSE))^2+(VLOOKUP($G19,Coords[],4,FALSE)-VLOOKUP(AO$5,Coords[],4,FALSE))^2)))</f>
        <v>1000</v>
      </c>
      <c r="AP19" s="10">
        <f>IF($G19=AP$5,1000,IF(AP$4=0,1000,SQRT((VLOOKUP($G19,Coords[],3,FALSE)-VLOOKUP(AP$5,Coords[],3,FALSE))^2+(VLOOKUP($G19,Coords[],4,FALSE)-VLOOKUP(AP$5,Coords[],4,FALSE))^2)))</f>
        <v>1000</v>
      </c>
      <c r="AQ19" s="10">
        <f>IF($G19=AQ$5,1000,IF(AQ$4=0,1000,SQRT((VLOOKUP($G19,Coords[],3,FALSE)-VLOOKUP(AQ$5,Coords[],3,FALSE))^2+(VLOOKUP($G19,Coords[],4,FALSE)-VLOOKUP(AQ$5,Coords[],4,FALSE))^2)))</f>
        <v>1000</v>
      </c>
      <c r="AR19" s="10">
        <f>IF($G19=AR$5,1000,IF(AR$4=0,1000,SQRT((VLOOKUP($G19,Coords[],3,FALSE)-VLOOKUP(AR$5,Coords[],3,FALSE))^2+(VLOOKUP($G19,Coords[],4,FALSE)-VLOOKUP(AR$5,Coords[],4,FALSE))^2)))</f>
        <v>1000</v>
      </c>
      <c r="AS19" s="10">
        <f>IF($G19=AS$5,1000,IF(AS$4=0,1000,SQRT((VLOOKUP($G19,Coords[],3,FALSE)-VLOOKUP(AS$5,Coords[],3,FALSE))^2+(VLOOKUP($G19,Coords[],4,FALSE)-VLOOKUP(AS$5,Coords[],4,FALSE))^2)))</f>
        <v>1000</v>
      </c>
      <c r="AT19" s="10">
        <f>IF($G19=AT$5,1000,IF(AT$4=0,1000,SQRT((VLOOKUP($G19,Coords[],3,FALSE)-VLOOKUP(AT$5,Coords[],3,FALSE))^2+(VLOOKUP($G19,Coords[],4,FALSE)-VLOOKUP(AT$5,Coords[],4,FALSE))^2)))</f>
        <v>1000</v>
      </c>
      <c r="AU19" s="10">
        <f>IF($G19=AU$5,1000,IF(AU$4=0,1000,SQRT((VLOOKUP($G19,Coords[],3,FALSE)-VLOOKUP(AU$5,Coords[],3,FALSE))^2+(VLOOKUP($G19,Coords[],4,FALSE)-VLOOKUP(AU$5,Coords[],4,FALSE))^2)))</f>
        <v>1000</v>
      </c>
      <c r="AV19" s="10">
        <f>IF($G19=AV$5,1000,IF(AV$4=0,1000,SQRT((VLOOKUP($G19,Coords[],3,FALSE)-VLOOKUP(AV$5,Coords[],3,FALSE))^2+(VLOOKUP($G19,Coords[],4,FALSE)-VLOOKUP(AV$5,Coords[],4,FALSE))^2)))</f>
        <v>1000</v>
      </c>
      <c r="AW19" s="10">
        <f>IF($G19=AW$5,1000,IF(AW$4=0,1000,SQRT((VLOOKUP($G19,Coords[],3,FALSE)-VLOOKUP(AW$5,Coords[],3,FALSE))^2+(VLOOKUP($G19,Coords[],4,FALSE)-VLOOKUP(AW$5,Coords[],4,FALSE))^2)))</f>
        <v>1000</v>
      </c>
      <c r="AX19" s="10">
        <f>IF($G19=AX$5,1000,IF(AX$4=0,1000,SQRT((VLOOKUP($G19,Coords[],3,FALSE)-VLOOKUP(AX$5,Coords[],3,FALSE))^2+(VLOOKUP($G19,Coords[],4,FALSE)-VLOOKUP(AX$5,Coords[],4,FALSE))^2)))</f>
        <v>1000</v>
      </c>
      <c r="AY19" s="10">
        <f>IF($G19=AY$5,1000,IF(AY$4=0,1000,SQRT((VLOOKUP($G19,Coords[],3,FALSE)-VLOOKUP(AY$5,Coords[],3,FALSE))^2+(VLOOKUP($G19,Coords[],4,FALSE)-VLOOKUP(AY$5,Coords[],4,FALSE))^2)))</f>
        <v>1000</v>
      </c>
      <c r="AZ19" s="10">
        <f>IF($G19=AZ$5,1000,IF(AZ$4=0,1000,SQRT((VLOOKUP($G19,Coords[],3,FALSE)-VLOOKUP(AZ$5,Coords[],3,FALSE))^2+(VLOOKUP($G19,Coords[],4,FALSE)-VLOOKUP(AZ$5,Coords[],4,FALSE))^2)))</f>
        <v>1000</v>
      </c>
      <c r="BA19" s="10">
        <f>IF($G19=BA$5,1000,IF(BA$4=0,1000,SQRT((VLOOKUP($G19,Coords[],3,FALSE)-VLOOKUP(BA$5,Coords[],3,FALSE))^2+(VLOOKUP($G19,Coords[],4,FALSE)-VLOOKUP(BA$5,Coords[],4,FALSE))^2)))</f>
        <v>1000</v>
      </c>
      <c r="BB19" s="10">
        <f>IF($G19=BB$5,1000,IF(BB$4=0,1000,SQRT((VLOOKUP($G19,Coords[],3,FALSE)-VLOOKUP(BB$5,Coords[],3,FALSE))^2+(VLOOKUP($G19,Coords[],4,FALSE)-VLOOKUP(BB$5,Coords[],4,FALSE))^2)))</f>
        <v>1000</v>
      </c>
      <c r="BC19" s="10">
        <f>IF($G19=BC$5,1000,IF(BC$4=0,1000,SQRT((VLOOKUP($G19,Coords[],3,FALSE)-VLOOKUP(BC$5,Coords[],3,FALSE))^2+(VLOOKUP($G19,Coords[],4,FALSE)-VLOOKUP(BC$5,Coords[],4,FALSE))^2)))</f>
        <v>1000</v>
      </c>
      <c r="BD19" s="10">
        <f>IF($G19=BD$5,1000,IF(BD$4=0,1000,SQRT((VLOOKUP($G19,Coords[],3,FALSE)-VLOOKUP(BD$5,Coords[],3,FALSE))^2+(VLOOKUP($G19,Coords[],4,FALSE)-VLOOKUP(BD$5,Coords[],4,FALSE))^2)))</f>
        <v>1000</v>
      </c>
      <c r="BE19" s="10">
        <f>IF($G19=BE$5,1000,IF(BE$4=0,1000,SQRT((VLOOKUP($G19,Coords[],3,FALSE)-VLOOKUP(BE$5,Coords[],3,FALSE))^2+(VLOOKUP($G19,Coords[],4,FALSE)-VLOOKUP(BE$5,Coords[],4,FALSE))^2)))</f>
        <v>1000</v>
      </c>
      <c r="BF19" s="10">
        <f>IF($G19=BF$5,1000,IF(BF$4=0,1000,SQRT((VLOOKUP($G19,Coords[],3,FALSE)-VLOOKUP(BF$5,Coords[],3,FALSE))^2+(VLOOKUP($G19,Coords[],4,FALSE)-VLOOKUP(BF$5,Coords[],4,FALSE))^2)))</f>
        <v>1000</v>
      </c>
      <c r="BG19" s="4">
        <v>14</v>
      </c>
      <c r="BI19" s="5">
        <f>IF(E19=1,0,VLOOKUP($G19,$G$6:$BF$57,HLOOKUP(MIN(H19:BF19),$H19:$BF$57,((COUNT($G$6:$G$56)+2)-$G19),FALSE),FALSE)*B19)</f>
        <v>762.87089340202249</v>
      </c>
      <c r="BJ19" s="9">
        <f>VLOOKUP($G19,$G$6:$BF$57,HLOOKUP(MIN(H19:BF19),$H19:$BF$57,((COUNT($G$6:$G$56)+2)-$G19),FALSE),FALSE)</f>
        <v>26.305892875931811</v>
      </c>
      <c r="BK19" s="7">
        <f>HLOOKUP(MIN(H19:BF19),$H19:$BF$57,((COUNT($G$6:$G$56)+2)-$G19),FALSE)</f>
        <v>33</v>
      </c>
      <c r="BL19">
        <f>BJ19*Coords[[#This Row],[Demand]]</f>
        <v>762.87089340202249</v>
      </c>
      <c r="BN19">
        <v>14</v>
      </c>
      <c r="BO19">
        <v>8344.0799102754736</v>
      </c>
      <c r="BP19">
        <v>10406.948696766627</v>
      </c>
    </row>
    <row r="20" spans="1:68" x14ac:dyDescent="0.25">
      <c r="A20" s="8">
        <v>15</v>
      </c>
      <c r="B20" s="3">
        <v>13</v>
      </c>
      <c r="C20" s="3">
        <v>36</v>
      </c>
      <c r="D20" s="3">
        <v>16</v>
      </c>
      <c r="E20">
        <v>0</v>
      </c>
      <c r="G20" s="4">
        <v>15</v>
      </c>
      <c r="H20" s="10">
        <f>IF($G20=H$5,1000,IF(H$4=0,1000,SQRT((VLOOKUP($G20,Coords[],3,FALSE)-VLOOKUP(H$5,Coords[],3,FALSE))^2+(VLOOKUP($G20,Coords[],4,FALSE)-VLOOKUP(H$5,Coords[],4,FALSE))^2)))</f>
        <v>1000</v>
      </c>
      <c r="I20" s="10">
        <f>IF($G20=I$5,1000,IF(I$4=0,1000,SQRT((VLOOKUP($G20,Coords[],3,FALSE)-VLOOKUP(I$5,Coords[],3,FALSE))^2+(VLOOKUP($G20,Coords[],4,FALSE)-VLOOKUP(I$5,Coords[],4,FALSE))^2)))</f>
        <v>1000</v>
      </c>
      <c r="J20" s="10">
        <f>IF($G20=J$5,1000,IF(J$4=0,1000,SQRT((VLOOKUP($G20,Coords[],3,FALSE)-VLOOKUP(J$5,Coords[],3,FALSE))^2+(VLOOKUP($G20,Coords[],4,FALSE)-VLOOKUP(J$5,Coords[],4,FALSE))^2)))</f>
        <v>1000</v>
      </c>
      <c r="K20" s="10">
        <f>IF($G20=K$5,1000,IF(K$4=0,1000,SQRT((VLOOKUP($G20,Coords[],3,FALSE)-VLOOKUP(K$5,Coords[],3,FALSE))^2+(VLOOKUP($G20,Coords[],4,FALSE)-VLOOKUP(K$5,Coords[],4,FALSE))^2)))</f>
        <v>1000</v>
      </c>
      <c r="L20" s="10">
        <f>IF($G20=L$5,1000,IF(L$4=0,1000,SQRT((VLOOKUP($G20,Coords[],3,FALSE)-VLOOKUP(L$5,Coords[],3,FALSE))^2+(VLOOKUP($G20,Coords[],4,FALSE)-VLOOKUP(L$5,Coords[],4,FALSE))^2)))</f>
        <v>1000</v>
      </c>
      <c r="M20" s="10">
        <f>IF($G20=M$5,1000,IF(M$4=0,1000,SQRT((VLOOKUP($G20,Coords[],3,FALSE)-VLOOKUP(M$5,Coords[],3,FALSE))^2+(VLOOKUP($G20,Coords[],4,FALSE)-VLOOKUP(M$5,Coords[],4,FALSE))^2)))</f>
        <v>1000</v>
      </c>
      <c r="N20" s="10">
        <f>IF($G20=N$5,1000,IF(N$4=0,1000,SQRT((VLOOKUP($G20,Coords[],3,FALSE)-VLOOKUP(N$5,Coords[],3,FALSE))^2+(VLOOKUP($G20,Coords[],4,FALSE)-VLOOKUP(N$5,Coords[],4,FALSE))^2)))</f>
        <v>1000</v>
      </c>
      <c r="O20" s="10">
        <f>IF($G20=O$5,1000,IF(O$4=0,1000,SQRT((VLOOKUP($G20,Coords[],3,FALSE)-VLOOKUP(O$5,Coords[],3,FALSE))^2+(VLOOKUP($G20,Coords[],4,FALSE)-VLOOKUP(O$5,Coords[],4,FALSE))^2)))</f>
        <v>46.270941205037097</v>
      </c>
      <c r="P20" s="10">
        <f>IF($G20=P$5,1000,IF(P$4=0,1000,SQRT((VLOOKUP($G20,Coords[],3,FALSE)-VLOOKUP(P$5,Coords[],3,FALSE))^2+(VLOOKUP($G20,Coords[],4,FALSE)-VLOOKUP(P$5,Coords[],4,FALSE))^2)))</f>
        <v>1000</v>
      </c>
      <c r="Q20" s="10">
        <f>IF($G20=Q$5,1000,IF(Q$4=0,1000,SQRT((VLOOKUP($G20,Coords[],3,FALSE)-VLOOKUP(Q$5,Coords[],3,FALSE))^2+(VLOOKUP($G20,Coords[],4,FALSE)-VLOOKUP(Q$5,Coords[],4,FALSE))^2)))</f>
        <v>1000</v>
      </c>
      <c r="R20" s="10">
        <f>IF($G20=R$5,1000,IF(R$4=0,1000,SQRT((VLOOKUP($G20,Coords[],3,FALSE)-VLOOKUP(R$5,Coords[],3,FALSE))^2+(VLOOKUP($G20,Coords[],4,FALSE)-VLOOKUP(R$5,Coords[],4,FALSE))^2)))</f>
        <v>1000</v>
      </c>
      <c r="S20" s="10">
        <f>IF($G20=S$5,1000,IF(S$4=0,1000,SQRT((VLOOKUP($G20,Coords[],3,FALSE)-VLOOKUP(S$5,Coords[],3,FALSE))^2+(VLOOKUP($G20,Coords[],4,FALSE)-VLOOKUP(S$5,Coords[],4,FALSE))^2)))</f>
        <v>1000</v>
      </c>
      <c r="T20" s="10">
        <f>IF($G20=T$5,1000,IF(T$4=0,1000,SQRT((VLOOKUP($G20,Coords[],3,FALSE)-VLOOKUP(T$5,Coords[],3,FALSE))^2+(VLOOKUP($G20,Coords[],4,FALSE)-VLOOKUP(T$5,Coords[],4,FALSE))^2)))</f>
        <v>1000</v>
      </c>
      <c r="U20" s="10">
        <f>IF($G20=U$5,1000,IF(U$4=0,1000,SQRT((VLOOKUP($G20,Coords[],3,FALSE)-VLOOKUP(U$5,Coords[],3,FALSE))^2+(VLOOKUP($G20,Coords[],4,FALSE)-VLOOKUP(U$5,Coords[],4,FALSE))^2)))</f>
        <v>1000</v>
      </c>
      <c r="V20" s="10">
        <f>IF($G20=V$5,1000,IF(V$4=0,1000,SQRT((VLOOKUP($G20,Coords[],3,FALSE)-VLOOKUP(V$5,Coords[],3,FALSE))^2+(VLOOKUP($G20,Coords[],4,FALSE)-VLOOKUP(V$5,Coords[],4,FALSE))^2)))</f>
        <v>1000</v>
      </c>
      <c r="W20" s="10">
        <f>IF($G20=W$5,1000,IF(W$4=0,1000,SQRT((VLOOKUP($G20,Coords[],3,FALSE)-VLOOKUP(W$5,Coords[],3,FALSE))^2+(VLOOKUP($G20,Coords[],4,FALSE)-VLOOKUP(W$5,Coords[],4,FALSE))^2)))</f>
        <v>1000</v>
      </c>
      <c r="X20" s="10">
        <f>IF($G20=X$5,1000,IF(X$4=0,1000,SQRT((VLOOKUP($G20,Coords[],3,FALSE)-VLOOKUP(X$5,Coords[],3,FALSE))^2+(VLOOKUP($G20,Coords[],4,FALSE)-VLOOKUP(X$5,Coords[],4,FALSE))^2)))</f>
        <v>1000</v>
      </c>
      <c r="Y20" s="10">
        <f>IF($G20=Y$5,1000,IF(Y$4=0,1000,SQRT((VLOOKUP($G20,Coords[],3,FALSE)-VLOOKUP(Y$5,Coords[],3,FALSE))^2+(VLOOKUP($G20,Coords[],4,FALSE)-VLOOKUP(Y$5,Coords[],4,FALSE))^2)))</f>
        <v>1000</v>
      </c>
      <c r="Z20" s="10">
        <f>IF($G20=Z$5,1000,IF(Z$4=0,1000,SQRT((VLOOKUP($G20,Coords[],3,FALSE)-VLOOKUP(Z$5,Coords[],3,FALSE))^2+(VLOOKUP($G20,Coords[],4,FALSE)-VLOOKUP(Z$5,Coords[],4,FALSE))^2)))</f>
        <v>1000</v>
      </c>
      <c r="AA20" s="10">
        <f>IF($G20=AA$5,1000,IF(AA$4=0,1000,SQRT((VLOOKUP($G20,Coords[],3,FALSE)-VLOOKUP(AA$5,Coords[],3,FALSE))^2+(VLOOKUP($G20,Coords[],4,FALSE)-VLOOKUP(AA$5,Coords[],4,FALSE))^2)))</f>
        <v>46.957427527495582</v>
      </c>
      <c r="AB20" s="10">
        <f>IF($G20=AB$5,1000,IF(AB$4=0,1000,SQRT((VLOOKUP($G20,Coords[],3,FALSE)-VLOOKUP(AB$5,Coords[],3,FALSE))^2+(VLOOKUP($G20,Coords[],4,FALSE)-VLOOKUP(AB$5,Coords[],4,FALSE))^2)))</f>
        <v>1000</v>
      </c>
      <c r="AC20" s="10">
        <f>IF($G20=AC$5,1000,IF(AC$4=0,1000,SQRT((VLOOKUP($G20,Coords[],3,FALSE)-VLOOKUP(AC$5,Coords[],3,FALSE))^2+(VLOOKUP($G20,Coords[],4,FALSE)-VLOOKUP(AC$5,Coords[],4,FALSE))^2)))</f>
        <v>1000</v>
      </c>
      <c r="AD20" s="10">
        <f>IF($G20=AD$5,1000,IF(AD$4=0,1000,SQRT((VLOOKUP($G20,Coords[],3,FALSE)-VLOOKUP(AD$5,Coords[],3,FALSE))^2+(VLOOKUP($G20,Coords[],4,FALSE)-VLOOKUP(AD$5,Coords[],4,FALSE))^2)))</f>
        <v>1000</v>
      </c>
      <c r="AE20" s="10">
        <f>IF($G20=AE$5,1000,IF(AE$4=0,1000,SQRT((VLOOKUP($G20,Coords[],3,FALSE)-VLOOKUP(AE$5,Coords[],3,FALSE))^2+(VLOOKUP($G20,Coords[],4,FALSE)-VLOOKUP(AE$5,Coords[],4,FALSE))^2)))</f>
        <v>1000</v>
      </c>
      <c r="AF20" s="10">
        <f>IF($G20=AF$5,1000,IF(AF$4=0,1000,SQRT((VLOOKUP($G20,Coords[],3,FALSE)-VLOOKUP(AF$5,Coords[],3,FALSE))^2+(VLOOKUP($G20,Coords[],4,FALSE)-VLOOKUP(AF$5,Coords[],4,FALSE))^2)))</f>
        <v>1000</v>
      </c>
      <c r="AG20" s="10">
        <f>IF($G20=AG$5,1000,IF(AG$4=0,1000,SQRT((VLOOKUP($G20,Coords[],3,FALSE)-VLOOKUP(AG$5,Coords[],3,FALSE))^2+(VLOOKUP($G20,Coords[],4,FALSE)-VLOOKUP(AG$5,Coords[],4,FALSE))^2)))</f>
        <v>1000</v>
      </c>
      <c r="AH20" s="10">
        <f>IF($G20=AH$5,1000,IF(AH$4=0,1000,SQRT((VLOOKUP($G20,Coords[],3,FALSE)-VLOOKUP(AH$5,Coords[],3,FALSE))^2+(VLOOKUP($G20,Coords[],4,FALSE)-VLOOKUP(AH$5,Coords[],4,FALSE))^2)))</f>
        <v>1000</v>
      </c>
      <c r="AI20" s="10">
        <f>IF($G20=AI$5,1000,IF(AI$4=0,1000,SQRT((VLOOKUP($G20,Coords[],3,FALSE)-VLOOKUP(AI$5,Coords[],3,FALSE))^2+(VLOOKUP($G20,Coords[],4,FALSE)-VLOOKUP(AI$5,Coords[],4,FALSE))^2)))</f>
        <v>1000</v>
      </c>
      <c r="AJ20" s="10">
        <f>IF($G20=AJ$5,1000,IF(AJ$4=0,1000,SQRT((VLOOKUP($G20,Coords[],3,FALSE)-VLOOKUP(AJ$5,Coords[],3,FALSE))^2+(VLOOKUP($G20,Coords[],4,FALSE)-VLOOKUP(AJ$5,Coords[],4,FALSE))^2)))</f>
        <v>38.832975677895199</v>
      </c>
      <c r="AK20" s="10">
        <f>IF($G20=AK$5,1000,IF(AK$4=0,1000,SQRT((VLOOKUP($G20,Coords[],3,FALSE)-VLOOKUP(AK$5,Coords[],3,FALSE))^2+(VLOOKUP($G20,Coords[],4,FALSE)-VLOOKUP(AK$5,Coords[],4,FALSE))^2)))</f>
        <v>1000</v>
      </c>
      <c r="AL20" s="10">
        <f>IF($G20=AL$5,1000,IF(AL$4=0,1000,SQRT((VLOOKUP($G20,Coords[],3,FALSE)-VLOOKUP(AL$5,Coords[],3,FALSE))^2+(VLOOKUP($G20,Coords[],4,FALSE)-VLOOKUP(AL$5,Coords[],4,FALSE))^2)))</f>
        <v>1000</v>
      </c>
      <c r="AM20" s="10">
        <f>IF($G20=AM$5,1000,IF(AM$4=0,1000,SQRT((VLOOKUP($G20,Coords[],3,FALSE)-VLOOKUP(AM$5,Coords[],3,FALSE))^2+(VLOOKUP($G20,Coords[],4,FALSE)-VLOOKUP(AM$5,Coords[],4,FALSE))^2)))</f>
        <v>30.066592756745816</v>
      </c>
      <c r="AN20" s="10">
        <f>IF($G20=AN$5,1000,IF(AN$4=0,1000,SQRT((VLOOKUP($G20,Coords[],3,FALSE)-VLOOKUP(AN$5,Coords[],3,FALSE))^2+(VLOOKUP($G20,Coords[],4,FALSE)-VLOOKUP(AN$5,Coords[],4,FALSE))^2)))</f>
        <v>1000</v>
      </c>
      <c r="AO20" s="10">
        <f>IF($G20=AO$5,1000,IF(AO$4=0,1000,SQRT((VLOOKUP($G20,Coords[],3,FALSE)-VLOOKUP(AO$5,Coords[],3,FALSE))^2+(VLOOKUP($G20,Coords[],4,FALSE)-VLOOKUP(AO$5,Coords[],4,FALSE))^2)))</f>
        <v>1000</v>
      </c>
      <c r="AP20" s="10">
        <f>IF($G20=AP$5,1000,IF(AP$4=0,1000,SQRT((VLOOKUP($G20,Coords[],3,FALSE)-VLOOKUP(AP$5,Coords[],3,FALSE))^2+(VLOOKUP($G20,Coords[],4,FALSE)-VLOOKUP(AP$5,Coords[],4,FALSE))^2)))</f>
        <v>1000</v>
      </c>
      <c r="AQ20" s="10">
        <f>IF($G20=AQ$5,1000,IF(AQ$4=0,1000,SQRT((VLOOKUP($G20,Coords[],3,FALSE)-VLOOKUP(AQ$5,Coords[],3,FALSE))^2+(VLOOKUP($G20,Coords[],4,FALSE)-VLOOKUP(AQ$5,Coords[],4,FALSE))^2)))</f>
        <v>1000</v>
      </c>
      <c r="AR20" s="10">
        <f>IF($G20=AR$5,1000,IF(AR$4=0,1000,SQRT((VLOOKUP($G20,Coords[],3,FALSE)-VLOOKUP(AR$5,Coords[],3,FALSE))^2+(VLOOKUP($G20,Coords[],4,FALSE)-VLOOKUP(AR$5,Coords[],4,FALSE))^2)))</f>
        <v>1000</v>
      </c>
      <c r="AS20" s="10">
        <f>IF($G20=AS$5,1000,IF(AS$4=0,1000,SQRT((VLOOKUP($G20,Coords[],3,FALSE)-VLOOKUP(AS$5,Coords[],3,FALSE))^2+(VLOOKUP($G20,Coords[],4,FALSE)-VLOOKUP(AS$5,Coords[],4,FALSE))^2)))</f>
        <v>1000</v>
      </c>
      <c r="AT20" s="10">
        <f>IF($G20=AT$5,1000,IF(AT$4=0,1000,SQRT((VLOOKUP($G20,Coords[],3,FALSE)-VLOOKUP(AT$5,Coords[],3,FALSE))^2+(VLOOKUP($G20,Coords[],4,FALSE)-VLOOKUP(AT$5,Coords[],4,FALSE))^2)))</f>
        <v>1000</v>
      </c>
      <c r="AU20" s="10">
        <f>IF($G20=AU$5,1000,IF(AU$4=0,1000,SQRT((VLOOKUP($G20,Coords[],3,FALSE)-VLOOKUP(AU$5,Coords[],3,FALSE))^2+(VLOOKUP($G20,Coords[],4,FALSE)-VLOOKUP(AU$5,Coords[],4,FALSE))^2)))</f>
        <v>1000</v>
      </c>
      <c r="AV20" s="10">
        <f>IF($G20=AV$5,1000,IF(AV$4=0,1000,SQRT((VLOOKUP($G20,Coords[],3,FALSE)-VLOOKUP(AV$5,Coords[],3,FALSE))^2+(VLOOKUP($G20,Coords[],4,FALSE)-VLOOKUP(AV$5,Coords[],4,FALSE))^2)))</f>
        <v>1000</v>
      </c>
      <c r="AW20" s="10">
        <f>IF($G20=AW$5,1000,IF(AW$4=0,1000,SQRT((VLOOKUP($G20,Coords[],3,FALSE)-VLOOKUP(AW$5,Coords[],3,FALSE))^2+(VLOOKUP($G20,Coords[],4,FALSE)-VLOOKUP(AW$5,Coords[],4,FALSE))^2)))</f>
        <v>1000</v>
      </c>
      <c r="AX20" s="10">
        <f>IF($G20=AX$5,1000,IF(AX$4=0,1000,SQRT((VLOOKUP($G20,Coords[],3,FALSE)-VLOOKUP(AX$5,Coords[],3,FALSE))^2+(VLOOKUP($G20,Coords[],4,FALSE)-VLOOKUP(AX$5,Coords[],4,FALSE))^2)))</f>
        <v>1000</v>
      </c>
      <c r="AY20" s="10">
        <f>IF($G20=AY$5,1000,IF(AY$4=0,1000,SQRT((VLOOKUP($G20,Coords[],3,FALSE)-VLOOKUP(AY$5,Coords[],3,FALSE))^2+(VLOOKUP($G20,Coords[],4,FALSE)-VLOOKUP(AY$5,Coords[],4,FALSE))^2)))</f>
        <v>1000</v>
      </c>
      <c r="AZ20" s="10">
        <f>IF($G20=AZ$5,1000,IF(AZ$4=0,1000,SQRT((VLOOKUP($G20,Coords[],3,FALSE)-VLOOKUP(AZ$5,Coords[],3,FALSE))^2+(VLOOKUP($G20,Coords[],4,FALSE)-VLOOKUP(AZ$5,Coords[],4,FALSE))^2)))</f>
        <v>1000</v>
      </c>
      <c r="BA20" s="10">
        <f>IF($G20=BA$5,1000,IF(BA$4=0,1000,SQRT((VLOOKUP($G20,Coords[],3,FALSE)-VLOOKUP(BA$5,Coords[],3,FALSE))^2+(VLOOKUP($G20,Coords[],4,FALSE)-VLOOKUP(BA$5,Coords[],4,FALSE))^2)))</f>
        <v>1000</v>
      </c>
      <c r="BB20" s="10">
        <f>IF($G20=BB$5,1000,IF(BB$4=0,1000,SQRT((VLOOKUP($G20,Coords[],3,FALSE)-VLOOKUP(BB$5,Coords[],3,FALSE))^2+(VLOOKUP($G20,Coords[],4,FALSE)-VLOOKUP(BB$5,Coords[],4,FALSE))^2)))</f>
        <v>1000</v>
      </c>
      <c r="BC20" s="10">
        <f>IF($G20=BC$5,1000,IF(BC$4=0,1000,SQRT((VLOOKUP($G20,Coords[],3,FALSE)-VLOOKUP(BC$5,Coords[],3,FALSE))^2+(VLOOKUP($G20,Coords[],4,FALSE)-VLOOKUP(BC$5,Coords[],4,FALSE))^2)))</f>
        <v>1000</v>
      </c>
      <c r="BD20" s="10">
        <f>IF($G20=BD$5,1000,IF(BD$4=0,1000,SQRT((VLOOKUP($G20,Coords[],3,FALSE)-VLOOKUP(BD$5,Coords[],3,FALSE))^2+(VLOOKUP($G20,Coords[],4,FALSE)-VLOOKUP(BD$5,Coords[],4,FALSE))^2)))</f>
        <v>1000</v>
      </c>
      <c r="BE20" s="10">
        <f>IF($G20=BE$5,1000,IF(BE$4=0,1000,SQRT((VLOOKUP($G20,Coords[],3,FALSE)-VLOOKUP(BE$5,Coords[],3,FALSE))^2+(VLOOKUP($G20,Coords[],4,FALSE)-VLOOKUP(BE$5,Coords[],4,FALSE))^2)))</f>
        <v>1000</v>
      </c>
      <c r="BF20" s="10">
        <f>IF($G20=BF$5,1000,IF(BF$4=0,1000,SQRT((VLOOKUP($G20,Coords[],3,FALSE)-VLOOKUP(BF$5,Coords[],3,FALSE))^2+(VLOOKUP($G20,Coords[],4,FALSE)-VLOOKUP(BF$5,Coords[],4,FALSE))^2)))</f>
        <v>1000</v>
      </c>
      <c r="BG20" s="4">
        <v>15</v>
      </c>
      <c r="BI20" s="5">
        <f>IF(E20=1,0,VLOOKUP($G20,$G$6:$BF$57,HLOOKUP(MIN(H20:BF20),$H20:$BF$57,((COUNT($G$6:$G$56)+2)-$G20),FALSE),FALSE)*B20)</f>
        <v>390.8657058376956</v>
      </c>
      <c r="BJ20" s="9">
        <f>VLOOKUP($G20,$G$6:$BF$57,HLOOKUP(MIN(H20:BF20),$H20:$BF$57,((COUNT($G$6:$G$56)+2)-$G20),FALSE),FALSE)</f>
        <v>30.066592756745816</v>
      </c>
      <c r="BK20" s="7">
        <f>HLOOKUP(MIN(H20:BF20),$H20:$BF$57,((COUNT($G$6:$G$56)+2)-$G20),FALSE)</f>
        <v>33</v>
      </c>
      <c r="BL20">
        <f>BJ20*Coords[[#This Row],[Demand]]</f>
        <v>390.8657058376956</v>
      </c>
      <c r="BN20">
        <v>15</v>
      </c>
      <c r="BO20">
        <v>8221.1652185553921</v>
      </c>
      <c r="BP20">
        <v>9660.5725567739082</v>
      </c>
    </row>
    <row r="21" spans="1:68" x14ac:dyDescent="0.25">
      <c r="A21" s="8">
        <v>16</v>
      </c>
      <c r="B21" s="3">
        <v>14</v>
      </c>
      <c r="C21" s="3">
        <v>52</v>
      </c>
      <c r="D21" s="3">
        <v>41</v>
      </c>
      <c r="E21">
        <v>0</v>
      </c>
      <c r="G21" s="4">
        <v>16</v>
      </c>
      <c r="H21" s="10">
        <f>IF($G21=H$5,1000,IF(H$4=0,1000,SQRT((VLOOKUP($G21,Coords[],3,FALSE)-VLOOKUP(H$5,Coords[],3,FALSE))^2+(VLOOKUP($G21,Coords[],4,FALSE)-VLOOKUP(H$5,Coords[],4,FALSE))^2)))</f>
        <v>1000</v>
      </c>
      <c r="I21" s="10">
        <f>IF($G21=I$5,1000,IF(I$4=0,1000,SQRT((VLOOKUP($G21,Coords[],3,FALSE)-VLOOKUP(I$5,Coords[],3,FALSE))^2+(VLOOKUP($G21,Coords[],4,FALSE)-VLOOKUP(I$5,Coords[],4,FALSE))^2)))</f>
        <v>1000</v>
      </c>
      <c r="J21" s="10">
        <f>IF($G21=J$5,1000,IF(J$4=0,1000,SQRT((VLOOKUP($G21,Coords[],3,FALSE)-VLOOKUP(J$5,Coords[],3,FALSE))^2+(VLOOKUP($G21,Coords[],4,FALSE)-VLOOKUP(J$5,Coords[],4,FALSE))^2)))</f>
        <v>1000</v>
      </c>
      <c r="K21" s="10">
        <f>IF($G21=K$5,1000,IF(K$4=0,1000,SQRT((VLOOKUP($G21,Coords[],3,FALSE)-VLOOKUP(K$5,Coords[],3,FALSE))^2+(VLOOKUP($G21,Coords[],4,FALSE)-VLOOKUP(K$5,Coords[],4,FALSE))^2)))</f>
        <v>1000</v>
      </c>
      <c r="L21" s="10">
        <f>IF($G21=L$5,1000,IF(L$4=0,1000,SQRT((VLOOKUP($G21,Coords[],3,FALSE)-VLOOKUP(L$5,Coords[],3,FALSE))^2+(VLOOKUP($G21,Coords[],4,FALSE)-VLOOKUP(L$5,Coords[],4,FALSE))^2)))</f>
        <v>1000</v>
      </c>
      <c r="M21" s="10">
        <f>IF($G21=M$5,1000,IF(M$4=0,1000,SQRT((VLOOKUP($G21,Coords[],3,FALSE)-VLOOKUP(M$5,Coords[],3,FALSE))^2+(VLOOKUP($G21,Coords[],4,FALSE)-VLOOKUP(M$5,Coords[],4,FALSE))^2)))</f>
        <v>1000</v>
      </c>
      <c r="N21" s="10">
        <f>IF($G21=N$5,1000,IF(N$4=0,1000,SQRT((VLOOKUP($G21,Coords[],3,FALSE)-VLOOKUP(N$5,Coords[],3,FALSE))^2+(VLOOKUP($G21,Coords[],4,FALSE)-VLOOKUP(N$5,Coords[],4,FALSE))^2)))</f>
        <v>1000</v>
      </c>
      <c r="O21" s="10">
        <f>IF($G21=O$5,1000,IF(O$4=0,1000,SQRT((VLOOKUP($G21,Coords[],3,FALSE)-VLOOKUP(O$5,Coords[],3,FALSE))^2+(VLOOKUP($G21,Coords[],4,FALSE)-VLOOKUP(O$5,Coords[],4,FALSE))^2)))</f>
        <v>29.698484809834994</v>
      </c>
      <c r="P21" s="10">
        <f>IF($G21=P$5,1000,IF(P$4=0,1000,SQRT((VLOOKUP($G21,Coords[],3,FALSE)-VLOOKUP(P$5,Coords[],3,FALSE))^2+(VLOOKUP($G21,Coords[],4,FALSE)-VLOOKUP(P$5,Coords[],4,FALSE))^2)))</f>
        <v>1000</v>
      </c>
      <c r="Q21" s="10">
        <f>IF($G21=Q$5,1000,IF(Q$4=0,1000,SQRT((VLOOKUP($G21,Coords[],3,FALSE)-VLOOKUP(Q$5,Coords[],3,FALSE))^2+(VLOOKUP($G21,Coords[],4,FALSE)-VLOOKUP(Q$5,Coords[],4,FALSE))^2)))</f>
        <v>1000</v>
      </c>
      <c r="R21" s="10">
        <f>IF($G21=R$5,1000,IF(R$4=0,1000,SQRT((VLOOKUP($G21,Coords[],3,FALSE)-VLOOKUP(R$5,Coords[],3,FALSE))^2+(VLOOKUP($G21,Coords[],4,FALSE)-VLOOKUP(R$5,Coords[],4,FALSE))^2)))</f>
        <v>1000</v>
      </c>
      <c r="S21" s="10">
        <f>IF($G21=S$5,1000,IF(S$4=0,1000,SQRT((VLOOKUP($G21,Coords[],3,FALSE)-VLOOKUP(S$5,Coords[],3,FALSE))^2+(VLOOKUP($G21,Coords[],4,FALSE)-VLOOKUP(S$5,Coords[],4,FALSE))^2)))</f>
        <v>1000</v>
      </c>
      <c r="T21" s="10">
        <f>IF($G21=T$5,1000,IF(T$4=0,1000,SQRT((VLOOKUP($G21,Coords[],3,FALSE)-VLOOKUP(T$5,Coords[],3,FALSE))^2+(VLOOKUP($G21,Coords[],4,FALSE)-VLOOKUP(T$5,Coords[],4,FALSE))^2)))</f>
        <v>1000</v>
      </c>
      <c r="U21" s="10">
        <f>IF($G21=U$5,1000,IF(U$4=0,1000,SQRT((VLOOKUP($G21,Coords[],3,FALSE)-VLOOKUP(U$5,Coords[],3,FALSE))^2+(VLOOKUP($G21,Coords[],4,FALSE)-VLOOKUP(U$5,Coords[],4,FALSE))^2)))</f>
        <v>1000</v>
      </c>
      <c r="V21" s="10">
        <f>IF($G21=V$5,1000,IF(V$4=0,1000,SQRT((VLOOKUP($G21,Coords[],3,FALSE)-VLOOKUP(V$5,Coords[],3,FALSE))^2+(VLOOKUP($G21,Coords[],4,FALSE)-VLOOKUP(V$5,Coords[],4,FALSE))^2)))</f>
        <v>1000</v>
      </c>
      <c r="W21" s="10">
        <f>IF($G21=W$5,1000,IF(W$4=0,1000,SQRT((VLOOKUP($G21,Coords[],3,FALSE)-VLOOKUP(W$5,Coords[],3,FALSE))^2+(VLOOKUP($G21,Coords[],4,FALSE)-VLOOKUP(W$5,Coords[],4,FALSE))^2)))</f>
        <v>1000</v>
      </c>
      <c r="X21" s="10">
        <f>IF($G21=X$5,1000,IF(X$4=0,1000,SQRT((VLOOKUP($G21,Coords[],3,FALSE)-VLOOKUP(X$5,Coords[],3,FALSE))^2+(VLOOKUP($G21,Coords[],4,FALSE)-VLOOKUP(X$5,Coords[],4,FALSE))^2)))</f>
        <v>1000</v>
      </c>
      <c r="Y21" s="10">
        <f>IF($G21=Y$5,1000,IF(Y$4=0,1000,SQRT((VLOOKUP($G21,Coords[],3,FALSE)-VLOOKUP(Y$5,Coords[],3,FALSE))^2+(VLOOKUP($G21,Coords[],4,FALSE)-VLOOKUP(Y$5,Coords[],4,FALSE))^2)))</f>
        <v>1000</v>
      </c>
      <c r="Z21" s="10">
        <f>IF($G21=Z$5,1000,IF(Z$4=0,1000,SQRT((VLOOKUP($G21,Coords[],3,FALSE)-VLOOKUP(Z$5,Coords[],3,FALSE))^2+(VLOOKUP($G21,Coords[],4,FALSE)-VLOOKUP(Z$5,Coords[],4,FALSE))^2)))</f>
        <v>1000</v>
      </c>
      <c r="AA21" s="10">
        <f>IF($G21=AA$5,1000,IF(AA$4=0,1000,SQRT((VLOOKUP($G21,Coords[],3,FALSE)-VLOOKUP(AA$5,Coords[],3,FALSE))^2+(VLOOKUP($G21,Coords[],4,FALSE)-VLOOKUP(AA$5,Coords[],4,FALSE))^2)))</f>
        <v>17.720045146669349</v>
      </c>
      <c r="AB21" s="10">
        <f>IF($G21=AB$5,1000,IF(AB$4=0,1000,SQRT((VLOOKUP($G21,Coords[],3,FALSE)-VLOOKUP(AB$5,Coords[],3,FALSE))^2+(VLOOKUP($G21,Coords[],4,FALSE)-VLOOKUP(AB$5,Coords[],4,FALSE))^2)))</f>
        <v>1000</v>
      </c>
      <c r="AC21" s="10">
        <f>IF($G21=AC$5,1000,IF(AC$4=0,1000,SQRT((VLOOKUP($G21,Coords[],3,FALSE)-VLOOKUP(AC$5,Coords[],3,FALSE))^2+(VLOOKUP($G21,Coords[],4,FALSE)-VLOOKUP(AC$5,Coords[],4,FALSE))^2)))</f>
        <v>1000</v>
      </c>
      <c r="AD21" s="10">
        <f>IF($G21=AD$5,1000,IF(AD$4=0,1000,SQRT((VLOOKUP($G21,Coords[],3,FALSE)-VLOOKUP(AD$5,Coords[],3,FALSE))^2+(VLOOKUP($G21,Coords[],4,FALSE)-VLOOKUP(AD$5,Coords[],4,FALSE))^2)))</f>
        <v>1000</v>
      </c>
      <c r="AE21" s="10">
        <f>IF($G21=AE$5,1000,IF(AE$4=0,1000,SQRT((VLOOKUP($G21,Coords[],3,FALSE)-VLOOKUP(AE$5,Coords[],3,FALSE))^2+(VLOOKUP($G21,Coords[],4,FALSE)-VLOOKUP(AE$5,Coords[],4,FALSE))^2)))</f>
        <v>1000</v>
      </c>
      <c r="AF21" s="10">
        <f>IF($G21=AF$5,1000,IF(AF$4=0,1000,SQRT((VLOOKUP($G21,Coords[],3,FALSE)-VLOOKUP(AF$5,Coords[],3,FALSE))^2+(VLOOKUP($G21,Coords[],4,FALSE)-VLOOKUP(AF$5,Coords[],4,FALSE))^2)))</f>
        <v>1000</v>
      </c>
      <c r="AG21" s="10">
        <f>IF($G21=AG$5,1000,IF(AG$4=0,1000,SQRT((VLOOKUP($G21,Coords[],3,FALSE)-VLOOKUP(AG$5,Coords[],3,FALSE))^2+(VLOOKUP($G21,Coords[],4,FALSE)-VLOOKUP(AG$5,Coords[],4,FALSE))^2)))</f>
        <v>1000</v>
      </c>
      <c r="AH21" s="10">
        <f>IF($G21=AH$5,1000,IF(AH$4=0,1000,SQRT((VLOOKUP($G21,Coords[],3,FALSE)-VLOOKUP(AH$5,Coords[],3,FALSE))^2+(VLOOKUP($G21,Coords[],4,FALSE)-VLOOKUP(AH$5,Coords[],4,FALSE))^2)))</f>
        <v>1000</v>
      </c>
      <c r="AI21" s="10">
        <f>IF($G21=AI$5,1000,IF(AI$4=0,1000,SQRT((VLOOKUP($G21,Coords[],3,FALSE)-VLOOKUP(AI$5,Coords[],3,FALSE))^2+(VLOOKUP($G21,Coords[],4,FALSE)-VLOOKUP(AI$5,Coords[],4,FALSE))^2)))</f>
        <v>1000</v>
      </c>
      <c r="AJ21" s="10">
        <f>IF($G21=AJ$5,1000,IF(AJ$4=0,1000,SQRT((VLOOKUP($G21,Coords[],3,FALSE)-VLOOKUP(AJ$5,Coords[],3,FALSE))^2+(VLOOKUP($G21,Coords[],4,FALSE)-VLOOKUP(AJ$5,Coords[],4,FALSE))^2)))</f>
        <v>9.2195444572928871</v>
      </c>
      <c r="AK21" s="10">
        <f>IF($G21=AK$5,1000,IF(AK$4=0,1000,SQRT((VLOOKUP($G21,Coords[],3,FALSE)-VLOOKUP(AK$5,Coords[],3,FALSE))^2+(VLOOKUP($G21,Coords[],4,FALSE)-VLOOKUP(AK$5,Coords[],4,FALSE))^2)))</f>
        <v>1000</v>
      </c>
      <c r="AL21" s="10">
        <f>IF($G21=AL$5,1000,IF(AL$4=0,1000,SQRT((VLOOKUP($G21,Coords[],3,FALSE)-VLOOKUP(AL$5,Coords[],3,FALSE))^2+(VLOOKUP($G21,Coords[],4,FALSE)-VLOOKUP(AL$5,Coords[],4,FALSE))^2)))</f>
        <v>1000</v>
      </c>
      <c r="AM21" s="10">
        <f>IF($G21=AM$5,1000,IF(AM$4=0,1000,SQRT((VLOOKUP($G21,Coords[],3,FALSE)-VLOOKUP(AM$5,Coords[],3,FALSE))^2+(VLOOKUP($G21,Coords[],4,FALSE)-VLOOKUP(AM$5,Coords[],4,FALSE))^2)))</f>
        <v>14.866068747318506</v>
      </c>
      <c r="AN21" s="10">
        <f>IF($G21=AN$5,1000,IF(AN$4=0,1000,SQRT((VLOOKUP($G21,Coords[],3,FALSE)-VLOOKUP(AN$5,Coords[],3,FALSE))^2+(VLOOKUP($G21,Coords[],4,FALSE)-VLOOKUP(AN$5,Coords[],4,FALSE))^2)))</f>
        <v>1000</v>
      </c>
      <c r="AO21" s="10">
        <f>IF($G21=AO$5,1000,IF(AO$4=0,1000,SQRT((VLOOKUP($G21,Coords[],3,FALSE)-VLOOKUP(AO$5,Coords[],3,FALSE))^2+(VLOOKUP($G21,Coords[],4,FALSE)-VLOOKUP(AO$5,Coords[],4,FALSE))^2)))</f>
        <v>1000</v>
      </c>
      <c r="AP21" s="10">
        <f>IF($G21=AP$5,1000,IF(AP$4=0,1000,SQRT((VLOOKUP($G21,Coords[],3,FALSE)-VLOOKUP(AP$5,Coords[],3,FALSE))^2+(VLOOKUP($G21,Coords[],4,FALSE)-VLOOKUP(AP$5,Coords[],4,FALSE))^2)))</f>
        <v>1000</v>
      </c>
      <c r="AQ21" s="10">
        <f>IF($G21=AQ$5,1000,IF(AQ$4=0,1000,SQRT((VLOOKUP($G21,Coords[],3,FALSE)-VLOOKUP(AQ$5,Coords[],3,FALSE))^2+(VLOOKUP($G21,Coords[],4,FALSE)-VLOOKUP(AQ$5,Coords[],4,FALSE))^2)))</f>
        <v>1000</v>
      </c>
      <c r="AR21" s="10">
        <f>IF($G21=AR$5,1000,IF(AR$4=0,1000,SQRT((VLOOKUP($G21,Coords[],3,FALSE)-VLOOKUP(AR$5,Coords[],3,FALSE))^2+(VLOOKUP($G21,Coords[],4,FALSE)-VLOOKUP(AR$5,Coords[],4,FALSE))^2)))</f>
        <v>1000</v>
      </c>
      <c r="AS21" s="10">
        <f>IF($G21=AS$5,1000,IF(AS$4=0,1000,SQRT((VLOOKUP($G21,Coords[],3,FALSE)-VLOOKUP(AS$5,Coords[],3,FALSE))^2+(VLOOKUP($G21,Coords[],4,FALSE)-VLOOKUP(AS$5,Coords[],4,FALSE))^2)))</f>
        <v>1000</v>
      </c>
      <c r="AT21" s="10">
        <f>IF($G21=AT$5,1000,IF(AT$4=0,1000,SQRT((VLOOKUP($G21,Coords[],3,FALSE)-VLOOKUP(AT$5,Coords[],3,FALSE))^2+(VLOOKUP($G21,Coords[],4,FALSE)-VLOOKUP(AT$5,Coords[],4,FALSE))^2)))</f>
        <v>1000</v>
      </c>
      <c r="AU21" s="10">
        <f>IF($G21=AU$5,1000,IF(AU$4=0,1000,SQRT((VLOOKUP($G21,Coords[],3,FALSE)-VLOOKUP(AU$5,Coords[],3,FALSE))^2+(VLOOKUP($G21,Coords[],4,FALSE)-VLOOKUP(AU$5,Coords[],4,FALSE))^2)))</f>
        <v>1000</v>
      </c>
      <c r="AV21" s="10">
        <f>IF($G21=AV$5,1000,IF(AV$4=0,1000,SQRT((VLOOKUP($G21,Coords[],3,FALSE)-VLOOKUP(AV$5,Coords[],3,FALSE))^2+(VLOOKUP($G21,Coords[],4,FALSE)-VLOOKUP(AV$5,Coords[],4,FALSE))^2)))</f>
        <v>1000</v>
      </c>
      <c r="AW21" s="10">
        <f>IF($G21=AW$5,1000,IF(AW$4=0,1000,SQRT((VLOOKUP($G21,Coords[],3,FALSE)-VLOOKUP(AW$5,Coords[],3,FALSE))^2+(VLOOKUP($G21,Coords[],4,FALSE)-VLOOKUP(AW$5,Coords[],4,FALSE))^2)))</f>
        <v>1000</v>
      </c>
      <c r="AX21" s="10">
        <f>IF($G21=AX$5,1000,IF(AX$4=0,1000,SQRT((VLOOKUP($G21,Coords[],3,FALSE)-VLOOKUP(AX$5,Coords[],3,FALSE))^2+(VLOOKUP($G21,Coords[],4,FALSE)-VLOOKUP(AX$5,Coords[],4,FALSE))^2)))</f>
        <v>1000</v>
      </c>
      <c r="AY21" s="10">
        <f>IF($G21=AY$5,1000,IF(AY$4=0,1000,SQRT((VLOOKUP($G21,Coords[],3,FALSE)-VLOOKUP(AY$5,Coords[],3,FALSE))^2+(VLOOKUP($G21,Coords[],4,FALSE)-VLOOKUP(AY$5,Coords[],4,FALSE))^2)))</f>
        <v>1000</v>
      </c>
      <c r="AZ21" s="10">
        <f>IF($G21=AZ$5,1000,IF(AZ$4=0,1000,SQRT((VLOOKUP($G21,Coords[],3,FALSE)-VLOOKUP(AZ$5,Coords[],3,FALSE))^2+(VLOOKUP($G21,Coords[],4,FALSE)-VLOOKUP(AZ$5,Coords[],4,FALSE))^2)))</f>
        <v>1000</v>
      </c>
      <c r="BA21" s="10">
        <f>IF($G21=BA$5,1000,IF(BA$4=0,1000,SQRT((VLOOKUP($G21,Coords[],3,FALSE)-VLOOKUP(BA$5,Coords[],3,FALSE))^2+(VLOOKUP($G21,Coords[],4,FALSE)-VLOOKUP(BA$5,Coords[],4,FALSE))^2)))</f>
        <v>1000</v>
      </c>
      <c r="BB21" s="10">
        <f>IF($G21=BB$5,1000,IF(BB$4=0,1000,SQRT((VLOOKUP($G21,Coords[],3,FALSE)-VLOOKUP(BB$5,Coords[],3,FALSE))^2+(VLOOKUP($G21,Coords[],4,FALSE)-VLOOKUP(BB$5,Coords[],4,FALSE))^2)))</f>
        <v>1000</v>
      </c>
      <c r="BC21" s="10">
        <f>IF($G21=BC$5,1000,IF(BC$4=0,1000,SQRT((VLOOKUP($G21,Coords[],3,FALSE)-VLOOKUP(BC$5,Coords[],3,FALSE))^2+(VLOOKUP($G21,Coords[],4,FALSE)-VLOOKUP(BC$5,Coords[],4,FALSE))^2)))</f>
        <v>1000</v>
      </c>
      <c r="BD21" s="10">
        <f>IF($G21=BD$5,1000,IF(BD$4=0,1000,SQRT((VLOOKUP($G21,Coords[],3,FALSE)-VLOOKUP(BD$5,Coords[],3,FALSE))^2+(VLOOKUP($G21,Coords[],4,FALSE)-VLOOKUP(BD$5,Coords[],4,FALSE))^2)))</f>
        <v>1000</v>
      </c>
      <c r="BE21" s="10">
        <f>IF($G21=BE$5,1000,IF(BE$4=0,1000,SQRT((VLOOKUP($G21,Coords[],3,FALSE)-VLOOKUP(BE$5,Coords[],3,FALSE))^2+(VLOOKUP($G21,Coords[],4,FALSE)-VLOOKUP(BE$5,Coords[],4,FALSE))^2)))</f>
        <v>1000</v>
      </c>
      <c r="BF21" s="10">
        <f>IF($G21=BF$5,1000,IF(BF$4=0,1000,SQRT((VLOOKUP($G21,Coords[],3,FALSE)-VLOOKUP(BF$5,Coords[],3,FALSE))^2+(VLOOKUP($G21,Coords[],4,FALSE)-VLOOKUP(BF$5,Coords[],4,FALSE))^2)))</f>
        <v>1000</v>
      </c>
      <c r="BG21" s="4">
        <v>16</v>
      </c>
      <c r="BI21" s="5">
        <f>IF(E21=1,0,VLOOKUP($G21,$G$6:$BF$57,HLOOKUP(MIN(H21:BF21),$H21:$BF$57,((COUNT($G$6:$G$56)+2)-$G21),FALSE),FALSE)*B21)</f>
        <v>129.07362240210043</v>
      </c>
      <c r="BJ21" s="9">
        <f>VLOOKUP($G21,$G$6:$BF$57,HLOOKUP(MIN(H21:BF21),$H21:$BF$57,((COUNT($G$6:$G$56)+2)-$G21),FALSE),FALSE)</f>
        <v>9.2195444572928871</v>
      </c>
      <c r="BK21" s="7">
        <f>HLOOKUP(MIN(H21:BF21),$H21:$BF$57,((COUNT($G$6:$G$56)+2)-$G21),FALSE)</f>
        <v>30</v>
      </c>
      <c r="BL21">
        <f>BJ21*Coords[[#This Row],[Demand]]</f>
        <v>129.07362240210043</v>
      </c>
      <c r="BN21">
        <v>16</v>
      </c>
      <c r="BO21">
        <v>8171.7830709678692</v>
      </c>
      <c r="BP21">
        <v>9118.2406840643798</v>
      </c>
    </row>
    <row r="22" spans="1:68" x14ac:dyDescent="0.25">
      <c r="A22" s="8">
        <v>17</v>
      </c>
      <c r="B22" s="3">
        <v>16</v>
      </c>
      <c r="C22" s="3">
        <v>27</v>
      </c>
      <c r="D22" s="3">
        <v>23</v>
      </c>
      <c r="E22">
        <v>0</v>
      </c>
      <c r="G22" s="4">
        <v>17</v>
      </c>
      <c r="H22" s="10">
        <f>IF($G22=H$5,1000,IF(H$4=0,1000,SQRT((VLOOKUP($G22,Coords[],3,FALSE)-VLOOKUP(H$5,Coords[],3,FALSE))^2+(VLOOKUP($G22,Coords[],4,FALSE)-VLOOKUP(H$5,Coords[],4,FALSE))^2)))</f>
        <v>1000</v>
      </c>
      <c r="I22" s="10">
        <f>IF($G22=I$5,1000,IF(I$4=0,1000,SQRT((VLOOKUP($G22,Coords[],3,FALSE)-VLOOKUP(I$5,Coords[],3,FALSE))^2+(VLOOKUP($G22,Coords[],4,FALSE)-VLOOKUP(I$5,Coords[],4,FALSE))^2)))</f>
        <v>1000</v>
      </c>
      <c r="J22" s="10">
        <f>IF($G22=J$5,1000,IF(J$4=0,1000,SQRT((VLOOKUP($G22,Coords[],3,FALSE)-VLOOKUP(J$5,Coords[],3,FALSE))^2+(VLOOKUP($G22,Coords[],4,FALSE)-VLOOKUP(J$5,Coords[],4,FALSE))^2)))</f>
        <v>1000</v>
      </c>
      <c r="K22" s="10">
        <f>IF($G22=K$5,1000,IF(K$4=0,1000,SQRT((VLOOKUP($G22,Coords[],3,FALSE)-VLOOKUP(K$5,Coords[],3,FALSE))^2+(VLOOKUP($G22,Coords[],4,FALSE)-VLOOKUP(K$5,Coords[],4,FALSE))^2)))</f>
        <v>1000</v>
      </c>
      <c r="L22" s="10">
        <f>IF($G22=L$5,1000,IF(L$4=0,1000,SQRT((VLOOKUP($G22,Coords[],3,FALSE)-VLOOKUP(L$5,Coords[],3,FALSE))^2+(VLOOKUP($G22,Coords[],4,FALSE)-VLOOKUP(L$5,Coords[],4,FALSE))^2)))</f>
        <v>1000</v>
      </c>
      <c r="M22" s="10">
        <f>IF($G22=M$5,1000,IF(M$4=0,1000,SQRT((VLOOKUP($G22,Coords[],3,FALSE)-VLOOKUP(M$5,Coords[],3,FALSE))^2+(VLOOKUP($G22,Coords[],4,FALSE)-VLOOKUP(M$5,Coords[],4,FALSE))^2)))</f>
        <v>1000</v>
      </c>
      <c r="N22" s="10">
        <f>IF($G22=N$5,1000,IF(N$4=0,1000,SQRT((VLOOKUP($G22,Coords[],3,FALSE)-VLOOKUP(N$5,Coords[],3,FALSE))^2+(VLOOKUP($G22,Coords[],4,FALSE)-VLOOKUP(N$5,Coords[],4,FALSE))^2)))</f>
        <v>1000</v>
      </c>
      <c r="O22" s="10">
        <f>IF($G22=O$5,1000,IF(O$4=0,1000,SQRT((VLOOKUP($G22,Coords[],3,FALSE)-VLOOKUP(O$5,Coords[],3,FALSE))^2+(VLOOKUP($G22,Coords[],4,FALSE)-VLOOKUP(O$5,Coords[],4,FALSE))^2)))</f>
        <v>39.204591567825318</v>
      </c>
      <c r="P22" s="10">
        <f>IF($G22=P$5,1000,IF(P$4=0,1000,SQRT((VLOOKUP($G22,Coords[],3,FALSE)-VLOOKUP(P$5,Coords[],3,FALSE))^2+(VLOOKUP($G22,Coords[],4,FALSE)-VLOOKUP(P$5,Coords[],4,FALSE))^2)))</f>
        <v>1000</v>
      </c>
      <c r="Q22" s="10">
        <f>IF($G22=Q$5,1000,IF(Q$4=0,1000,SQRT((VLOOKUP($G22,Coords[],3,FALSE)-VLOOKUP(Q$5,Coords[],3,FALSE))^2+(VLOOKUP($G22,Coords[],4,FALSE)-VLOOKUP(Q$5,Coords[],4,FALSE))^2)))</f>
        <v>1000</v>
      </c>
      <c r="R22" s="10">
        <f>IF($G22=R$5,1000,IF(R$4=0,1000,SQRT((VLOOKUP($G22,Coords[],3,FALSE)-VLOOKUP(R$5,Coords[],3,FALSE))^2+(VLOOKUP($G22,Coords[],4,FALSE)-VLOOKUP(R$5,Coords[],4,FALSE))^2)))</f>
        <v>1000</v>
      </c>
      <c r="S22" s="10">
        <f>IF($G22=S$5,1000,IF(S$4=0,1000,SQRT((VLOOKUP($G22,Coords[],3,FALSE)-VLOOKUP(S$5,Coords[],3,FALSE))^2+(VLOOKUP($G22,Coords[],4,FALSE)-VLOOKUP(S$5,Coords[],4,FALSE))^2)))</f>
        <v>1000</v>
      </c>
      <c r="T22" s="10">
        <f>IF($G22=T$5,1000,IF(T$4=0,1000,SQRT((VLOOKUP($G22,Coords[],3,FALSE)-VLOOKUP(T$5,Coords[],3,FALSE))^2+(VLOOKUP($G22,Coords[],4,FALSE)-VLOOKUP(T$5,Coords[],4,FALSE))^2)))</f>
        <v>1000</v>
      </c>
      <c r="U22" s="10">
        <f>IF($G22=U$5,1000,IF(U$4=0,1000,SQRT((VLOOKUP($G22,Coords[],3,FALSE)-VLOOKUP(U$5,Coords[],3,FALSE))^2+(VLOOKUP($G22,Coords[],4,FALSE)-VLOOKUP(U$5,Coords[],4,FALSE))^2)))</f>
        <v>1000</v>
      </c>
      <c r="V22" s="10">
        <f>IF($G22=V$5,1000,IF(V$4=0,1000,SQRT((VLOOKUP($G22,Coords[],3,FALSE)-VLOOKUP(V$5,Coords[],3,FALSE))^2+(VLOOKUP($G22,Coords[],4,FALSE)-VLOOKUP(V$5,Coords[],4,FALSE))^2)))</f>
        <v>1000</v>
      </c>
      <c r="W22" s="10">
        <f>IF($G22=W$5,1000,IF(W$4=0,1000,SQRT((VLOOKUP($G22,Coords[],3,FALSE)-VLOOKUP(W$5,Coords[],3,FALSE))^2+(VLOOKUP($G22,Coords[],4,FALSE)-VLOOKUP(W$5,Coords[],4,FALSE))^2)))</f>
        <v>1000</v>
      </c>
      <c r="X22" s="10">
        <f>IF($G22=X$5,1000,IF(X$4=0,1000,SQRT((VLOOKUP($G22,Coords[],3,FALSE)-VLOOKUP(X$5,Coords[],3,FALSE))^2+(VLOOKUP($G22,Coords[],4,FALSE)-VLOOKUP(X$5,Coords[],4,FALSE))^2)))</f>
        <v>1000</v>
      </c>
      <c r="Y22" s="10">
        <f>IF($G22=Y$5,1000,IF(Y$4=0,1000,SQRT((VLOOKUP($G22,Coords[],3,FALSE)-VLOOKUP(Y$5,Coords[],3,FALSE))^2+(VLOOKUP($G22,Coords[],4,FALSE)-VLOOKUP(Y$5,Coords[],4,FALSE))^2)))</f>
        <v>1000</v>
      </c>
      <c r="Z22" s="10">
        <f>IF($G22=Z$5,1000,IF(Z$4=0,1000,SQRT((VLOOKUP($G22,Coords[],3,FALSE)-VLOOKUP(Z$5,Coords[],3,FALSE))^2+(VLOOKUP($G22,Coords[],4,FALSE)-VLOOKUP(Z$5,Coords[],4,FALSE))^2)))</f>
        <v>1000</v>
      </c>
      <c r="AA22" s="10">
        <f>IF($G22=AA$5,1000,IF(AA$4=0,1000,SQRT((VLOOKUP($G22,Coords[],3,FALSE)-VLOOKUP(AA$5,Coords[],3,FALSE))^2+(VLOOKUP($G22,Coords[],4,FALSE)-VLOOKUP(AA$5,Coords[],4,FALSE))^2)))</f>
        <v>46.097722286464439</v>
      </c>
      <c r="AB22" s="10">
        <f>IF($G22=AB$5,1000,IF(AB$4=0,1000,SQRT((VLOOKUP($G22,Coords[],3,FALSE)-VLOOKUP(AB$5,Coords[],3,FALSE))^2+(VLOOKUP($G22,Coords[],4,FALSE)-VLOOKUP(AB$5,Coords[],4,FALSE))^2)))</f>
        <v>1000</v>
      </c>
      <c r="AC22" s="10">
        <f>IF($G22=AC$5,1000,IF(AC$4=0,1000,SQRT((VLOOKUP($G22,Coords[],3,FALSE)-VLOOKUP(AC$5,Coords[],3,FALSE))^2+(VLOOKUP($G22,Coords[],4,FALSE)-VLOOKUP(AC$5,Coords[],4,FALSE))^2)))</f>
        <v>1000</v>
      </c>
      <c r="AD22" s="10">
        <f>IF($G22=AD$5,1000,IF(AD$4=0,1000,SQRT((VLOOKUP($G22,Coords[],3,FALSE)-VLOOKUP(AD$5,Coords[],3,FALSE))^2+(VLOOKUP($G22,Coords[],4,FALSE)-VLOOKUP(AD$5,Coords[],4,FALSE))^2)))</f>
        <v>1000</v>
      </c>
      <c r="AE22" s="10">
        <f>IF($G22=AE$5,1000,IF(AE$4=0,1000,SQRT((VLOOKUP($G22,Coords[],3,FALSE)-VLOOKUP(AE$5,Coords[],3,FALSE))^2+(VLOOKUP($G22,Coords[],4,FALSE)-VLOOKUP(AE$5,Coords[],4,FALSE))^2)))</f>
        <v>1000</v>
      </c>
      <c r="AF22" s="10">
        <f>IF($G22=AF$5,1000,IF(AF$4=0,1000,SQRT((VLOOKUP($G22,Coords[],3,FALSE)-VLOOKUP(AF$5,Coords[],3,FALSE))^2+(VLOOKUP($G22,Coords[],4,FALSE)-VLOOKUP(AF$5,Coords[],4,FALSE))^2)))</f>
        <v>1000</v>
      </c>
      <c r="AG22" s="10">
        <f>IF($G22=AG$5,1000,IF(AG$4=0,1000,SQRT((VLOOKUP($G22,Coords[],3,FALSE)-VLOOKUP(AG$5,Coords[],3,FALSE))^2+(VLOOKUP($G22,Coords[],4,FALSE)-VLOOKUP(AG$5,Coords[],4,FALSE))^2)))</f>
        <v>1000</v>
      </c>
      <c r="AH22" s="10">
        <f>IF($G22=AH$5,1000,IF(AH$4=0,1000,SQRT((VLOOKUP($G22,Coords[],3,FALSE)-VLOOKUP(AH$5,Coords[],3,FALSE))^2+(VLOOKUP($G22,Coords[],4,FALSE)-VLOOKUP(AH$5,Coords[],4,FALSE))^2)))</f>
        <v>1000</v>
      </c>
      <c r="AI22" s="10">
        <f>IF($G22=AI$5,1000,IF(AI$4=0,1000,SQRT((VLOOKUP($G22,Coords[],3,FALSE)-VLOOKUP(AI$5,Coords[],3,FALSE))^2+(VLOOKUP($G22,Coords[],4,FALSE)-VLOOKUP(AI$5,Coords[],4,FALSE))^2)))</f>
        <v>1000</v>
      </c>
      <c r="AJ22" s="10">
        <f>IF($G22=AJ$5,1000,IF(AJ$4=0,1000,SQRT((VLOOKUP($G22,Coords[],3,FALSE)-VLOOKUP(AJ$5,Coords[],3,FALSE))^2+(VLOOKUP($G22,Coords[],4,FALSE)-VLOOKUP(AJ$5,Coords[],4,FALSE))^2)))</f>
        <v>39.824615503479755</v>
      </c>
      <c r="AK22" s="10">
        <f>IF($G22=AK$5,1000,IF(AK$4=0,1000,SQRT((VLOOKUP($G22,Coords[],3,FALSE)-VLOOKUP(AK$5,Coords[],3,FALSE))^2+(VLOOKUP($G22,Coords[],4,FALSE)-VLOOKUP(AK$5,Coords[],4,FALSE))^2)))</f>
        <v>1000</v>
      </c>
      <c r="AL22" s="10">
        <f>IF($G22=AL$5,1000,IF(AL$4=0,1000,SQRT((VLOOKUP($G22,Coords[],3,FALSE)-VLOOKUP(AL$5,Coords[],3,FALSE))^2+(VLOOKUP($G22,Coords[],4,FALSE)-VLOOKUP(AL$5,Coords[],4,FALSE))^2)))</f>
        <v>1000</v>
      </c>
      <c r="AM22" s="10">
        <f>IF($G22=AM$5,1000,IF(AM$4=0,1000,SQRT((VLOOKUP($G22,Coords[],3,FALSE)-VLOOKUP(AM$5,Coords[],3,FALSE))^2+(VLOOKUP($G22,Coords[],4,FALSE)-VLOOKUP(AM$5,Coords[],4,FALSE))^2)))</f>
        <v>25.495097567963924</v>
      </c>
      <c r="AN22" s="10">
        <f>IF($G22=AN$5,1000,IF(AN$4=0,1000,SQRT((VLOOKUP($G22,Coords[],3,FALSE)-VLOOKUP(AN$5,Coords[],3,FALSE))^2+(VLOOKUP($G22,Coords[],4,FALSE)-VLOOKUP(AN$5,Coords[],4,FALSE))^2)))</f>
        <v>1000</v>
      </c>
      <c r="AO22" s="10">
        <f>IF($G22=AO$5,1000,IF(AO$4=0,1000,SQRT((VLOOKUP($G22,Coords[],3,FALSE)-VLOOKUP(AO$5,Coords[],3,FALSE))^2+(VLOOKUP($G22,Coords[],4,FALSE)-VLOOKUP(AO$5,Coords[],4,FALSE))^2)))</f>
        <v>1000</v>
      </c>
      <c r="AP22" s="10">
        <f>IF($G22=AP$5,1000,IF(AP$4=0,1000,SQRT((VLOOKUP($G22,Coords[],3,FALSE)-VLOOKUP(AP$5,Coords[],3,FALSE))^2+(VLOOKUP($G22,Coords[],4,FALSE)-VLOOKUP(AP$5,Coords[],4,FALSE))^2)))</f>
        <v>1000</v>
      </c>
      <c r="AQ22" s="10">
        <f>IF($G22=AQ$5,1000,IF(AQ$4=0,1000,SQRT((VLOOKUP($G22,Coords[],3,FALSE)-VLOOKUP(AQ$5,Coords[],3,FALSE))^2+(VLOOKUP($G22,Coords[],4,FALSE)-VLOOKUP(AQ$5,Coords[],4,FALSE))^2)))</f>
        <v>1000</v>
      </c>
      <c r="AR22" s="10">
        <f>IF($G22=AR$5,1000,IF(AR$4=0,1000,SQRT((VLOOKUP($G22,Coords[],3,FALSE)-VLOOKUP(AR$5,Coords[],3,FALSE))^2+(VLOOKUP($G22,Coords[],4,FALSE)-VLOOKUP(AR$5,Coords[],4,FALSE))^2)))</f>
        <v>1000</v>
      </c>
      <c r="AS22" s="10">
        <f>IF($G22=AS$5,1000,IF(AS$4=0,1000,SQRT((VLOOKUP($G22,Coords[],3,FALSE)-VLOOKUP(AS$5,Coords[],3,FALSE))^2+(VLOOKUP($G22,Coords[],4,FALSE)-VLOOKUP(AS$5,Coords[],4,FALSE))^2)))</f>
        <v>1000</v>
      </c>
      <c r="AT22" s="10">
        <f>IF($G22=AT$5,1000,IF(AT$4=0,1000,SQRT((VLOOKUP($G22,Coords[],3,FALSE)-VLOOKUP(AT$5,Coords[],3,FALSE))^2+(VLOOKUP($G22,Coords[],4,FALSE)-VLOOKUP(AT$5,Coords[],4,FALSE))^2)))</f>
        <v>1000</v>
      </c>
      <c r="AU22" s="10">
        <f>IF($G22=AU$5,1000,IF(AU$4=0,1000,SQRT((VLOOKUP($G22,Coords[],3,FALSE)-VLOOKUP(AU$5,Coords[],3,FALSE))^2+(VLOOKUP($G22,Coords[],4,FALSE)-VLOOKUP(AU$5,Coords[],4,FALSE))^2)))</f>
        <v>1000</v>
      </c>
      <c r="AV22" s="10">
        <f>IF($G22=AV$5,1000,IF(AV$4=0,1000,SQRT((VLOOKUP($G22,Coords[],3,FALSE)-VLOOKUP(AV$5,Coords[],3,FALSE))^2+(VLOOKUP($G22,Coords[],4,FALSE)-VLOOKUP(AV$5,Coords[],4,FALSE))^2)))</f>
        <v>1000</v>
      </c>
      <c r="AW22" s="10">
        <f>IF($G22=AW$5,1000,IF(AW$4=0,1000,SQRT((VLOOKUP($G22,Coords[],3,FALSE)-VLOOKUP(AW$5,Coords[],3,FALSE))^2+(VLOOKUP($G22,Coords[],4,FALSE)-VLOOKUP(AW$5,Coords[],4,FALSE))^2)))</f>
        <v>1000</v>
      </c>
      <c r="AX22" s="10">
        <f>IF($G22=AX$5,1000,IF(AX$4=0,1000,SQRT((VLOOKUP($G22,Coords[],3,FALSE)-VLOOKUP(AX$5,Coords[],3,FALSE))^2+(VLOOKUP($G22,Coords[],4,FALSE)-VLOOKUP(AX$5,Coords[],4,FALSE))^2)))</f>
        <v>1000</v>
      </c>
      <c r="AY22" s="10">
        <f>IF($G22=AY$5,1000,IF(AY$4=0,1000,SQRT((VLOOKUP($G22,Coords[],3,FALSE)-VLOOKUP(AY$5,Coords[],3,FALSE))^2+(VLOOKUP($G22,Coords[],4,FALSE)-VLOOKUP(AY$5,Coords[],4,FALSE))^2)))</f>
        <v>1000</v>
      </c>
      <c r="AZ22" s="10">
        <f>IF($G22=AZ$5,1000,IF(AZ$4=0,1000,SQRT((VLOOKUP($G22,Coords[],3,FALSE)-VLOOKUP(AZ$5,Coords[],3,FALSE))^2+(VLOOKUP($G22,Coords[],4,FALSE)-VLOOKUP(AZ$5,Coords[],4,FALSE))^2)))</f>
        <v>1000</v>
      </c>
      <c r="BA22" s="10">
        <f>IF($G22=BA$5,1000,IF(BA$4=0,1000,SQRT((VLOOKUP($G22,Coords[],3,FALSE)-VLOOKUP(BA$5,Coords[],3,FALSE))^2+(VLOOKUP($G22,Coords[],4,FALSE)-VLOOKUP(BA$5,Coords[],4,FALSE))^2)))</f>
        <v>1000</v>
      </c>
      <c r="BB22" s="10">
        <f>IF($G22=BB$5,1000,IF(BB$4=0,1000,SQRT((VLOOKUP($G22,Coords[],3,FALSE)-VLOOKUP(BB$5,Coords[],3,FALSE))^2+(VLOOKUP($G22,Coords[],4,FALSE)-VLOOKUP(BB$5,Coords[],4,FALSE))^2)))</f>
        <v>1000</v>
      </c>
      <c r="BC22" s="10">
        <f>IF($G22=BC$5,1000,IF(BC$4=0,1000,SQRT((VLOOKUP($G22,Coords[],3,FALSE)-VLOOKUP(BC$5,Coords[],3,FALSE))^2+(VLOOKUP($G22,Coords[],4,FALSE)-VLOOKUP(BC$5,Coords[],4,FALSE))^2)))</f>
        <v>1000</v>
      </c>
      <c r="BD22" s="10">
        <f>IF($G22=BD$5,1000,IF(BD$4=0,1000,SQRT((VLOOKUP($G22,Coords[],3,FALSE)-VLOOKUP(BD$5,Coords[],3,FALSE))^2+(VLOOKUP($G22,Coords[],4,FALSE)-VLOOKUP(BD$5,Coords[],4,FALSE))^2)))</f>
        <v>1000</v>
      </c>
      <c r="BE22" s="10">
        <f>IF($G22=BE$5,1000,IF(BE$4=0,1000,SQRT((VLOOKUP($G22,Coords[],3,FALSE)-VLOOKUP(BE$5,Coords[],3,FALSE))^2+(VLOOKUP($G22,Coords[],4,FALSE)-VLOOKUP(BE$5,Coords[],4,FALSE))^2)))</f>
        <v>1000</v>
      </c>
      <c r="BF22" s="10">
        <f>IF($G22=BF$5,1000,IF(BF$4=0,1000,SQRT((VLOOKUP($G22,Coords[],3,FALSE)-VLOOKUP(BF$5,Coords[],3,FALSE))^2+(VLOOKUP($G22,Coords[],4,FALSE)-VLOOKUP(BF$5,Coords[],4,FALSE))^2)))</f>
        <v>1000</v>
      </c>
      <c r="BG22" s="4">
        <v>17</v>
      </c>
      <c r="BI22" s="5">
        <f>IF(E22=1,0,VLOOKUP($G22,$G$6:$BF$57,HLOOKUP(MIN(H22:BF22),$H22:$BF$57,((COUNT($G$6:$G$56)+2)-$G22),FALSE),FALSE)*B22)</f>
        <v>407.92156108742279</v>
      </c>
      <c r="BJ22" s="9">
        <f>VLOOKUP($G22,$G$6:$BF$57,HLOOKUP(MIN(H22:BF22),$H22:$BF$57,((COUNT($G$6:$G$56)+2)-$G22),FALSE),FALSE)</f>
        <v>25.495097567963924</v>
      </c>
      <c r="BK22" s="7">
        <f>HLOOKUP(MIN(H22:BF22),$H22:$BF$57,((COUNT($G$6:$G$56)+2)-$G22),FALSE)</f>
        <v>33</v>
      </c>
      <c r="BL22">
        <f>BJ22*Coords[[#This Row],[Demand]]</f>
        <v>407.92156108742279</v>
      </c>
      <c r="BN22">
        <v>17</v>
      </c>
      <c r="BO22">
        <v>8171.7830709678692</v>
      </c>
      <c r="BP22">
        <v>8532.5290494494166</v>
      </c>
    </row>
    <row r="23" spans="1:68" x14ac:dyDescent="0.25">
      <c r="A23" s="8">
        <v>18</v>
      </c>
      <c r="B23" s="3">
        <v>17</v>
      </c>
      <c r="C23" s="3">
        <v>17</v>
      </c>
      <c r="D23" s="3">
        <v>33</v>
      </c>
      <c r="E23">
        <v>0</v>
      </c>
      <c r="G23" s="4">
        <v>18</v>
      </c>
      <c r="H23" s="10">
        <f>IF($G23=H$5,1000,IF(H$4=0,1000,SQRT((VLOOKUP($G23,Coords[],3,FALSE)-VLOOKUP(H$5,Coords[],3,FALSE))^2+(VLOOKUP($G23,Coords[],4,FALSE)-VLOOKUP(H$5,Coords[],4,FALSE))^2)))</f>
        <v>1000</v>
      </c>
      <c r="I23" s="10">
        <f>IF($G23=I$5,1000,IF(I$4=0,1000,SQRT((VLOOKUP($G23,Coords[],3,FALSE)-VLOOKUP(I$5,Coords[],3,FALSE))^2+(VLOOKUP($G23,Coords[],4,FALSE)-VLOOKUP(I$5,Coords[],4,FALSE))^2)))</f>
        <v>1000</v>
      </c>
      <c r="J23" s="10">
        <f>IF($G23=J$5,1000,IF(J$4=0,1000,SQRT((VLOOKUP($G23,Coords[],3,FALSE)-VLOOKUP(J$5,Coords[],3,FALSE))^2+(VLOOKUP($G23,Coords[],4,FALSE)-VLOOKUP(J$5,Coords[],4,FALSE))^2)))</f>
        <v>1000</v>
      </c>
      <c r="K23" s="10">
        <f>IF($G23=K$5,1000,IF(K$4=0,1000,SQRT((VLOOKUP($G23,Coords[],3,FALSE)-VLOOKUP(K$5,Coords[],3,FALSE))^2+(VLOOKUP($G23,Coords[],4,FALSE)-VLOOKUP(K$5,Coords[],4,FALSE))^2)))</f>
        <v>1000</v>
      </c>
      <c r="L23" s="10">
        <f>IF($G23=L$5,1000,IF(L$4=0,1000,SQRT((VLOOKUP($G23,Coords[],3,FALSE)-VLOOKUP(L$5,Coords[],3,FALSE))^2+(VLOOKUP($G23,Coords[],4,FALSE)-VLOOKUP(L$5,Coords[],4,FALSE))^2)))</f>
        <v>1000</v>
      </c>
      <c r="M23" s="10">
        <f>IF($G23=M$5,1000,IF(M$4=0,1000,SQRT((VLOOKUP($G23,Coords[],3,FALSE)-VLOOKUP(M$5,Coords[],3,FALSE))^2+(VLOOKUP($G23,Coords[],4,FALSE)-VLOOKUP(M$5,Coords[],4,FALSE))^2)))</f>
        <v>1000</v>
      </c>
      <c r="N23" s="10">
        <f>IF($G23=N$5,1000,IF(N$4=0,1000,SQRT((VLOOKUP($G23,Coords[],3,FALSE)-VLOOKUP(N$5,Coords[],3,FALSE))^2+(VLOOKUP($G23,Coords[],4,FALSE)-VLOOKUP(N$5,Coords[],4,FALSE))^2)))</f>
        <v>1000</v>
      </c>
      <c r="O23" s="10">
        <f>IF($G23=O$5,1000,IF(O$4=0,1000,SQRT((VLOOKUP($G23,Coords[],3,FALSE)-VLOOKUP(O$5,Coords[],3,FALSE))^2+(VLOOKUP($G23,Coords[],4,FALSE)-VLOOKUP(O$5,Coords[],4,FALSE))^2)))</f>
        <v>32.202484376209235</v>
      </c>
      <c r="P23" s="10">
        <f>IF($G23=P$5,1000,IF(P$4=0,1000,SQRT((VLOOKUP($G23,Coords[],3,FALSE)-VLOOKUP(P$5,Coords[],3,FALSE))^2+(VLOOKUP($G23,Coords[],4,FALSE)-VLOOKUP(P$5,Coords[],4,FALSE))^2)))</f>
        <v>1000</v>
      </c>
      <c r="Q23" s="10">
        <f>IF($G23=Q$5,1000,IF(Q$4=0,1000,SQRT((VLOOKUP($G23,Coords[],3,FALSE)-VLOOKUP(Q$5,Coords[],3,FALSE))^2+(VLOOKUP($G23,Coords[],4,FALSE)-VLOOKUP(Q$5,Coords[],4,FALSE))^2)))</f>
        <v>1000</v>
      </c>
      <c r="R23" s="10">
        <f>IF($G23=R$5,1000,IF(R$4=0,1000,SQRT((VLOOKUP($G23,Coords[],3,FALSE)-VLOOKUP(R$5,Coords[],3,FALSE))^2+(VLOOKUP($G23,Coords[],4,FALSE)-VLOOKUP(R$5,Coords[],4,FALSE))^2)))</f>
        <v>1000</v>
      </c>
      <c r="S23" s="10">
        <f>IF($G23=S$5,1000,IF(S$4=0,1000,SQRT((VLOOKUP($G23,Coords[],3,FALSE)-VLOOKUP(S$5,Coords[],3,FALSE))^2+(VLOOKUP($G23,Coords[],4,FALSE)-VLOOKUP(S$5,Coords[],4,FALSE))^2)))</f>
        <v>1000</v>
      </c>
      <c r="T23" s="10">
        <f>IF($G23=T$5,1000,IF(T$4=0,1000,SQRT((VLOOKUP($G23,Coords[],3,FALSE)-VLOOKUP(T$5,Coords[],3,FALSE))^2+(VLOOKUP($G23,Coords[],4,FALSE)-VLOOKUP(T$5,Coords[],4,FALSE))^2)))</f>
        <v>1000</v>
      </c>
      <c r="U23" s="10">
        <f>IF($G23=U$5,1000,IF(U$4=0,1000,SQRT((VLOOKUP($G23,Coords[],3,FALSE)-VLOOKUP(U$5,Coords[],3,FALSE))^2+(VLOOKUP($G23,Coords[],4,FALSE)-VLOOKUP(U$5,Coords[],4,FALSE))^2)))</f>
        <v>1000</v>
      </c>
      <c r="V23" s="10">
        <f>IF($G23=V$5,1000,IF(V$4=0,1000,SQRT((VLOOKUP($G23,Coords[],3,FALSE)-VLOOKUP(V$5,Coords[],3,FALSE))^2+(VLOOKUP($G23,Coords[],4,FALSE)-VLOOKUP(V$5,Coords[],4,FALSE))^2)))</f>
        <v>1000</v>
      </c>
      <c r="W23" s="10">
        <f>IF($G23=W$5,1000,IF(W$4=0,1000,SQRT((VLOOKUP($G23,Coords[],3,FALSE)-VLOOKUP(W$5,Coords[],3,FALSE))^2+(VLOOKUP($G23,Coords[],4,FALSE)-VLOOKUP(W$5,Coords[],4,FALSE))^2)))</f>
        <v>1000</v>
      </c>
      <c r="X23" s="10">
        <f>IF($G23=X$5,1000,IF(X$4=0,1000,SQRT((VLOOKUP($G23,Coords[],3,FALSE)-VLOOKUP(X$5,Coords[],3,FALSE))^2+(VLOOKUP($G23,Coords[],4,FALSE)-VLOOKUP(X$5,Coords[],4,FALSE))^2)))</f>
        <v>1000</v>
      </c>
      <c r="Y23" s="10">
        <f>IF($G23=Y$5,1000,IF(Y$4=0,1000,SQRT((VLOOKUP($G23,Coords[],3,FALSE)-VLOOKUP(Y$5,Coords[],3,FALSE))^2+(VLOOKUP($G23,Coords[],4,FALSE)-VLOOKUP(Y$5,Coords[],4,FALSE))^2)))</f>
        <v>1000</v>
      </c>
      <c r="Z23" s="10">
        <f>IF($G23=Z$5,1000,IF(Z$4=0,1000,SQRT((VLOOKUP($G23,Coords[],3,FALSE)-VLOOKUP(Z$5,Coords[],3,FALSE))^2+(VLOOKUP($G23,Coords[],4,FALSE)-VLOOKUP(Z$5,Coords[],4,FALSE))^2)))</f>
        <v>1000</v>
      </c>
      <c r="AA23" s="10">
        <f>IF($G23=AA$5,1000,IF(AA$4=0,1000,SQRT((VLOOKUP($G23,Coords[],3,FALSE)-VLOOKUP(AA$5,Coords[],3,FALSE))^2+(VLOOKUP($G23,Coords[],4,FALSE)-VLOOKUP(AA$5,Coords[],4,FALSE))^2)))</f>
        <v>47.169905660283021</v>
      </c>
      <c r="AB23" s="10">
        <f>IF($G23=AB$5,1000,IF(AB$4=0,1000,SQRT((VLOOKUP($G23,Coords[],3,FALSE)-VLOOKUP(AB$5,Coords[],3,FALSE))^2+(VLOOKUP($G23,Coords[],4,FALSE)-VLOOKUP(AB$5,Coords[],4,FALSE))^2)))</f>
        <v>1000</v>
      </c>
      <c r="AC23" s="10">
        <f>IF($G23=AC$5,1000,IF(AC$4=0,1000,SQRT((VLOOKUP($G23,Coords[],3,FALSE)-VLOOKUP(AC$5,Coords[],3,FALSE))^2+(VLOOKUP($G23,Coords[],4,FALSE)-VLOOKUP(AC$5,Coords[],4,FALSE))^2)))</f>
        <v>1000</v>
      </c>
      <c r="AD23" s="10">
        <f>IF($G23=AD$5,1000,IF(AD$4=0,1000,SQRT((VLOOKUP($G23,Coords[],3,FALSE)-VLOOKUP(AD$5,Coords[],3,FALSE))^2+(VLOOKUP($G23,Coords[],4,FALSE)-VLOOKUP(AD$5,Coords[],4,FALSE))^2)))</f>
        <v>1000</v>
      </c>
      <c r="AE23" s="10">
        <f>IF($G23=AE$5,1000,IF(AE$4=0,1000,SQRT((VLOOKUP($G23,Coords[],3,FALSE)-VLOOKUP(AE$5,Coords[],3,FALSE))^2+(VLOOKUP($G23,Coords[],4,FALSE)-VLOOKUP(AE$5,Coords[],4,FALSE))^2)))</f>
        <v>1000</v>
      </c>
      <c r="AF23" s="10">
        <f>IF($G23=AF$5,1000,IF(AF$4=0,1000,SQRT((VLOOKUP($G23,Coords[],3,FALSE)-VLOOKUP(AF$5,Coords[],3,FALSE))^2+(VLOOKUP($G23,Coords[],4,FALSE)-VLOOKUP(AF$5,Coords[],4,FALSE))^2)))</f>
        <v>1000</v>
      </c>
      <c r="AG23" s="10">
        <f>IF($G23=AG$5,1000,IF(AG$4=0,1000,SQRT((VLOOKUP($G23,Coords[],3,FALSE)-VLOOKUP(AG$5,Coords[],3,FALSE))^2+(VLOOKUP($G23,Coords[],4,FALSE)-VLOOKUP(AG$5,Coords[],4,FALSE))^2)))</f>
        <v>1000</v>
      </c>
      <c r="AH23" s="10">
        <f>IF($G23=AH$5,1000,IF(AH$4=0,1000,SQRT((VLOOKUP($G23,Coords[],3,FALSE)-VLOOKUP(AH$5,Coords[],3,FALSE))^2+(VLOOKUP($G23,Coords[],4,FALSE)-VLOOKUP(AH$5,Coords[],4,FALSE))^2)))</f>
        <v>1000</v>
      </c>
      <c r="AI23" s="10">
        <f>IF($G23=AI$5,1000,IF(AI$4=0,1000,SQRT((VLOOKUP($G23,Coords[],3,FALSE)-VLOOKUP(AI$5,Coords[],3,FALSE))^2+(VLOOKUP($G23,Coords[],4,FALSE)-VLOOKUP(AI$5,Coords[],4,FALSE))^2)))</f>
        <v>1000</v>
      </c>
      <c r="AJ23" s="10">
        <f>IF($G23=AJ$5,1000,IF(AJ$4=0,1000,SQRT((VLOOKUP($G23,Coords[],3,FALSE)-VLOOKUP(AJ$5,Coords[],3,FALSE))^2+(VLOOKUP($G23,Coords[],4,FALSE)-VLOOKUP(AJ$5,Coords[],4,FALSE))^2)))</f>
        <v>43.657759905886145</v>
      </c>
      <c r="AK23" s="10">
        <f>IF($G23=AK$5,1000,IF(AK$4=0,1000,SQRT((VLOOKUP($G23,Coords[],3,FALSE)-VLOOKUP(AK$5,Coords[],3,FALSE))^2+(VLOOKUP($G23,Coords[],4,FALSE)-VLOOKUP(AK$5,Coords[],4,FALSE))^2)))</f>
        <v>1000</v>
      </c>
      <c r="AL23" s="10">
        <f>IF($G23=AL$5,1000,IF(AL$4=0,1000,SQRT((VLOOKUP($G23,Coords[],3,FALSE)-VLOOKUP(AL$5,Coords[],3,FALSE))^2+(VLOOKUP($G23,Coords[],4,FALSE)-VLOOKUP(AL$5,Coords[],4,FALSE))^2)))</f>
        <v>1000</v>
      </c>
      <c r="AM23" s="10">
        <f>IF($G23=AM$5,1000,IF(AM$4=0,1000,SQRT((VLOOKUP($G23,Coords[],3,FALSE)-VLOOKUP(AM$5,Coords[],3,FALSE))^2+(VLOOKUP($G23,Coords[],4,FALSE)-VLOOKUP(AM$5,Coords[],4,FALSE))^2)))</f>
        <v>24.698178070456937</v>
      </c>
      <c r="AN23" s="10">
        <f>IF($G23=AN$5,1000,IF(AN$4=0,1000,SQRT((VLOOKUP($G23,Coords[],3,FALSE)-VLOOKUP(AN$5,Coords[],3,FALSE))^2+(VLOOKUP($G23,Coords[],4,FALSE)-VLOOKUP(AN$5,Coords[],4,FALSE))^2)))</f>
        <v>1000</v>
      </c>
      <c r="AO23" s="10">
        <f>IF($G23=AO$5,1000,IF(AO$4=0,1000,SQRT((VLOOKUP($G23,Coords[],3,FALSE)-VLOOKUP(AO$5,Coords[],3,FALSE))^2+(VLOOKUP($G23,Coords[],4,FALSE)-VLOOKUP(AO$5,Coords[],4,FALSE))^2)))</f>
        <v>1000</v>
      </c>
      <c r="AP23" s="10">
        <f>IF($G23=AP$5,1000,IF(AP$4=0,1000,SQRT((VLOOKUP($G23,Coords[],3,FALSE)-VLOOKUP(AP$5,Coords[],3,FALSE))^2+(VLOOKUP($G23,Coords[],4,FALSE)-VLOOKUP(AP$5,Coords[],4,FALSE))^2)))</f>
        <v>1000</v>
      </c>
      <c r="AQ23" s="10">
        <f>IF($G23=AQ$5,1000,IF(AQ$4=0,1000,SQRT((VLOOKUP($G23,Coords[],3,FALSE)-VLOOKUP(AQ$5,Coords[],3,FALSE))^2+(VLOOKUP($G23,Coords[],4,FALSE)-VLOOKUP(AQ$5,Coords[],4,FALSE))^2)))</f>
        <v>1000</v>
      </c>
      <c r="AR23" s="10">
        <f>IF($G23=AR$5,1000,IF(AR$4=0,1000,SQRT((VLOOKUP($G23,Coords[],3,FALSE)-VLOOKUP(AR$5,Coords[],3,FALSE))^2+(VLOOKUP($G23,Coords[],4,FALSE)-VLOOKUP(AR$5,Coords[],4,FALSE))^2)))</f>
        <v>1000</v>
      </c>
      <c r="AS23" s="10">
        <f>IF($G23=AS$5,1000,IF(AS$4=0,1000,SQRT((VLOOKUP($G23,Coords[],3,FALSE)-VLOOKUP(AS$5,Coords[],3,FALSE))^2+(VLOOKUP($G23,Coords[],4,FALSE)-VLOOKUP(AS$5,Coords[],4,FALSE))^2)))</f>
        <v>1000</v>
      </c>
      <c r="AT23" s="10">
        <f>IF($G23=AT$5,1000,IF(AT$4=0,1000,SQRT((VLOOKUP($G23,Coords[],3,FALSE)-VLOOKUP(AT$5,Coords[],3,FALSE))^2+(VLOOKUP($G23,Coords[],4,FALSE)-VLOOKUP(AT$5,Coords[],4,FALSE))^2)))</f>
        <v>1000</v>
      </c>
      <c r="AU23" s="10">
        <f>IF($G23=AU$5,1000,IF(AU$4=0,1000,SQRT((VLOOKUP($G23,Coords[],3,FALSE)-VLOOKUP(AU$5,Coords[],3,FALSE))^2+(VLOOKUP($G23,Coords[],4,FALSE)-VLOOKUP(AU$5,Coords[],4,FALSE))^2)))</f>
        <v>1000</v>
      </c>
      <c r="AV23" s="10">
        <f>IF($G23=AV$5,1000,IF(AV$4=0,1000,SQRT((VLOOKUP($G23,Coords[],3,FALSE)-VLOOKUP(AV$5,Coords[],3,FALSE))^2+(VLOOKUP($G23,Coords[],4,FALSE)-VLOOKUP(AV$5,Coords[],4,FALSE))^2)))</f>
        <v>1000</v>
      </c>
      <c r="AW23" s="10">
        <f>IF($G23=AW$5,1000,IF(AW$4=0,1000,SQRT((VLOOKUP($G23,Coords[],3,FALSE)-VLOOKUP(AW$5,Coords[],3,FALSE))^2+(VLOOKUP($G23,Coords[],4,FALSE)-VLOOKUP(AW$5,Coords[],4,FALSE))^2)))</f>
        <v>1000</v>
      </c>
      <c r="AX23" s="10">
        <f>IF($G23=AX$5,1000,IF(AX$4=0,1000,SQRT((VLOOKUP($G23,Coords[],3,FALSE)-VLOOKUP(AX$5,Coords[],3,FALSE))^2+(VLOOKUP($G23,Coords[],4,FALSE)-VLOOKUP(AX$5,Coords[],4,FALSE))^2)))</f>
        <v>1000</v>
      </c>
      <c r="AY23" s="10">
        <f>IF($G23=AY$5,1000,IF(AY$4=0,1000,SQRT((VLOOKUP($G23,Coords[],3,FALSE)-VLOOKUP(AY$5,Coords[],3,FALSE))^2+(VLOOKUP($G23,Coords[],4,FALSE)-VLOOKUP(AY$5,Coords[],4,FALSE))^2)))</f>
        <v>1000</v>
      </c>
      <c r="AZ23" s="10">
        <f>IF($G23=AZ$5,1000,IF(AZ$4=0,1000,SQRT((VLOOKUP($G23,Coords[],3,FALSE)-VLOOKUP(AZ$5,Coords[],3,FALSE))^2+(VLOOKUP($G23,Coords[],4,FALSE)-VLOOKUP(AZ$5,Coords[],4,FALSE))^2)))</f>
        <v>1000</v>
      </c>
      <c r="BA23" s="10">
        <f>IF($G23=BA$5,1000,IF(BA$4=0,1000,SQRT((VLOOKUP($G23,Coords[],3,FALSE)-VLOOKUP(BA$5,Coords[],3,FALSE))^2+(VLOOKUP($G23,Coords[],4,FALSE)-VLOOKUP(BA$5,Coords[],4,FALSE))^2)))</f>
        <v>1000</v>
      </c>
      <c r="BB23" s="10">
        <f>IF($G23=BB$5,1000,IF(BB$4=0,1000,SQRT((VLOOKUP($G23,Coords[],3,FALSE)-VLOOKUP(BB$5,Coords[],3,FALSE))^2+(VLOOKUP($G23,Coords[],4,FALSE)-VLOOKUP(BB$5,Coords[],4,FALSE))^2)))</f>
        <v>1000</v>
      </c>
      <c r="BC23" s="10">
        <f>IF($G23=BC$5,1000,IF(BC$4=0,1000,SQRT((VLOOKUP($G23,Coords[],3,FALSE)-VLOOKUP(BC$5,Coords[],3,FALSE))^2+(VLOOKUP($G23,Coords[],4,FALSE)-VLOOKUP(BC$5,Coords[],4,FALSE))^2)))</f>
        <v>1000</v>
      </c>
      <c r="BD23" s="10">
        <f>IF($G23=BD$5,1000,IF(BD$4=0,1000,SQRT((VLOOKUP($G23,Coords[],3,FALSE)-VLOOKUP(BD$5,Coords[],3,FALSE))^2+(VLOOKUP($G23,Coords[],4,FALSE)-VLOOKUP(BD$5,Coords[],4,FALSE))^2)))</f>
        <v>1000</v>
      </c>
      <c r="BE23" s="10">
        <f>IF($G23=BE$5,1000,IF(BE$4=0,1000,SQRT((VLOOKUP($G23,Coords[],3,FALSE)-VLOOKUP(BE$5,Coords[],3,FALSE))^2+(VLOOKUP($G23,Coords[],4,FALSE)-VLOOKUP(BE$5,Coords[],4,FALSE))^2)))</f>
        <v>1000</v>
      </c>
      <c r="BF23" s="10">
        <f>IF($G23=BF$5,1000,IF(BF$4=0,1000,SQRT((VLOOKUP($G23,Coords[],3,FALSE)-VLOOKUP(BF$5,Coords[],3,FALSE))^2+(VLOOKUP($G23,Coords[],4,FALSE)-VLOOKUP(BF$5,Coords[],4,FALSE))^2)))</f>
        <v>1000</v>
      </c>
      <c r="BG23" s="4">
        <v>18</v>
      </c>
      <c r="BI23" s="5">
        <f>IF(E23=1,0,VLOOKUP($G23,$G$6:$BF$57,HLOOKUP(MIN(H23:BF23),$H23:$BF$57,((COUNT($G$6:$G$56)+2)-$G23),FALSE),FALSE)*B23)</f>
        <v>419.86902719776793</v>
      </c>
      <c r="BJ23" s="9">
        <f>VLOOKUP($G23,$G$6:$BF$57,HLOOKUP(MIN(H23:BF23),$H23:$BF$57,((COUNT($G$6:$G$56)+2)-$G23),FALSE),FALSE)</f>
        <v>24.698178070456937</v>
      </c>
      <c r="BK23" s="7">
        <f>HLOOKUP(MIN(H23:BF23),$H23:$BF$57,((COUNT($G$6:$G$56)+2)-$G23),FALSE)</f>
        <v>33</v>
      </c>
      <c r="BL23">
        <f>BJ23*Coords[[#This Row],[Demand]]</f>
        <v>419.86902719776793</v>
      </c>
      <c r="BN23">
        <v>18</v>
      </c>
      <c r="BO23">
        <v>8171.7830709678692</v>
      </c>
      <c r="BP23">
        <v>9487.5573749900941</v>
      </c>
    </row>
    <row r="24" spans="1:68" x14ac:dyDescent="0.25">
      <c r="A24" s="8">
        <v>19</v>
      </c>
      <c r="B24" s="3">
        <v>11</v>
      </c>
      <c r="C24" s="3">
        <v>13</v>
      </c>
      <c r="D24" s="3">
        <v>13</v>
      </c>
      <c r="E24">
        <v>0</v>
      </c>
      <c r="G24" s="4">
        <v>19</v>
      </c>
      <c r="H24" s="10">
        <f>IF($G24=H$5,1000,IF(H$4=0,1000,SQRT((VLOOKUP($G24,Coords[],3,FALSE)-VLOOKUP(H$5,Coords[],3,FALSE))^2+(VLOOKUP($G24,Coords[],4,FALSE)-VLOOKUP(H$5,Coords[],4,FALSE))^2)))</f>
        <v>1000</v>
      </c>
      <c r="I24" s="10">
        <f>IF($G24=I$5,1000,IF(I$4=0,1000,SQRT((VLOOKUP($G24,Coords[],3,FALSE)-VLOOKUP(I$5,Coords[],3,FALSE))^2+(VLOOKUP($G24,Coords[],4,FALSE)-VLOOKUP(I$5,Coords[],4,FALSE))^2)))</f>
        <v>1000</v>
      </c>
      <c r="J24" s="10">
        <f>IF($G24=J$5,1000,IF(J$4=0,1000,SQRT((VLOOKUP($G24,Coords[],3,FALSE)-VLOOKUP(J$5,Coords[],3,FALSE))^2+(VLOOKUP($G24,Coords[],4,FALSE)-VLOOKUP(J$5,Coords[],4,FALSE))^2)))</f>
        <v>1000</v>
      </c>
      <c r="K24" s="10">
        <f>IF($G24=K$5,1000,IF(K$4=0,1000,SQRT((VLOOKUP($G24,Coords[],3,FALSE)-VLOOKUP(K$5,Coords[],3,FALSE))^2+(VLOOKUP($G24,Coords[],4,FALSE)-VLOOKUP(K$5,Coords[],4,FALSE))^2)))</f>
        <v>1000</v>
      </c>
      <c r="L24" s="10">
        <f>IF($G24=L$5,1000,IF(L$4=0,1000,SQRT((VLOOKUP($G24,Coords[],3,FALSE)-VLOOKUP(L$5,Coords[],3,FALSE))^2+(VLOOKUP($G24,Coords[],4,FALSE)-VLOOKUP(L$5,Coords[],4,FALSE))^2)))</f>
        <v>1000</v>
      </c>
      <c r="M24" s="10">
        <f>IF($G24=M$5,1000,IF(M$4=0,1000,SQRT((VLOOKUP($G24,Coords[],3,FALSE)-VLOOKUP(M$5,Coords[],3,FALSE))^2+(VLOOKUP($G24,Coords[],4,FALSE)-VLOOKUP(M$5,Coords[],4,FALSE))^2)))</f>
        <v>1000</v>
      </c>
      <c r="N24" s="10">
        <f>IF($G24=N$5,1000,IF(N$4=0,1000,SQRT((VLOOKUP($G24,Coords[],3,FALSE)-VLOOKUP(N$5,Coords[],3,FALSE))^2+(VLOOKUP($G24,Coords[],4,FALSE)-VLOOKUP(N$5,Coords[],4,FALSE))^2)))</f>
        <v>1000</v>
      </c>
      <c r="O24" s="10">
        <f>IF($G24=O$5,1000,IF(O$4=0,1000,SQRT((VLOOKUP($G24,Coords[],3,FALSE)-VLOOKUP(O$5,Coords[],3,FALSE))^2+(VLOOKUP($G24,Coords[],4,FALSE)-VLOOKUP(O$5,Coords[],4,FALSE))^2)))</f>
        <v>52.201532544552748</v>
      </c>
      <c r="P24" s="10">
        <f>IF($G24=P$5,1000,IF(P$4=0,1000,SQRT((VLOOKUP($G24,Coords[],3,FALSE)-VLOOKUP(P$5,Coords[],3,FALSE))^2+(VLOOKUP($G24,Coords[],4,FALSE)-VLOOKUP(P$5,Coords[],4,FALSE))^2)))</f>
        <v>1000</v>
      </c>
      <c r="Q24" s="10">
        <f>IF($G24=Q$5,1000,IF(Q$4=0,1000,SQRT((VLOOKUP($G24,Coords[],3,FALSE)-VLOOKUP(Q$5,Coords[],3,FALSE))^2+(VLOOKUP($G24,Coords[],4,FALSE)-VLOOKUP(Q$5,Coords[],4,FALSE))^2)))</f>
        <v>1000</v>
      </c>
      <c r="R24" s="10">
        <f>IF($G24=R$5,1000,IF(R$4=0,1000,SQRT((VLOOKUP($G24,Coords[],3,FALSE)-VLOOKUP(R$5,Coords[],3,FALSE))^2+(VLOOKUP($G24,Coords[],4,FALSE)-VLOOKUP(R$5,Coords[],4,FALSE))^2)))</f>
        <v>1000</v>
      </c>
      <c r="S24" s="10">
        <f>IF($G24=S$5,1000,IF(S$4=0,1000,SQRT((VLOOKUP($G24,Coords[],3,FALSE)-VLOOKUP(S$5,Coords[],3,FALSE))^2+(VLOOKUP($G24,Coords[],4,FALSE)-VLOOKUP(S$5,Coords[],4,FALSE))^2)))</f>
        <v>1000</v>
      </c>
      <c r="T24" s="10">
        <f>IF($G24=T$5,1000,IF(T$4=0,1000,SQRT((VLOOKUP($G24,Coords[],3,FALSE)-VLOOKUP(T$5,Coords[],3,FALSE))^2+(VLOOKUP($G24,Coords[],4,FALSE)-VLOOKUP(T$5,Coords[],4,FALSE))^2)))</f>
        <v>1000</v>
      </c>
      <c r="U24" s="10">
        <f>IF($G24=U$5,1000,IF(U$4=0,1000,SQRT((VLOOKUP($G24,Coords[],3,FALSE)-VLOOKUP(U$5,Coords[],3,FALSE))^2+(VLOOKUP($G24,Coords[],4,FALSE)-VLOOKUP(U$5,Coords[],4,FALSE))^2)))</f>
        <v>1000</v>
      </c>
      <c r="V24" s="10">
        <f>IF($G24=V$5,1000,IF(V$4=0,1000,SQRT((VLOOKUP($G24,Coords[],3,FALSE)-VLOOKUP(V$5,Coords[],3,FALSE))^2+(VLOOKUP($G24,Coords[],4,FALSE)-VLOOKUP(V$5,Coords[],4,FALSE))^2)))</f>
        <v>1000</v>
      </c>
      <c r="W24" s="10">
        <f>IF($G24=W$5,1000,IF(W$4=0,1000,SQRT((VLOOKUP($G24,Coords[],3,FALSE)-VLOOKUP(W$5,Coords[],3,FALSE))^2+(VLOOKUP($G24,Coords[],4,FALSE)-VLOOKUP(W$5,Coords[],4,FALSE))^2)))</f>
        <v>1000</v>
      </c>
      <c r="X24" s="10">
        <f>IF($G24=X$5,1000,IF(X$4=0,1000,SQRT((VLOOKUP($G24,Coords[],3,FALSE)-VLOOKUP(X$5,Coords[],3,FALSE))^2+(VLOOKUP($G24,Coords[],4,FALSE)-VLOOKUP(X$5,Coords[],4,FALSE))^2)))</f>
        <v>1000</v>
      </c>
      <c r="Y24" s="10">
        <f>IF($G24=Y$5,1000,IF(Y$4=0,1000,SQRT((VLOOKUP($G24,Coords[],3,FALSE)-VLOOKUP(Y$5,Coords[],3,FALSE))^2+(VLOOKUP($G24,Coords[],4,FALSE)-VLOOKUP(Y$5,Coords[],4,FALSE))^2)))</f>
        <v>1000</v>
      </c>
      <c r="Z24" s="10">
        <f>IF($G24=Z$5,1000,IF(Z$4=0,1000,SQRT((VLOOKUP($G24,Coords[],3,FALSE)-VLOOKUP(Z$5,Coords[],3,FALSE))^2+(VLOOKUP($G24,Coords[],4,FALSE)-VLOOKUP(Z$5,Coords[],4,FALSE))^2)))</f>
        <v>1000</v>
      </c>
      <c r="AA24" s="10">
        <f>IF($G24=AA$5,1000,IF(AA$4=0,1000,SQRT((VLOOKUP($G24,Coords[],3,FALSE)-VLOOKUP(AA$5,Coords[],3,FALSE))^2+(VLOOKUP($G24,Coords[],4,FALSE)-VLOOKUP(AA$5,Coords[],4,FALSE))^2)))</f>
        <v>62.936475910238251</v>
      </c>
      <c r="AB24" s="10">
        <f>IF($G24=AB$5,1000,IF(AB$4=0,1000,SQRT((VLOOKUP($G24,Coords[],3,FALSE)-VLOOKUP(AB$5,Coords[],3,FALSE))^2+(VLOOKUP($G24,Coords[],4,FALSE)-VLOOKUP(AB$5,Coords[],4,FALSE))^2)))</f>
        <v>1000</v>
      </c>
      <c r="AC24" s="10">
        <f>IF($G24=AC$5,1000,IF(AC$4=0,1000,SQRT((VLOOKUP($G24,Coords[],3,FALSE)-VLOOKUP(AC$5,Coords[],3,FALSE))^2+(VLOOKUP($G24,Coords[],4,FALSE)-VLOOKUP(AC$5,Coords[],4,FALSE))^2)))</f>
        <v>1000</v>
      </c>
      <c r="AD24" s="10">
        <f>IF($G24=AD$5,1000,IF(AD$4=0,1000,SQRT((VLOOKUP($G24,Coords[],3,FALSE)-VLOOKUP(AD$5,Coords[],3,FALSE))^2+(VLOOKUP($G24,Coords[],4,FALSE)-VLOOKUP(AD$5,Coords[],4,FALSE))^2)))</f>
        <v>1000</v>
      </c>
      <c r="AE24" s="10">
        <f>IF($G24=AE$5,1000,IF(AE$4=0,1000,SQRT((VLOOKUP($G24,Coords[],3,FALSE)-VLOOKUP(AE$5,Coords[],3,FALSE))^2+(VLOOKUP($G24,Coords[],4,FALSE)-VLOOKUP(AE$5,Coords[],4,FALSE))^2)))</f>
        <v>1000</v>
      </c>
      <c r="AF24" s="10">
        <f>IF($G24=AF$5,1000,IF(AF$4=0,1000,SQRT((VLOOKUP($G24,Coords[],3,FALSE)-VLOOKUP(AF$5,Coords[],3,FALSE))^2+(VLOOKUP($G24,Coords[],4,FALSE)-VLOOKUP(AF$5,Coords[],4,FALSE))^2)))</f>
        <v>1000</v>
      </c>
      <c r="AG24" s="10">
        <f>IF($G24=AG$5,1000,IF(AG$4=0,1000,SQRT((VLOOKUP($G24,Coords[],3,FALSE)-VLOOKUP(AG$5,Coords[],3,FALSE))^2+(VLOOKUP($G24,Coords[],4,FALSE)-VLOOKUP(AG$5,Coords[],4,FALSE))^2)))</f>
        <v>1000</v>
      </c>
      <c r="AH24" s="10">
        <f>IF($G24=AH$5,1000,IF(AH$4=0,1000,SQRT((VLOOKUP($G24,Coords[],3,FALSE)-VLOOKUP(AH$5,Coords[],3,FALSE))^2+(VLOOKUP($G24,Coords[],4,FALSE)-VLOOKUP(AH$5,Coords[],4,FALSE))^2)))</f>
        <v>1000</v>
      </c>
      <c r="AI24" s="10">
        <f>IF($G24=AI$5,1000,IF(AI$4=0,1000,SQRT((VLOOKUP($G24,Coords[],3,FALSE)-VLOOKUP(AI$5,Coords[],3,FALSE))^2+(VLOOKUP($G24,Coords[],4,FALSE)-VLOOKUP(AI$5,Coords[],4,FALSE))^2)))</f>
        <v>1000</v>
      </c>
      <c r="AJ24" s="10">
        <f>IF($G24=AJ$5,1000,IF(AJ$4=0,1000,SQRT((VLOOKUP($G24,Coords[],3,FALSE)-VLOOKUP(AJ$5,Coords[],3,FALSE))^2+(VLOOKUP($G24,Coords[],4,FALSE)-VLOOKUP(AJ$5,Coords[],4,FALSE))^2)))</f>
        <v>57.008771254956898</v>
      </c>
      <c r="AK24" s="10">
        <f>IF($G24=AK$5,1000,IF(AK$4=0,1000,SQRT((VLOOKUP($G24,Coords[],3,FALSE)-VLOOKUP(AK$5,Coords[],3,FALSE))^2+(VLOOKUP($G24,Coords[],4,FALSE)-VLOOKUP(AK$5,Coords[],4,FALSE))^2)))</f>
        <v>1000</v>
      </c>
      <c r="AL24" s="10">
        <f>IF($G24=AL$5,1000,IF(AL$4=0,1000,SQRT((VLOOKUP($G24,Coords[],3,FALSE)-VLOOKUP(AL$5,Coords[],3,FALSE))^2+(VLOOKUP($G24,Coords[],4,FALSE)-VLOOKUP(AL$5,Coords[],4,FALSE))^2)))</f>
        <v>1000</v>
      </c>
      <c r="AM24" s="10">
        <f>IF($G24=AM$5,1000,IF(AM$4=0,1000,SQRT((VLOOKUP($G24,Coords[],3,FALSE)-VLOOKUP(AM$5,Coords[],3,FALSE))^2+(VLOOKUP($G24,Coords[],4,FALSE)-VLOOKUP(AM$5,Coords[],4,FALSE))^2)))</f>
        <v>41.400483088968905</v>
      </c>
      <c r="AN24" s="10">
        <f>IF($G24=AN$5,1000,IF(AN$4=0,1000,SQRT((VLOOKUP($G24,Coords[],3,FALSE)-VLOOKUP(AN$5,Coords[],3,FALSE))^2+(VLOOKUP($G24,Coords[],4,FALSE)-VLOOKUP(AN$5,Coords[],4,FALSE))^2)))</f>
        <v>1000</v>
      </c>
      <c r="AO24" s="10">
        <f>IF($G24=AO$5,1000,IF(AO$4=0,1000,SQRT((VLOOKUP($G24,Coords[],3,FALSE)-VLOOKUP(AO$5,Coords[],3,FALSE))^2+(VLOOKUP($G24,Coords[],4,FALSE)-VLOOKUP(AO$5,Coords[],4,FALSE))^2)))</f>
        <v>1000</v>
      </c>
      <c r="AP24" s="10">
        <f>IF($G24=AP$5,1000,IF(AP$4=0,1000,SQRT((VLOOKUP($G24,Coords[],3,FALSE)-VLOOKUP(AP$5,Coords[],3,FALSE))^2+(VLOOKUP($G24,Coords[],4,FALSE)-VLOOKUP(AP$5,Coords[],4,FALSE))^2)))</f>
        <v>1000</v>
      </c>
      <c r="AQ24" s="10">
        <f>IF($G24=AQ$5,1000,IF(AQ$4=0,1000,SQRT((VLOOKUP($G24,Coords[],3,FALSE)-VLOOKUP(AQ$5,Coords[],3,FALSE))^2+(VLOOKUP($G24,Coords[],4,FALSE)-VLOOKUP(AQ$5,Coords[],4,FALSE))^2)))</f>
        <v>1000</v>
      </c>
      <c r="AR24" s="10">
        <f>IF($G24=AR$5,1000,IF(AR$4=0,1000,SQRT((VLOOKUP($G24,Coords[],3,FALSE)-VLOOKUP(AR$5,Coords[],3,FALSE))^2+(VLOOKUP($G24,Coords[],4,FALSE)-VLOOKUP(AR$5,Coords[],4,FALSE))^2)))</f>
        <v>1000</v>
      </c>
      <c r="AS24" s="10">
        <f>IF($G24=AS$5,1000,IF(AS$4=0,1000,SQRT((VLOOKUP($G24,Coords[],3,FALSE)-VLOOKUP(AS$5,Coords[],3,FALSE))^2+(VLOOKUP($G24,Coords[],4,FALSE)-VLOOKUP(AS$5,Coords[],4,FALSE))^2)))</f>
        <v>1000</v>
      </c>
      <c r="AT24" s="10">
        <f>IF($G24=AT$5,1000,IF(AT$4=0,1000,SQRT((VLOOKUP($G24,Coords[],3,FALSE)-VLOOKUP(AT$5,Coords[],3,FALSE))^2+(VLOOKUP($G24,Coords[],4,FALSE)-VLOOKUP(AT$5,Coords[],4,FALSE))^2)))</f>
        <v>1000</v>
      </c>
      <c r="AU24" s="10">
        <f>IF($G24=AU$5,1000,IF(AU$4=0,1000,SQRT((VLOOKUP($G24,Coords[],3,FALSE)-VLOOKUP(AU$5,Coords[],3,FALSE))^2+(VLOOKUP($G24,Coords[],4,FALSE)-VLOOKUP(AU$5,Coords[],4,FALSE))^2)))</f>
        <v>1000</v>
      </c>
      <c r="AV24" s="10">
        <f>IF($G24=AV$5,1000,IF(AV$4=0,1000,SQRT((VLOOKUP($G24,Coords[],3,FALSE)-VLOOKUP(AV$5,Coords[],3,FALSE))^2+(VLOOKUP($G24,Coords[],4,FALSE)-VLOOKUP(AV$5,Coords[],4,FALSE))^2)))</f>
        <v>1000</v>
      </c>
      <c r="AW24" s="10">
        <f>IF($G24=AW$5,1000,IF(AW$4=0,1000,SQRT((VLOOKUP($G24,Coords[],3,FALSE)-VLOOKUP(AW$5,Coords[],3,FALSE))^2+(VLOOKUP($G24,Coords[],4,FALSE)-VLOOKUP(AW$5,Coords[],4,FALSE))^2)))</f>
        <v>1000</v>
      </c>
      <c r="AX24" s="10">
        <f>IF($G24=AX$5,1000,IF(AX$4=0,1000,SQRT((VLOOKUP($G24,Coords[],3,FALSE)-VLOOKUP(AX$5,Coords[],3,FALSE))^2+(VLOOKUP($G24,Coords[],4,FALSE)-VLOOKUP(AX$5,Coords[],4,FALSE))^2)))</f>
        <v>1000</v>
      </c>
      <c r="AY24" s="10">
        <f>IF($G24=AY$5,1000,IF(AY$4=0,1000,SQRT((VLOOKUP($G24,Coords[],3,FALSE)-VLOOKUP(AY$5,Coords[],3,FALSE))^2+(VLOOKUP($G24,Coords[],4,FALSE)-VLOOKUP(AY$5,Coords[],4,FALSE))^2)))</f>
        <v>1000</v>
      </c>
      <c r="AZ24" s="10">
        <f>IF($G24=AZ$5,1000,IF(AZ$4=0,1000,SQRT((VLOOKUP($G24,Coords[],3,FALSE)-VLOOKUP(AZ$5,Coords[],3,FALSE))^2+(VLOOKUP($G24,Coords[],4,FALSE)-VLOOKUP(AZ$5,Coords[],4,FALSE))^2)))</f>
        <v>1000</v>
      </c>
      <c r="BA24" s="10">
        <f>IF($G24=BA$5,1000,IF(BA$4=0,1000,SQRT((VLOOKUP($G24,Coords[],3,FALSE)-VLOOKUP(BA$5,Coords[],3,FALSE))^2+(VLOOKUP($G24,Coords[],4,FALSE)-VLOOKUP(BA$5,Coords[],4,FALSE))^2)))</f>
        <v>1000</v>
      </c>
      <c r="BB24" s="10">
        <f>IF($G24=BB$5,1000,IF(BB$4=0,1000,SQRT((VLOOKUP($G24,Coords[],3,FALSE)-VLOOKUP(BB$5,Coords[],3,FALSE))^2+(VLOOKUP($G24,Coords[],4,FALSE)-VLOOKUP(BB$5,Coords[],4,FALSE))^2)))</f>
        <v>1000</v>
      </c>
      <c r="BC24" s="10">
        <f>IF($G24=BC$5,1000,IF(BC$4=0,1000,SQRT((VLOOKUP($G24,Coords[],3,FALSE)-VLOOKUP(BC$5,Coords[],3,FALSE))^2+(VLOOKUP($G24,Coords[],4,FALSE)-VLOOKUP(BC$5,Coords[],4,FALSE))^2)))</f>
        <v>1000</v>
      </c>
      <c r="BD24" s="10">
        <f>IF($G24=BD$5,1000,IF(BD$4=0,1000,SQRT((VLOOKUP($G24,Coords[],3,FALSE)-VLOOKUP(BD$5,Coords[],3,FALSE))^2+(VLOOKUP($G24,Coords[],4,FALSE)-VLOOKUP(BD$5,Coords[],4,FALSE))^2)))</f>
        <v>1000</v>
      </c>
      <c r="BE24" s="10">
        <f>IF($G24=BE$5,1000,IF(BE$4=0,1000,SQRT((VLOOKUP($G24,Coords[],3,FALSE)-VLOOKUP(BE$5,Coords[],3,FALSE))^2+(VLOOKUP($G24,Coords[],4,FALSE)-VLOOKUP(BE$5,Coords[],4,FALSE))^2)))</f>
        <v>1000</v>
      </c>
      <c r="BF24" s="10">
        <f>IF($G24=BF$5,1000,IF(BF$4=0,1000,SQRT((VLOOKUP($G24,Coords[],3,FALSE)-VLOOKUP(BF$5,Coords[],3,FALSE))^2+(VLOOKUP($G24,Coords[],4,FALSE)-VLOOKUP(BF$5,Coords[],4,FALSE))^2)))</f>
        <v>1000</v>
      </c>
      <c r="BG24" s="4">
        <v>19</v>
      </c>
      <c r="BI24" s="5">
        <f>IF(E24=1,0,VLOOKUP($G24,$G$6:$BF$57,HLOOKUP(MIN(H24:BF24),$H24:$BF$57,((COUNT($G$6:$G$56)+2)-$G24),FALSE),FALSE)*B24)</f>
        <v>455.40531397865794</v>
      </c>
      <c r="BJ24" s="9">
        <f>VLOOKUP($G24,$G$6:$BF$57,HLOOKUP(MIN(H24:BF24),$H24:$BF$57,((COUNT($G$6:$G$56)+2)-$G24),FALSE),FALSE)</f>
        <v>41.400483088968905</v>
      </c>
      <c r="BK24" s="7">
        <f>HLOOKUP(MIN(H24:BF24),$H24:$BF$57,((COUNT($G$6:$G$56)+2)-$G24),FALSE)</f>
        <v>33</v>
      </c>
      <c r="BL24">
        <f>BJ24*Coords[[#This Row],[Demand]]</f>
        <v>455.40531397865794</v>
      </c>
      <c r="BN24">
        <v>19</v>
      </c>
      <c r="BO24">
        <v>8029.4948154860022</v>
      </c>
      <c r="BP24">
        <v>8840.8476037512701</v>
      </c>
    </row>
    <row r="25" spans="1:68" x14ac:dyDescent="0.25">
      <c r="A25" s="8">
        <v>20</v>
      </c>
      <c r="B25" s="3">
        <v>16</v>
      </c>
      <c r="C25" s="3">
        <v>57</v>
      </c>
      <c r="D25" s="3">
        <v>58</v>
      </c>
      <c r="E25">
        <v>1</v>
      </c>
      <c r="G25" s="4">
        <v>20</v>
      </c>
      <c r="H25" s="10">
        <f>IF($G25=H$5,1000,IF(H$4=0,1000,SQRT((VLOOKUP($G25,Coords[],3,FALSE)-VLOOKUP(H$5,Coords[],3,FALSE))^2+(VLOOKUP($G25,Coords[],4,FALSE)-VLOOKUP(H$5,Coords[],4,FALSE))^2)))</f>
        <v>1000</v>
      </c>
      <c r="I25" s="10">
        <f>IF($G25=I$5,1000,IF(I$4=0,1000,SQRT((VLOOKUP($G25,Coords[],3,FALSE)-VLOOKUP(I$5,Coords[],3,FALSE))^2+(VLOOKUP($G25,Coords[],4,FALSE)-VLOOKUP(I$5,Coords[],4,FALSE))^2)))</f>
        <v>1000</v>
      </c>
      <c r="J25" s="10">
        <f>IF($G25=J$5,1000,IF(J$4=0,1000,SQRT((VLOOKUP($G25,Coords[],3,FALSE)-VLOOKUP(J$5,Coords[],3,FALSE))^2+(VLOOKUP($G25,Coords[],4,FALSE)-VLOOKUP(J$5,Coords[],4,FALSE))^2)))</f>
        <v>1000</v>
      </c>
      <c r="K25" s="10">
        <f>IF($G25=K$5,1000,IF(K$4=0,1000,SQRT((VLOOKUP($G25,Coords[],3,FALSE)-VLOOKUP(K$5,Coords[],3,FALSE))^2+(VLOOKUP($G25,Coords[],4,FALSE)-VLOOKUP(K$5,Coords[],4,FALSE))^2)))</f>
        <v>1000</v>
      </c>
      <c r="L25" s="10">
        <f>IF($G25=L$5,1000,IF(L$4=0,1000,SQRT((VLOOKUP($G25,Coords[],3,FALSE)-VLOOKUP(L$5,Coords[],3,FALSE))^2+(VLOOKUP($G25,Coords[],4,FALSE)-VLOOKUP(L$5,Coords[],4,FALSE))^2)))</f>
        <v>1000</v>
      </c>
      <c r="M25" s="10">
        <f>IF($G25=M$5,1000,IF(M$4=0,1000,SQRT((VLOOKUP($G25,Coords[],3,FALSE)-VLOOKUP(M$5,Coords[],3,FALSE))^2+(VLOOKUP($G25,Coords[],4,FALSE)-VLOOKUP(M$5,Coords[],4,FALSE))^2)))</f>
        <v>1000</v>
      </c>
      <c r="N25" s="10">
        <f>IF($G25=N$5,1000,IF(N$4=0,1000,SQRT((VLOOKUP($G25,Coords[],3,FALSE)-VLOOKUP(N$5,Coords[],3,FALSE))^2+(VLOOKUP($G25,Coords[],4,FALSE)-VLOOKUP(N$5,Coords[],4,FALSE))^2)))</f>
        <v>1000</v>
      </c>
      <c r="O25" s="10">
        <f>IF($G25=O$5,1000,IF(O$4=0,1000,SQRT((VLOOKUP($G25,Coords[],3,FALSE)-VLOOKUP(O$5,Coords[],3,FALSE))^2+(VLOOKUP($G25,Coords[],4,FALSE)-VLOOKUP(O$5,Coords[],4,FALSE))^2)))</f>
        <v>26.305892875931811</v>
      </c>
      <c r="P25" s="10">
        <f>IF($G25=P$5,1000,IF(P$4=0,1000,SQRT((VLOOKUP($G25,Coords[],3,FALSE)-VLOOKUP(P$5,Coords[],3,FALSE))^2+(VLOOKUP($G25,Coords[],4,FALSE)-VLOOKUP(P$5,Coords[],4,FALSE))^2)))</f>
        <v>1000</v>
      </c>
      <c r="Q25" s="10">
        <f>IF($G25=Q$5,1000,IF(Q$4=0,1000,SQRT((VLOOKUP($G25,Coords[],3,FALSE)-VLOOKUP(Q$5,Coords[],3,FALSE))^2+(VLOOKUP($G25,Coords[],4,FALSE)-VLOOKUP(Q$5,Coords[],4,FALSE))^2)))</f>
        <v>1000</v>
      </c>
      <c r="R25" s="10">
        <f>IF($G25=R$5,1000,IF(R$4=0,1000,SQRT((VLOOKUP($G25,Coords[],3,FALSE)-VLOOKUP(R$5,Coords[],3,FALSE))^2+(VLOOKUP($G25,Coords[],4,FALSE)-VLOOKUP(R$5,Coords[],4,FALSE))^2)))</f>
        <v>1000</v>
      </c>
      <c r="S25" s="10">
        <f>IF($G25=S$5,1000,IF(S$4=0,1000,SQRT((VLOOKUP($G25,Coords[],3,FALSE)-VLOOKUP(S$5,Coords[],3,FALSE))^2+(VLOOKUP($G25,Coords[],4,FALSE)-VLOOKUP(S$5,Coords[],4,FALSE))^2)))</f>
        <v>1000</v>
      </c>
      <c r="T25" s="10">
        <f>IF($G25=T$5,1000,IF(T$4=0,1000,SQRT((VLOOKUP($G25,Coords[],3,FALSE)-VLOOKUP(T$5,Coords[],3,FALSE))^2+(VLOOKUP($G25,Coords[],4,FALSE)-VLOOKUP(T$5,Coords[],4,FALSE))^2)))</f>
        <v>1000</v>
      </c>
      <c r="U25" s="10">
        <f>IF($G25=U$5,1000,IF(U$4=0,1000,SQRT((VLOOKUP($G25,Coords[],3,FALSE)-VLOOKUP(U$5,Coords[],3,FALSE))^2+(VLOOKUP($G25,Coords[],4,FALSE)-VLOOKUP(U$5,Coords[],4,FALSE))^2)))</f>
        <v>1000</v>
      </c>
      <c r="V25" s="10">
        <f>IF($G25=V$5,1000,IF(V$4=0,1000,SQRT((VLOOKUP($G25,Coords[],3,FALSE)-VLOOKUP(V$5,Coords[],3,FALSE))^2+(VLOOKUP($G25,Coords[],4,FALSE)-VLOOKUP(V$5,Coords[],4,FALSE))^2)))</f>
        <v>1000</v>
      </c>
      <c r="W25" s="10">
        <f>IF($G25=W$5,1000,IF(W$4=0,1000,SQRT((VLOOKUP($G25,Coords[],3,FALSE)-VLOOKUP(W$5,Coords[],3,FALSE))^2+(VLOOKUP($G25,Coords[],4,FALSE)-VLOOKUP(W$5,Coords[],4,FALSE))^2)))</f>
        <v>1000</v>
      </c>
      <c r="X25" s="10">
        <f>IF($G25=X$5,1000,IF(X$4=0,1000,SQRT((VLOOKUP($G25,Coords[],3,FALSE)-VLOOKUP(X$5,Coords[],3,FALSE))^2+(VLOOKUP($G25,Coords[],4,FALSE)-VLOOKUP(X$5,Coords[],4,FALSE))^2)))</f>
        <v>1000</v>
      </c>
      <c r="Y25" s="10">
        <f>IF($G25=Y$5,1000,IF(Y$4=0,1000,SQRT((VLOOKUP($G25,Coords[],3,FALSE)-VLOOKUP(Y$5,Coords[],3,FALSE))^2+(VLOOKUP($G25,Coords[],4,FALSE)-VLOOKUP(Y$5,Coords[],4,FALSE))^2)))</f>
        <v>1000</v>
      </c>
      <c r="Z25" s="10">
        <f>IF($G25=Z$5,1000,IF(Z$4=0,1000,SQRT((VLOOKUP($G25,Coords[],3,FALSE)-VLOOKUP(Z$5,Coords[],3,FALSE))^2+(VLOOKUP($G25,Coords[],4,FALSE)-VLOOKUP(Z$5,Coords[],4,FALSE))^2)))</f>
        <v>1000</v>
      </c>
      <c r="AA25" s="10">
        <f>IF($G25=AA$5,1000,IF(AA$4=0,1000,SQRT((VLOOKUP($G25,Coords[],3,FALSE)-VLOOKUP(AA$5,Coords[],3,FALSE))^2+(VLOOKUP($G25,Coords[],4,FALSE)-VLOOKUP(AA$5,Coords[],4,FALSE))^2)))</f>
        <v>1000</v>
      </c>
      <c r="AB25" s="10">
        <f>IF($G25=AB$5,1000,IF(AB$4=0,1000,SQRT((VLOOKUP($G25,Coords[],3,FALSE)-VLOOKUP(AB$5,Coords[],3,FALSE))^2+(VLOOKUP($G25,Coords[],4,FALSE)-VLOOKUP(AB$5,Coords[],4,FALSE))^2)))</f>
        <v>1000</v>
      </c>
      <c r="AC25" s="10">
        <f>IF($G25=AC$5,1000,IF(AC$4=0,1000,SQRT((VLOOKUP($G25,Coords[],3,FALSE)-VLOOKUP(AC$5,Coords[],3,FALSE))^2+(VLOOKUP($G25,Coords[],4,FALSE)-VLOOKUP(AC$5,Coords[],4,FALSE))^2)))</f>
        <v>1000</v>
      </c>
      <c r="AD25" s="10">
        <f>IF($G25=AD$5,1000,IF(AD$4=0,1000,SQRT((VLOOKUP($G25,Coords[],3,FALSE)-VLOOKUP(AD$5,Coords[],3,FALSE))^2+(VLOOKUP($G25,Coords[],4,FALSE)-VLOOKUP(AD$5,Coords[],4,FALSE))^2)))</f>
        <v>1000</v>
      </c>
      <c r="AE25" s="10">
        <f>IF($G25=AE$5,1000,IF(AE$4=0,1000,SQRT((VLOOKUP($G25,Coords[],3,FALSE)-VLOOKUP(AE$5,Coords[],3,FALSE))^2+(VLOOKUP($G25,Coords[],4,FALSE)-VLOOKUP(AE$5,Coords[],4,FALSE))^2)))</f>
        <v>1000</v>
      </c>
      <c r="AF25" s="10">
        <f>IF($G25=AF$5,1000,IF(AF$4=0,1000,SQRT((VLOOKUP($G25,Coords[],3,FALSE)-VLOOKUP(AF$5,Coords[],3,FALSE))^2+(VLOOKUP($G25,Coords[],4,FALSE)-VLOOKUP(AF$5,Coords[],4,FALSE))^2)))</f>
        <v>1000</v>
      </c>
      <c r="AG25" s="10">
        <f>IF($G25=AG$5,1000,IF(AG$4=0,1000,SQRT((VLOOKUP($G25,Coords[],3,FALSE)-VLOOKUP(AG$5,Coords[],3,FALSE))^2+(VLOOKUP($G25,Coords[],4,FALSE)-VLOOKUP(AG$5,Coords[],4,FALSE))^2)))</f>
        <v>1000</v>
      </c>
      <c r="AH25" s="10">
        <f>IF($G25=AH$5,1000,IF(AH$4=0,1000,SQRT((VLOOKUP($G25,Coords[],3,FALSE)-VLOOKUP(AH$5,Coords[],3,FALSE))^2+(VLOOKUP($G25,Coords[],4,FALSE)-VLOOKUP(AH$5,Coords[],4,FALSE))^2)))</f>
        <v>1000</v>
      </c>
      <c r="AI25" s="10">
        <f>IF($G25=AI$5,1000,IF(AI$4=0,1000,SQRT((VLOOKUP($G25,Coords[],3,FALSE)-VLOOKUP(AI$5,Coords[],3,FALSE))^2+(VLOOKUP($G25,Coords[],4,FALSE)-VLOOKUP(AI$5,Coords[],4,FALSE))^2)))</f>
        <v>1000</v>
      </c>
      <c r="AJ25" s="10">
        <f>IF($G25=AJ$5,1000,IF(AJ$4=0,1000,SQRT((VLOOKUP($G25,Coords[],3,FALSE)-VLOOKUP(AJ$5,Coords[],3,FALSE))^2+(VLOOKUP($G25,Coords[],4,FALSE)-VLOOKUP(AJ$5,Coords[],4,FALSE))^2)))</f>
        <v>10.04987562112089</v>
      </c>
      <c r="AK25" s="10">
        <f>IF($G25=AK$5,1000,IF(AK$4=0,1000,SQRT((VLOOKUP($G25,Coords[],3,FALSE)-VLOOKUP(AK$5,Coords[],3,FALSE))^2+(VLOOKUP($G25,Coords[],4,FALSE)-VLOOKUP(AK$5,Coords[],4,FALSE))^2)))</f>
        <v>1000</v>
      </c>
      <c r="AL25" s="10">
        <f>IF($G25=AL$5,1000,IF(AL$4=0,1000,SQRT((VLOOKUP($G25,Coords[],3,FALSE)-VLOOKUP(AL$5,Coords[],3,FALSE))^2+(VLOOKUP($G25,Coords[],4,FALSE)-VLOOKUP(AL$5,Coords[],4,FALSE))^2)))</f>
        <v>1000</v>
      </c>
      <c r="AM25" s="10">
        <f>IF($G25=AM$5,1000,IF(AM$4=0,1000,SQRT((VLOOKUP($G25,Coords[],3,FALSE)-VLOOKUP(AM$5,Coords[],3,FALSE))^2+(VLOOKUP($G25,Coords[],4,FALSE)-VLOOKUP(AM$5,Coords[],4,FALSE))^2)))</f>
        <v>22.472205054244231</v>
      </c>
      <c r="AN25" s="10">
        <f>IF($G25=AN$5,1000,IF(AN$4=0,1000,SQRT((VLOOKUP($G25,Coords[],3,FALSE)-VLOOKUP(AN$5,Coords[],3,FALSE))^2+(VLOOKUP($G25,Coords[],4,FALSE)-VLOOKUP(AN$5,Coords[],4,FALSE))^2)))</f>
        <v>1000</v>
      </c>
      <c r="AO25" s="10">
        <f>IF($G25=AO$5,1000,IF(AO$4=0,1000,SQRT((VLOOKUP($G25,Coords[],3,FALSE)-VLOOKUP(AO$5,Coords[],3,FALSE))^2+(VLOOKUP($G25,Coords[],4,FALSE)-VLOOKUP(AO$5,Coords[],4,FALSE))^2)))</f>
        <v>1000</v>
      </c>
      <c r="AP25" s="10">
        <f>IF($G25=AP$5,1000,IF(AP$4=0,1000,SQRT((VLOOKUP($G25,Coords[],3,FALSE)-VLOOKUP(AP$5,Coords[],3,FALSE))^2+(VLOOKUP($G25,Coords[],4,FALSE)-VLOOKUP(AP$5,Coords[],4,FALSE))^2)))</f>
        <v>1000</v>
      </c>
      <c r="AQ25" s="10">
        <f>IF($G25=AQ$5,1000,IF(AQ$4=0,1000,SQRT((VLOOKUP($G25,Coords[],3,FALSE)-VLOOKUP(AQ$5,Coords[],3,FALSE))^2+(VLOOKUP($G25,Coords[],4,FALSE)-VLOOKUP(AQ$5,Coords[],4,FALSE))^2)))</f>
        <v>1000</v>
      </c>
      <c r="AR25" s="10">
        <f>IF($G25=AR$5,1000,IF(AR$4=0,1000,SQRT((VLOOKUP($G25,Coords[],3,FALSE)-VLOOKUP(AR$5,Coords[],3,FALSE))^2+(VLOOKUP($G25,Coords[],4,FALSE)-VLOOKUP(AR$5,Coords[],4,FALSE))^2)))</f>
        <v>1000</v>
      </c>
      <c r="AS25" s="10">
        <f>IF($G25=AS$5,1000,IF(AS$4=0,1000,SQRT((VLOOKUP($G25,Coords[],3,FALSE)-VLOOKUP(AS$5,Coords[],3,FALSE))^2+(VLOOKUP($G25,Coords[],4,FALSE)-VLOOKUP(AS$5,Coords[],4,FALSE))^2)))</f>
        <v>1000</v>
      </c>
      <c r="AT25" s="10">
        <f>IF($G25=AT$5,1000,IF(AT$4=0,1000,SQRT((VLOOKUP($G25,Coords[],3,FALSE)-VLOOKUP(AT$5,Coords[],3,FALSE))^2+(VLOOKUP($G25,Coords[],4,FALSE)-VLOOKUP(AT$5,Coords[],4,FALSE))^2)))</f>
        <v>1000</v>
      </c>
      <c r="AU25" s="10">
        <f>IF($G25=AU$5,1000,IF(AU$4=0,1000,SQRT((VLOOKUP($G25,Coords[],3,FALSE)-VLOOKUP(AU$5,Coords[],3,FALSE))^2+(VLOOKUP($G25,Coords[],4,FALSE)-VLOOKUP(AU$5,Coords[],4,FALSE))^2)))</f>
        <v>1000</v>
      </c>
      <c r="AV25" s="10">
        <f>IF($G25=AV$5,1000,IF(AV$4=0,1000,SQRT((VLOOKUP($G25,Coords[],3,FALSE)-VLOOKUP(AV$5,Coords[],3,FALSE))^2+(VLOOKUP($G25,Coords[],4,FALSE)-VLOOKUP(AV$5,Coords[],4,FALSE))^2)))</f>
        <v>1000</v>
      </c>
      <c r="AW25" s="10">
        <f>IF($G25=AW$5,1000,IF(AW$4=0,1000,SQRT((VLOOKUP($G25,Coords[],3,FALSE)-VLOOKUP(AW$5,Coords[],3,FALSE))^2+(VLOOKUP($G25,Coords[],4,FALSE)-VLOOKUP(AW$5,Coords[],4,FALSE))^2)))</f>
        <v>1000</v>
      </c>
      <c r="AX25" s="10">
        <f>IF($G25=AX$5,1000,IF(AX$4=0,1000,SQRT((VLOOKUP($G25,Coords[],3,FALSE)-VLOOKUP(AX$5,Coords[],3,FALSE))^2+(VLOOKUP($G25,Coords[],4,FALSE)-VLOOKUP(AX$5,Coords[],4,FALSE))^2)))</f>
        <v>1000</v>
      </c>
      <c r="AY25" s="10">
        <f>IF($G25=AY$5,1000,IF(AY$4=0,1000,SQRT((VLOOKUP($G25,Coords[],3,FALSE)-VLOOKUP(AY$5,Coords[],3,FALSE))^2+(VLOOKUP($G25,Coords[],4,FALSE)-VLOOKUP(AY$5,Coords[],4,FALSE))^2)))</f>
        <v>1000</v>
      </c>
      <c r="AZ25" s="10">
        <f>IF($G25=AZ$5,1000,IF(AZ$4=0,1000,SQRT((VLOOKUP($G25,Coords[],3,FALSE)-VLOOKUP(AZ$5,Coords[],3,FALSE))^2+(VLOOKUP($G25,Coords[],4,FALSE)-VLOOKUP(AZ$5,Coords[],4,FALSE))^2)))</f>
        <v>1000</v>
      </c>
      <c r="BA25" s="10">
        <f>IF($G25=BA$5,1000,IF(BA$4=0,1000,SQRT((VLOOKUP($G25,Coords[],3,FALSE)-VLOOKUP(BA$5,Coords[],3,FALSE))^2+(VLOOKUP($G25,Coords[],4,FALSE)-VLOOKUP(BA$5,Coords[],4,FALSE))^2)))</f>
        <v>1000</v>
      </c>
      <c r="BB25" s="10">
        <f>IF($G25=BB$5,1000,IF(BB$4=0,1000,SQRT((VLOOKUP($G25,Coords[],3,FALSE)-VLOOKUP(BB$5,Coords[],3,FALSE))^2+(VLOOKUP($G25,Coords[],4,FALSE)-VLOOKUP(BB$5,Coords[],4,FALSE))^2)))</f>
        <v>1000</v>
      </c>
      <c r="BC25" s="10">
        <f>IF($G25=BC$5,1000,IF(BC$4=0,1000,SQRT((VLOOKUP($G25,Coords[],3,FALSE)-VLOOKUP(BC$5,Coords[],3,FALSE))^2+(VLOOKUP($G25,Coords[],4,FALSE)-VLOOKUP(BC$5,Coords[],4,FALSE))^2)))</f>
        <v>1000</v>
      </c>
      <c r="BD25" s="10">
        <f>IF($G25=BD$5,1000,IF(BD$4=0,1000,SQRT((VLOOKUP($G25,Coords[],3,FALSE)-VLOOKUP(BD$5,Coords[],3,FALSE))^2+(VLOOKUP($G25,Coords[],4,FALSE)-VLOOKUP(BD$5,Coords[],4,FALSE))^2)))</f>
        <v>1000</v>
      </c>
      <c r="BE25" s="10">
        <f>IF($G25=BE$5,1000,IF(BE$4=0,1000,SQRT((VLOOKUP($G25,Coords[],3,FALSE)-VLOOKUP(BE$5,Coords[],3,FALSE))^2+(VLOOKUP($G25,Coords[],4,FALSE)-VLOOKUP(BE$5,Coords[],4,FALSE))^2)))</f>
        <v>1000</v>
      </c>
      <c r="BF25" s="10">
        <f>IF($G25=BF$5,1000,IF(BF$4=0,1000,SQRT((VLOOKUP($G25,Coords[],3,FALSE)-VLOOKUP(BF$5,Coords[],3,FALSE))^2+(VLOOKUP($G25,Coords[],4,FALSE)-VLOOKUP(BF$5,Coords[],4,FALSE))^2)))</f>
        <v>1000</v>
      </c>
      <c r="BG25" s="4">
        <v>20</v>
      </c>
      <c r="BI25" s="5">
        <f>IF(E25=1,0,VLOOKUP($G25,$G$6:$BF$57,HLOOKUP(MIN(H25:BF25),$H25:$BF$57,((COUNT($G$6:$G$56)+2)-$G25),FALSE),FALSE)*B25)</f>
        <v>0</v>
      </c>
      <c r="BJ25" s="9">
        <f>VLOOKUP($G25,$G$6:$BF$57,HLOOKUP(MIN(H25:BF25),$H25:$BF$57,((COUNT($G$6:$G$56)+2)-$G25),FALSE),FALSE)</f>
        <v>10.04987562112089</v>
      </c>
      <c r="BK25" s="7">
        <f>HLOOKUP(MIN(H25:BF25),$H25:$BF$57,((COUNT($G$6:$G$56)+2)-$G25),FALSE)</f>
        <v>30</v>
      </c>
      <c r="BL25">
        <f>BJ25*Coords[[#This Row],[Demand]]</f>
        <v>160.79800993793424</v>
      </c>
      <c r="BN25">
        <v>20</v>
      </c>
      <c r="BO25">
        <v>8029.4948154860022</v>
      </c>
      <c r="BP25">
        <v>8519.6302388496624</v>
      </c>
    </row>
    <row r="26" spans="1:68" x14ac:dyDescent="0.25">
      <c r="A26" s="8">
        <v>21</v>
      </c>
      <c r="B26" s="3">
        <v>6</v>
      </c>
      <c r="C26" s="3">
        <v>62</v>
      </c>
      <c r="D26" s="3">
        <v>42</v>
      </c>
      <c r="E26">
        <v>0</v>
      </c>
      <c r="G26" s="4">
        <v>21</v>
      </c>
      <c r="H26" s="10">
        <f>IF($G26=H$5,1000,IF(H$4=0,1000,SQRT((VLOOKUP($G26,Coords[],3,FALSE)-VLOOKUP(H$5,Coords[],3,FALSE))^2+(VLOOKUP($G26,Coords[],4,FALSE)-VLOOKUP(H$5,Coords[],4,FALSE))^2)))</f>
        <v>1000</v>
      </c>
      <c r="I26" s="10">
        <f>IF($G26=I$5,1000,IF(I$4=0,1000,SQRT((VLOOKUP($G26,Coords[],3,FALSE)-VLOOKUP(I$5,Coords[],3,FALSE))^2+(VLOOKUP($G26,Coords[],4,FALSE)-VLOOKUP(I$5,Coords[],4,FALSE))^2)))</f>
        <v>1000</v>
      </c>
      <c r="J26" s="10">
        <f>IF($G26=J$5,1000,IF(J$4=0,1000,SQRT((VLOOKUP($G26,Coords[],3,FALSE)-VLOOKUP(J$5,Coords[],3,FALSE))^2+(VLOOKUP($G26,Coords[],4,FALSE)-VLOOKUP(J$5,Coords[],4,FALSE))^2)))</f>
        <v>1000</v>
      </c>
      <c r="K26" s="10">
        <f>IF($G26=K$5,1000,IF(K$4=0,1000,SQRT((VLOOKUP($G26,Coords[],3,FALSE)-VLOOKUP(K$5,Coords[],3,FALSE))^2+(VLOOKUP($G26,Coords[],4,FALSE)-VLOOKUP(K$5,Coords[],4,FALSE))^2)))</f>
        <v>1000</v>
      </c>
      <c r="L26" s="10">
        <f>IF($G26=L$5,1000,IF(L$4=0,1000,SQRT((VLOOKUP($G26,Coords[],3,FALSE)-VLOOKUP(L$5,Coords[],3,FALSE))^2+(VLOOKUP($G26,Coords[],4,FALSE)-VLOOKUP(L$5,Coords[],4,FALSE))^2)))</f>
        <v>1000</v>
      </c>
      <c r="M26" s="10">
        <f>IF($G26=M$5,1000,IF(M$4=0,1000,SQRT((VLOOKUP($G26,Coords[],3,FALSE)-VLOOKUP(M$5,Coords[],3,FALSE))^2+(VLOOKUP($G26,Coords[],4,FALSE)-VLOOKUP(M$5,Coords[],4,FALSE))^2)))</f>
        <v>1000</v>
      </c>
      <c r="N26" s="10">
        <f>IF($G26=N$5,1000,IF(N$4=0,1000,SQRT((VLOOKUP($G26,Coords[],3,FALSE)-VLOOKUP(N$5,Coords[],3,FALSE))^2+(VLOOKUP($G26,Coords[],4,FALSE)-VLOOKUP(N$5,Coords[],4,FALSE))^2)))</f>
        <v>1000</v>
      </c>
      <c r="O26" s="10">
        <f>IF($G26=O$5,1000,IF(O$4=0,1000,SQRT((VLOOKUP($G26,Coords[],3,FALSE)-VLOOKUP(O$5,Coords[],3,FALSE))^2+(VLOOKUP($G26,Coords[],4,FALSE)-VLOOKUP(O$5,Coords[],4,FALSE))^2)))</f>
        <v>36.891733491393431</v>
      </c>
      <c r="P26" s="10">
        <f>IF($G26=P$5,1000,IF(P$4=0,1000,SQRT((VLOOKUP($G26,Coords[],3,FALSE)-VLOOKUP(P$5,Coords[],3,FALSE))^2+(VLOOKUP($G26,Coords[],4,FALSE)-VLOOKUP(P$5,Coords[],4,FALSE))^2)))</f>
        <v>1000</v>
      </c>
      <c r="Q26" s="10">
        <f>IF($G26=Q$5,1000,IF(Q$4=0,1000,SQRT((VLOOKUP($G26,Coords[],3,FALSE)-VLOOKUP(Q$5,Coords[],3,FALSE))^2+(VLOOKUP($G26,Coords[],4,FALSE)-VLOOKUP(Q$5,Coords[],4,FALSE))^2)))</f>
        <v>1000</v>
      </c>
      <c r="R26" s="10">
        <f>IF($G26=R$5,1000,IF(R$4=0,1000,SQRT((VLOOKUP($G26,Coords[],3,FALSE)-VLOOKUP(R$5,Coords[],3,FALSE))^2+(VLOOKUP($G26,Coords[],4,FALSE)-VLOOKUP(R$5,Coords[],4,FALSE))^2)))</f>
        <v>1000</v>
      </c>
      <c r="S26" s="10">
        <f>IF($G26=S$5,1000,IF(S$4=0,1000,SQRT((VLOOKUP($G26,Coords[],3,FALSE)-VLOOKUP(S$5,Coords[],3,FALSE))^2+(VLOOKUP($G26,Coords[],4,FALSE)-VLOOKUP(S$5,Coords[],4,FALSE))^2)))</f>
        <v>1000</v>
      </c>
      <c r="T26" s="10">
        <f>IF($G26=T$5,1000,IF(T$4=0,1000,SQRT((VLOOKUP($G26,Coords[],3,FALSE)-VLOOKUP(T$5,Coords[],3,FALSE))^2+(VLOOKUP($G26,Coords[],4,FALSE)-VLOOKUP(T$5,Coords[],4,FALSE))^2)))</f>
        <v>1000</v>
      </c>
      <c r="U26" s="10">
        <f>IF($G26=U$5,1000,IF(U$4=0,1000,SQRT((VLOOKUP($G26,Coords[],3,FALSE)-VLOOKUP(U$5,Coords[],3,FALSE))^2+(VLOOKUP($G26,Coords[],4,FALSE)-VLOOKUP(U$5,Coords[],4,FALSE))^2)))</f>
        <v>1000</v>
      </c>
      <c r="V26" s="10">
        <f>IF($G26=V$5,1000,IF(V$4=0,1000,SQRT((VLOOKUP($G26,Coords[],3,FALSE)-VLOOKUP(V$5,Coords[],3,FALSE))^2+(VLOOKUP($G26,Coords[],4,FALSE)-VLOOKUP(V$5,Coords[],4,FALSE))^2)))</f>
        <v>1000</v>
      </c>
      <c r="W26" s="10">
        <f>IF($G26=W$5,1000,IF(W$4=0,1000,SQRT((VLOOKUP($G26,Coords[],3,FALSE)-VLOOKUP(W$5,Coords[],3,FALSE))^2+(VLOOKUP($G26,Coords[],4,FALSE)-VLOOKUP(W$5,Coords[],4,FALSE))^2)))</f>
        <v>1000</v>
      </c>
      <c r="X26" s="10">
        <f>IF($G26=X$5,1000,IF(X$4=0,1000,SQRT((VLOOKUP($G26,Coords[],3,FALSE)-VLOOKUP(X$5,Coords[],3,FALSE))^2+(VLOOKUP($G26,Coords[],4,FALSE)-VLOOKUP(X$5,Coords[],4,FALSE))^2)))</f>
        <v>1000</v>
      </c>
      <c r="Y26" s="10">
        <f>IF($G26=Y$5,1000,IF(Y$4=0,1000,SQRT((VLOOKUP($G26,Coords[],3,FALSE)-VLOOKUP(Y$5,Coords[],3,FALSE))^2+(VLOOKUP($G26,Coords[],4,FALSE)-VLOOKUP(Y$5,Coords[],4,FALSE))^2)))</f>
        <v>1000</v>
      </c>
      <c r="Z26" s="10">
        <f>IF($G26=Z$5,1000,IF(Z$4=0,1000,SQRT((VLOOKUP($G26,Coords[],3,FALSE)-VLOOKUP(Z$5,Coords[],3,FALSE))^2+(VLOOKUP($G26,Coords[],4,FALSE)-VLOOKUP(Z$5,Coords[],4,FALSE))^2)))</f>
        <v>1000</v>
      </c>
      <c r="AA26" s="10">
        <f>IF($G26=AA$5,1000,IF(AA$4=0,1000,SQRT((VLOOKUP($G26,Coords[],3,FALSE)-VLOOKUP(AA$5,Coords[],3,FALSE))^2+(VLOOKUP($G26,Coords[],4,FALSE)-VLOOKUP(AA$5,Coords[],4,FALSE))^2)))</f>
        <v>16.763054614240211</v>
      </c>
      <c r="AB26" s="10">
        <f>IF($G26=AB$5,1000,IF(AB$4=0,1000,SQRT((VLOOKUP($G26,Coords[],3,FALSE)-VLOOKUP(AB$5,Coords[],3,FALSE))^2+(VLOOKUP($G26,Coords[],4,FALSE)-VLOOKUP(AB$5,Coords[],4,FALSE))^2)))</f>
        <v>1000</v>
      </c>
      <c r="AC26" s="10">
        <f>IF($G26=AC$5,1000,IF(AC$4=0,1000,SQRT((VLOOKUP($G26,Coords[],3,FALSE)-VLOOKUP(AC$5,Coords[],3,FALSE))^2+(VLOOKUP($G26,Coords[],4,FALSE)-VLOOKUP(AC$5,Coords[],4,FALSE))^2)))</f>
        <v>1000</v>
      </c>
      <c r="AD26" s="10">
        <f>IF($G26=AD$5,1000,IF(AD$4=0,1000,SQRT((VLOOKUP($G26,Coords[],3,FALSE)-VLOOKUP(AD$5,Coords[],3,FALSE))^2+(VLOOKUP($G26,Coords[],4,FALSE)-VLOOKUP(AD$5,Coords[],4,FALSE))^2)))</f>
        <v>1000</v>
      </c>
      <c r="AE26" s="10">
        <f>IF($G26=AE$5,1000,IF(AE$4=0,1000,SQRT((VLOOKUP($G26,Coords[],3,FALSE)-VLOOKUP(AE$5,Coords[],3,FALSE))^2+(VLOOKUP($G26,Coords[],4,FALSE)-VLOOKUP(AE$5,Coords[],4,FALSE))^2)))</f>
        <v>1000</v>
      </c>
      <c r="AF26" s="10">
        <f>IF($G26=AF$5,1000,IF(AF$4=0,1000,SQRT((VLOOKUP($G26,Coords[],3,FALSE)-VLOOKUP(AF$5,Coords[],3,FALSE))^2+(VLOOKUP($G26,Coords[],4,FALSE)-VLOOKUP(AF$5,Coords[],4,FALSE))^2)))</f>
        <v>1000</v>
      </c>
      <c r="AG26" s="10">
        <f>IF($G26=AG$5,1000,IF(AG$4=0,1000,SQRT((VLOOKUP($G26,Coords[],3,FALSE)-VLOOKUP(AG$5,Coords[],3,FALSE))^2+(VLOOKUP($G26,Coords[],4,FALSE)-VLOOKUP(AG$5,Coords[],4,FALSE))^2)))</f>
        <v>1000</v>
      </c>
      <c r="AH26" s="10">
        <f>IF($G26=AH$5,1000,IF(AH$4=0,1000,SQRT((VLOOKUP($G26,Coords[],3,FALSE)-VLOOKUP(AH$5,Coords[],3,FALSE))^2+(VLOOKUP($G26,Coords[],4,FALSE)-VLOOKUP(AH$5,Coords[],4,FALSE))^2)))</f>
        <v>1000</v>
      </c>
      <c r="AI26" s="10">
        <f>IF($G26=AI$5,1000,IF(AI$4=0,1000,SQRT((VLOOKUP($G26,Coords[],3,FALSE)-VLOOKUP(AI$5,Coords[],3,FALSE))^2+(VLOOKUP($G26,Coords[],4,FALSE)-VLOOKUP(AI$5,Coords[],4,FALSE))^2)))</f>
        <v>1000</v>
      </c>
      <c r="AJ26" s="10">
        <f>IF($G26=AJ$5,1000,IF(AJ$4=0,1000,SQRT((VLOOKUP($G26,Coords[],3,FALSE)-VLOOKUP(AJ$5,Coords[],3,FALSE))^2+(VLOOKUP($G26,Coords[],4,FALSE)-VLOOKUP(AJ$5,Coords[],4,FALSE))^2)))</f>
        <v>7.2111025509279782</v>
      </c>
      <c r="AK26" s="10">
        <f>IF($G26=AK$5,1000,IF(AK$4=0,1000,SQRT((VLOOKUP($G26,Coords[],3,FALSE)-VLOOKUP(AK$5,Coords[],3,FALSE))^2+(VLOOKUP($G26,Coords[],4,FALSE)-VLOOKUP(AK$5,Coords[],4,FALSE))^2)))</f>
        <v>1000</v>
      </c>
      <c r="AL26" s="10">
        <f>IF($G26=AL$5,1000,IF(AL$4=0,1000,SQRT((VLOOKUP($G26,Coords[],3,FALSE)-VLOOKUP(AL$5,Coords[],3,FALSE))^2+(VLOOKUP($G26,Coords[],4,FALSE)-VLOOKUP(AL$5,Coords[],4,FALSE))^2)))</f>
        <v>1000</v>
      </c>
      <c r="AM26" s="10">
        <f>IF($G26=AM$5,1000,IF(AM$4=0,1000,SQRT((VLOOKUP($G26,Coords[],3,FALSE)-VLOOKUP(AM$5,Coords[],3,FALSE))^2+(VLOOKUP($G26,Coords[],4,FALSE)-VLOOKUP(AM$5,Coords[],4,FALSE))^2)))</f>
        <v>24.331050121192877</v>
      </c>
      <c r="AN26" s="10">
        <f>IF($G26=AN$5,1000,IF(AN$4=0,1000,SQRT((VLOOKUP($G26,Coords[],3,FALSE)-VLOOKUP(AN$5,Coords[],3,FALSE))^2+(VLOOKUP($G26,Coords[],4,FALSE)-VLOOKUP(AN$5,Coords[],4,FALSE))^2)))</f>
        <v>1000</v>
      </c>
      <c r="AO26" s="10">
        <f>IF($G26=AO$5,1000,IF(AO$4=0,1000,SQRT((VLOOKUP($G26,Coords[],3,FALSE)-VLOOKUP(AO$5,Coords[],3,FALSE))^2+(VLOOKUP($G26,Coords[],4,FALSE)-VLOOKUP(AO$5,Coords[],4,FALSE))^2)))</f>
        <v>1000</v>
      </c>
      <c r="AP26" s="10">
        <f>IF($G26=AP$5,1000,IF(AP$4=0,1000,SQRT((VLOOKUP($G26,Coords[],3,FALSE)-VLOOKUP(AP$5,Coords[],3,FALSE))^2+(VLOOKUP($G26,Coords[],4,FALSE)-VLOOKUP(AP$5,Coords[],4,FALSE))^2)))</f>
        <v>1000</v>
      </c>
      <c r="AQ26" s="10">
        <f>IF($G26=AQ$5,1000,IF(AQ$4=0,1000,SQRT((VLOOKUP($G26,Coords[],3,FALSE)-VLOOKUP(AQ$5,Coords[],3,FALSE))^2+(VLOOKUP($G26,Coords[],4,FALSE)-VLOOKUP(AQ$5,Coords[],4,FALSE))^2)))</f>
        <v>1000</v>
      </c>
      <c r="AR26" s="10">
        <f>IF($G26=AR$5,1000,IF(AR$4=0,1000,SQRT((VLOOKUP($G26,Coords[],3,FALSE)-VLOOKUP(AR$5,Coords[],3,FALSE))^2+(VLOOKUP($G26,Coords[],4,FALSE)-VLOOKUP(AR$5,Coords[],4,FALSE))^2)))</f>
        <v>1000</v>
      </c>
      <c r="AS26" s="10">
        <f>IF($G26=AS$5,1000,IF(AS$4=0,1000,SQRT((VLOOKUP($G26,Coords[],3,FALSE)-VLOOKUP(AS$5,Coords[],3,FALSE))^2+(VLOOKUP($G26,Coords[],4,FALSE)-VLOOKUP(AS$5,Coords[],4,FALSE))^2)))</f>
        <v>1000</v>
      </c>
      <c r="AT26" s="10">
        <f>IF($G26=AT$5,1000,IF(AT$4=0,1000,SQRT((VLOOKUP($G26,Coords[],3,FALSE)-VLOOKUP(AT$5,Coords[],3,FALSE))^2+(VLOOKUP($G26,Coords[],4,FALSE)-VLOOKUP(AT$5,Coords[],4,FALSE))^2)))</f>
        <v>1000</v>
      </c>
      <c r="AU26" s="10">
        <f>IF($G26=AU$5,1000,IF(AU$4=0,1000,SQRT((VLOOKUP($G26,Coords[],3,FALSE)-VLOOKUP(AU$5,Coords[],3,FALSE))^2+(VLOOKUP($G26,Coords[],4,FALSE)-VLOOKUP(AU$5,Coords[],4,FALSE))^2)))</f>
        <v>1000</v>
      </c>
      <c r="AV26" s="10">
        <f>IF($G26=AV$5,1000,IF(AV$4=0,1000,SQRT((VLOOKUP($G26,Coords[],3,FALSE)-VLOOKUP(AV$5,Coords[],3,FALSE))^2+(VLOOKUP($G26,Coords[],4,FALSE)-VLOOKUP(AV$5,Coords[],4,FALSE))^2)))</f>
        <v>1000</v>
      </c>
      <c r="AW26" s="10">
        <f>IF($G26=AW$5,1000,IF(AW$4=0,1000,SQRT((VLOOKUP($G26,Coords[],3,FALSE)-VLOOKUP(AW$5,Coords[],3,FALSE))^2+(VLOOKUP($G26,Coords[],4,FALSE)-VLOOKUP(AW$5,Coords[],4,FALSE))^2)))</f>
        <v>1000</v>
      </c>
      <c r="AX26" s="10">
        <f>IF($G26=AX$5,1000,IF(AX$4=0,1000,SQRT((VLOOKUP($G26,Coords[],3,FALSE)-VLOOKUP(AX$5,Coords[],3,FALSE))^2+(VLOOKUP($G26,Coords[],4,FALSE)-VLOOKUP(AX$5,Coords[],4,FALSE))^2)))</f>
        <v>1000</v>
      </c>
      <c r="AY26" s="10">
        <f>IF($G26=AY$5,1000,IF(AY$4=0,1000,SQRT((VLOOKUP($G26,Coords[],3,FALSE)-VLOOKUP(AY$5,Coords[],3,FALSE))^2+(VLOOKUP($G26,Coords[],4,FALSE)-VLOOKUP(AY$5,Coords[],4,FALSE))^2)))</f>
        <v>1000</v>
      </c>
      <c r="AZ26" s="10">
        <f>IF($G26=AZ$5,1000,IF(AZ$4=0,1000,SQRT((VLOOKUP($G26,Coords[],3,FALSE)-VLOOKUP(AZ$5,Coords[],3,FALSE))^2+(VLOOKUP($G26,Coords[],4,FALSE)-VLOOKUP(AZ$5,Coords[],4,FALSE))^2)))</f>
        <v>1000</v>
      </c>
      <c r="BA26" s="10">
        <f>IF($G26=BA$5,1000,IF(BA$4=0,1000,SQRT((VLOOKUP($G26,Coords[],3,FALSE)-VLOOKUP(BA$5,Coords[],3,FALSE))^2+(VLOOKUP($G26,Coords[],4,FALSE)-VLOOKUP(BA$5,Coords[],4,FALSE))^2)))</f>
        <v>1000</v>
      </c>
      <c r="BB26" s="10">
        <f>IF($G26=BB$5,1000,IF(BB$4=0,1000,SQRT((VLOOKUP($G26,Coords[],3,FALSE)-VLOOKUP(BB$5,Coords[],3,FALSE))^2+(VLOOKUP($G26,Coords[],4,FALSE)-VLOOKUP(BB$5,Coords[],4,FALSE))^2)))</f>
        <v>1000</v>
      </c>
      <c r="BC26" s="10">
        <f>IF($G26=BC$5,1000,IF(BC$4=0,1000,SQRT((VLOOKUP($G26,Coords[],3,FALSE)-VLOOKUP(BC$5,Coords[],3,FALSE))^2+(VLOOKUP($G26,Coords[],4,FALSE)-VLOOKUP(BC$5,Coords[],4,FALSE))^2)))</f>
        <v>1000</v>
      </c>
      <c r="BD26" s="10">
        <f>IF($G26=BD$5,1000,IF(BD$4=0,1000,SQRT((VLOOKUP($G26,Coords[],3,FALSE)-VLOOKUP(BD$5,Coords[],3,FALSE))^2+(VLOOKUP($G26,Coords[],4,FALSE)-VLOOKUP(BD$5,Coords[],4,FALSE))^2)))</f>
        <v>1000</v>
      </c>
      <c r="BE26" s="10">
        <f>IF($G26=BE$5,1000,IF(BE$4=0,1000,SQRT((VLOOKUP($G26,Coords[],3,FALSE)-VLOOKUP(BE$5,Coords[],3,FALSE))^2+(VLOOKUP($G26,Coords[],4,FALSE)-VLOOKUP(BE$5,Coords[],4,FALSE))^2)))</f>
        <v>1000</v>
      </c>
      <c r="BF26" s="10">
        <f>IF($G26=BF$5,1000,IF(BF$4=0,1000,SQRT((VLOOKUP($G26,Coords[],3,FALSE)-VLOOKUP(BF$5,Coords[],3,FALSE))^2+(VLOOKUP($G26,Coords[],4,FALSE)-VLOOKUP(BF$5,Coords[],4,FALSE))^2)))</f>
        <v>1000</v>
      </c>
      <c r="BG26" s="4">
        <v>21</v>
      </c>
      <c r="BI26" s="5">
        <f>IF(E26=1,0,VLOOKUP($G26,$G$6:$BF$57,HLOOKUP(MIN(H26:BF26),$H26:$BF$57,((COUNT($G$6:$G$56)+2)-$G26),FALSE),FALSE)*B26)</f>
        <v>43.266615305567868</v>
      </c>
      <c r="BJ26" s="9">
        <f>VLOOKUP($G26,$G$6:$BF$57,HLOOKUP(MIN(H26:BF26),$H26:$BF$57,((COUNT($G$6:$G$56)+2)-$G26),FALSE),FALSE)</f>
        <v>7.2111025509279782</v>
      </c>
      <c r="BK26" s="7">
        <f>HLOOKUP(MIN(H26:BF26),$H26:$BF$57,((COUNT($G$6:$G$56)+2)-$G26),FALSE)</f>
        <v>30</v>
      </c>
      <c r="BL26">
        <f>BJ26*Coords[[#This Row],[Demand]]</f>
        <v>43.266615305567868</v>
      </c>
      <c r="BN26">
        <v>21</v>
      </c>
      <c r="BO26">
        <v>8029.4948154860022</v>
      </c>
      <c r="BP26">
        <v>7779.2126269355431</v>
      </c>
    </row>
    <row r="27" spans="1:68" x14ac:dyDescent="0.25">
      <c r="A27" s="8">
        <v>22</v>
      </c>
      <c r="B27" s="3">
        <v>20</v>
      </c>
      <c r="C27" s="3">
        <v>42</v>
      </c>
      <c r="D27" s="3">
        <v>57</v>
      </c>
      <c r="E27">
        <v>0</v>
      </c>
      <c r="G27" s="4">
        <v>22</v>
      </c>
      <c r="H27" s="10">
        <f>IF($G27=H$5,1000,IF(H$4=0,1000,SQRT((VLOOKUP($G27,Coords[],3,FALSE)-VLOOKUP(H$5,Coords[],3,FALSE))^2+(VLOOKUP($G27,Coords[],4,FALSE)-VLOOKUP(H$5,Coords[],4,FALSE))^2)))</f>
        <v>1000</v>
      </c>
      <c r="I27" s="10">
        <f>IF($G27=I$5,1000,IF(I$4=0,1000,SQRT((VLOOKUP($G27,Coords[],3,FALSE)-VLOOKUP(I$5,Coords[],3,FALSE))^2+(VLOOKUP($G27,Coords[],4,FALSE)-VLOOKUP(I$5,Coords[],4,FALSE))^2)))</f>
        <v>1000</v>
      </c>
      <c r="J27" s="10">
        <f>IF($G27=J$5,1000,IF(J$4=0,1000,SQRT((VLOOKUP($G27,Coords[],3,FALSE)-VLOOKUP(J$5,Coords[],3,FALSE))^2+(VLOOKUP($G27,Coords[],4,FALSE)-VLOOKUP(J$5,Coords[],4,FALSE))^2)))</f>
        <v>1000</v>
      </c>
      <c r="K27" s="10">
        <f>IF($G27=K$5,1000,IF(K$4=0,1000,SQRT((VLOOKUP($G27,Coords[],3,FALSE)-VLOOKUP(K$5,Coords[],3,FALSE))^2+(VLOOKUP($G27,Coords[],4,FALSE)-VLOOKUP(K$5,Coords[],4,FALSE))^2)))</f>
        <v>1000</v>
      </c>
      <c r="L27" s="10">
        <f>IF($G27=L$5,1000,IF(L$4=0,1000,SQRT((VLOOKUP($G27,Coords[],3,FALSE)-VLOOKUP(L$5,Coords[],3,FALSE))^2+(VLOOKUP($G27,Coords[],4,FALSE)-VLOOKUP(L$5,Coords[],4,FALSE))^2)))</f>
        <v>1000</v>
      </c>
      <c r="M27" s="10">
        <f>IF($G27=M$5,1000,IF(M$4=0,1000,SQRT((VLOOKUP($G27,Coords[],3,FALSE)-VLOOKUP(M$5,Coords[],3,FALSE))^2+(VLOOKUP($G27,Coords[],4,FALSE)-VLOOKUP(M$5,Coords[],4,FALSE))^2)))</f>
        <v>1000</v>
      </c>
      <c r="N27" s="10">
        <f>IF($G27=N$5,1000,IF(N$4=0,1000,SQRT((VLOOKUP($G27,Coords[],3,FALSE)-VLOOKUP(N$5,Coords[],3,FALSE))^2+(VLOOKUP($G27,Coords[],4,FALSE)-VLOOKUP(N$5,Coords[],4,FALSE))^2)))</f>
        <v>1000</v>
      </c>
      <c r="O27" s="10">
        <f>IF($G27=O$5,1000,IF(O$4=0,1000,SQRT((VLOOKUP($G27,Coords[],3,FALSE)-VLOOKUP(O$5,Coords[],3,FALSE))^2+(VLOOKUP($G27,Coords[],4,FALSE)-VLOOKUP(O$5,Coords[],4,FALSE))^2)))</f>
        <v>12.083045973594572</v>
      </c>
      <c r="P27" s="10">
        <f>IF($G27=P$5,1000,IF(P$4=0,1000,SQRT((VLOOKUP($G27,Coords[],3,FALSE)-VLOOKUP(P$5,Coords[],3,FALSE))^2+(VLOOKUP($G27,Coords[],4,FALSE)-VLOOKUP(P$5,Coords[],4,FALSE))^2)))</f>
        <v>1000</v>
      </c>
      <c r="Q27" s="10">
        <f>IF($G27=Q$5,1000,IF(Q$4=0,1000,SQRT((VLOOKUP($G27,Coords[],3,FALSE)-VLOOKUP(Q$5,Coords[],3,FALSE))^2+(VLOOKUP($G27,Coords[],4,FALSE)-VLOOKUP(Q$5,Coords[],4,FALSE))^2)))</f>
        <v>1000</v>
      </c>
      <c r="R27" s="10">
        <f>IF($G27=R$5,1000,IF(R$4=0,1000,SQRT((VLOOKUP($G27,Coords[],3,FALSE)-VLOOKUP(R$5,Coords[],3,FALSE))^2+(VLOOKUP($G27,Coords[],4,FALSE)-VLOOKUP(R$5,Coords[],4,FALSE))^2)))</f>
        <v>1000</v>
      </c>
      <c r="S27" s="10">
        <f>IF($G27=S$5,1000,IF(S$4=0,1000,SQRT((VLOOKUP($G27,Coords[],3,FALSE)-VLOOKUP(S$5,Coords[],3,FALSE))^2+(VLOOKUP($G27,Coords[],4,FALSE)-VLOOKUP(S$5,Coords[],4,FALSE))^2)))</f>
        <v>1000</v>
      </c>
      <c r="T27" s="10">
        <f>IF($G27=T$5,1000,IF(T$4=0,1000,SQRT((VLOOKUP($G27,Coords[],3,FALSE)-VLOOKUP(T$5,Coords[],3,FALSE))^2+(VLOOKUP($G27,Coords[],4,FALSE)-VLOOKUP(T$5,Coords[],4,FALSE))^2)))</f>
        <v>1000</v>
      </c>
      <c r="U27" s="10">
        <f>IF($G27=U$5,1000,IF(U$4=0,1000,SQRT((VLOOKUP($G27,Coords[],3,FALSE)-VLOOKUP(U$5,Coords[],3,FALSE))^2+(VLOOKUP($G27,Coords[],4,FALSE)-VLOOKUP(U$5,Coords[],4,FALSE))^2)))</f>
        <v>1000</v>
      </c>
      <c r="V27" s="10">
        <f>IF($G27=V$5,1000,IF(V$4=0,1000,SQRT((VLOOKUP($G27,Coords[],3,FALSE)-VLOOKUP(V$5,Coords[],3,FALSE))^2+(VLOOKUP($G27,Coords[],4,FALSE)-VLOOKUP(V$5,Coords[],4,FALSE))^2)))</f>
        <v>1000</v>
      </c>
      <c r="W27" s="10">
        <f>IF($G27=W$5,1000,IF(W$4=0,1000,SQRT((VLOOKUP($G27,Coords[],3,FALSE)-VLOOKUP(W$5,Coords[],3,FALSE))^2+(VLOOKUP($G27,Coords[],4,FALSE)-VLOOKUP(W$5,Coords[],4,FALSE))^2)))</f>
        <v>1000</v>
      </c>
      <c r="X27" s="10">
        <f>IF($G27=X$5,1000,IF(X$4=0,1000,SQRT((VLOOKUP($G27,Coords[],3,FALSE)-VLOOKUP(X$5,Coords[],3,FALSE))^2+(VLOOKUP($G27,Coords[],4,FALSE)-VLOOKUP(X$5,Coords[],4,FALSE))^2)))</f>
        <v>1000</v>
      </c>
      <c r="Y27" s="10">
        <f>IF($G27=Y$5,1000,IF(Y$4=0,1000,SQRT((VLOOKUP($G27,Coords[],3,FALSE)-VLOOKUP(Y$5,Coords[],3,FALSE))^2+(VLOOKUP($G27,Coords[],4,FALSE)-VLOOKUP(Y$5,Coords[],4,FALSE))^2)))</f>
        <v>1000</v>
      </c>
      <c r="Z27" s="10">
        <f>IF($G27=Z$5,1000,IF(Z$4=0,1000,SQRT((VLOOKUP($G27,Coords[],3,FALSE)-VLOOKUP(Z$5,Coords[],3,FALSE))^2+(VLOOKUP($G27,Coords[],4,FALSE)-VLOOKUP(Z$5,Coords[],4,FALSE))^2)))</f>
        <v>1000</v>
      </c>
      <c r="AA27" s="10">
        <f>IF($G27=AA$5,1000,IF(AA$4=0,1000,SQRT((VLOOKUP($G27,Coords[],3,FALSE)-VLOOKUP(AA$5,Coords[],3,FALSE))^2+(VLOOKUP($G27,Coords[],4,FALSE)-VLOOKUP(AA$5,Coords[],4,FALSE))^2)))</f>
        <v>15.033296378372908</v>
      </c>
      <c r="AB27" s="10">
        <f>IF($G27=AB$5,1000,IF(AB$4=0,1000,SQRT((VLOOKUP($G27,Coords[],3,FALSE)-VLOOKUP(AB$5,Coords[],3,FALSE))^2+(VLOOKUP($G27,Coords[],4,FALSE)-VLOOKUP(AB$5,Coords[],4,FALSE))^2)))</f>
        <v>1000</v>
      </c>
      <c r="AC27" s="10">
        <f>IF($G27=AC$5,1000,IF(AC$4=0,1000,SQRT((VLOOKUP($G27,Coords[],3,FALSE)-VLOOKUP(AC$5,Coords[],3,FALSE))^2+(VLOOKUP($G27,Coords[],4,FALSE)-VLOOKUP(AC$5,Coords[],4,FALSE))^2)))</f>
        <v>1000</v>
      </c>
      <c r="AD27" s="10">
        <f>IF($G27=AD$5,1000,IF(AD$4=0,1000,SQRT((VLOOKUP($G27,Coords[],3,FALSE)-VLOOKUP(AD$5,Coords[],3,FALSE))^2+(VLOOKUP($G27,Coords[],4,FALSE)-VLOOKUP(AD$5,Coords[],4,FALSE))^2)))</f>
        <v>1000</v>
      </c>
      <c r="AE27" s="10">
        <f>IF($G27=AE$5,1000,IF(AE$4=0,1000,SQRT((VLOOKUP($G27,Coords[],3,FALSE)-VLOOKUP(AE$5,Coords[],3,FALSE))^2+(VLOOKUP($G27,Coords[],4,FALSE)-VLOOKUP(AE$5,Coords[],4,FALSE))^2)))</f>
        <v>1000</v>
      </c>
      <c r="AF27" s="10">
        <f>IF($G27=AF$5,1000,IF(AF$4=0,1000,SQRT((VLOOKUP($G27,Coords[],3,FALSE)-VLOOKUP(AF$5,Coords[],3,FALSE))^2+(VLOOKUP($G27,Coords[],4,FALSE)-VLOOKUP(AF$5,Coords[],4,FALSE))^2)))</f>
        <v>1000</v>
      </c>
      <c r="AG27" s="10">
        <f>IF($G27=AG$5,1000,IF(AG$4=0,1000,SQRT((VLOOKUP($G27,Coords[],3,FALSE)-VLOOKUP(AG$5,Coords[],3,FALSE))^2+(VLOOKUP($G27,Coords[],4,FALSE)-VLOOKUP(AG$5,Coords[],4,FALSE))^2)))</f>
        <v>1000</v>
      </c>
      <c r="AH27" s="10">
        <f>IF($G27=AH$5,1000,IF(AH$4=0,1000,SQRT((VLOOKUP($G27,Coords[],3,FALSE)-VLOOKUP(AH$5,Coords[],3,FALSE))^2+(VLOOKUP($G27,Coords[],4,FALSE)-VLOOKUP(AH$5,Coords[],4,FALSE))^2)))</f>
        <v>1000</v>
      </c>
      <c r="AI27" s="10">
        <f>IF($G27=AI$5,1000,IF(AI$4=0,1000,SQRT((VLOOKUP($G27,Coords[],3,FALSE)-VLOOKUP(AI$5,Coords[],3,FALSE))^2+(VLOOKUP($G27,Coords[],4,FALSE)-VLOOKUP(AI$5,Coords[],4,FALSE))^2)))</f>
        <v>1000</v>
      </c>
      <c r="AJ27" s="10">
        <f>IF($G27=AJ$5,1000,IF(AJ$4=0,1000,SQRT((VLOOKUP($G27,Coords[],3,FALSE)-VLOOKUP(AJ$5,Coords[],3,FALSE))^2+(VLOOKUP($G27,Coords[],4,FALSE)-VLOOKUP(AJ$5,Coords[],4,FALSE))^2)))</f>
        <v>18.357559750685819</v>
      </c>
      <c r="AK27" s="10">
        <f>IF($G27=AK$5,1000,IF(AK$4=0,1000,SQRT((VLOOKUP($G27,Coords[],3,FALSE)-VLOOKUP(AK$5,Coords[],3,FALSE))^2+(VLOOKUP($G27,Coords[],4,FALSE)-VLOOKUP(AK$5,Coords[],4,FALSE))^2)))</f>
        <v>1000</v>
      </c>
      <c r="AL27" s="10">
        <f>IF($G27=AL$5,1000,IF(AL$4=0,1000,SQRT((VLOOKUP($G27,Coords[],3,FALSE)-VLOOKUP(AL$5,Coords[],3,FALSE))^2+(VLOOKUP($G27,Coords[],4,FALSE)-VLOOKUP(AL$5,Coords[],4,FALSE))^2)))</f>
        <v>1000</v>
      </c>
      <c r="AM27" s="10">
        <f>IF($G27=AM$5,1000,IF(AM$4=0,1000,SQRT((VLOOKUP($G27,Coords[],3,FALSE)-VLOOKUP(AM$5,Coords[],3,FALSE))^2+(VLOOKUP($G27,Coords[],4,FALSE)-VLOOKUP(AM$5,Coords[],4,FALSE))^2)))</f>
        <v>11.704699910719626</v>
      </c>
      <c r="AN27" s="10">
        <f>IF($G27=AN$5,1000,IF(AN$4=0,1000,SQRT((VLOOKUP($G27,Coords[],3,FALSE)-VLOOKUP(AN$5,Coords[],3,FALSE))^2+(VLOOKUP($G27,Coords[],4,FALSE)-VLOOKUP(AN$5,Coords[],4,FALSE))^2)))</f>
        <v>1000</v>
      </c>
      <c r="AO27" s="10">
        <f>IF($G27=AO$5,1000,IF(AO$4=0,1000,SQRT((VLOOKUP($G27,Coords[],3,FALSE)-VLOOKUP(AO$5,Coords[],3,FALSE))^2+(VLOOKUP($G27,Coords[],4,FALSE)-VLOOKUP(AO$5,Coords[],4,FALSE))^2)))</f>
        <v>1000</v>
      </c>
      <c r="AP27" s="10">
        <f>IF($G27=AP$5,1000,IF(AP$4=0,1000,SQRT((VLOOKUP($G27,Coords[],3,FALSE)-VLOOKUP(AP$5,Coords[],3,FALSE))^2+(VLOOKUP($G27,Coords[],4,FALSE)-VLOOKUP(AP$5,Coords[],4,FALSE))^2)))</f>
        <v>1000</v>
      </c>
      <c r="AQ27" s="10">
        <f>IF($G27=AQ$5,1000,IF(AQ$4=0,1000,SQRT((VLOOKUP($G27,Coords[],3,FALSE)-VLOOKUP(AQ$5,Coords[],3,FALSE))^2+(VLOOKUP($G27,Coords[],4,FALSE)-VLOOKUP(AQ$5,Coords[],4,FALSE))^2)))</f>
        <v>1000</v>
      </c>
      <c r="AR27" s="10">
        <f>IF($G27=AR$5,1000,IF(AR$4=0,1000,SQRT((VLOOKUP($G27,Coords[],3,FALSE)-VLOOKUP(AR$5,Coords[],3,FALSE))^2+(VLOOKUP($G27,Coords[],4,FALSE)-VLOOKUP(AR$5,Coords[],4,FALSE))^2)))</f>
        <v>1000</v>
      </c>
      <c r="AS27" s="10">
        <f>IF($G27=AS$5,1000,IF(AS$4=0,1000,SQRT((VLOOKUP($G27,Coords[],3,FALSE)-VLOOKUP(AS$5,Coords[],3,FALSE))^2+(VLOOKUP($G27,Coords[],4,FALSE)-VLOOKUP(AS$5,Coords[],4,FALSE))^2)))</f>
        <v>1000</v>
      </c>
      <c r="AT27" s="10">
        <f>IF($G27=AT$5,1000,IF(AT$4=0,1000,SQRT((VLOOKUP($G27,Coords[],3,FALSE)-VLOOKUP(AT$5,Coords[],3,FALSE))^2+(VLOOKUP($G27,Coords[],4,FALSE)-VLOOKUP(AT$5,Coords[],4,FALSE))^2)))</f>
        <v>1000</v>
      </c>
      <c r="AU27" s="10">
        <f>IF($G27=AU$5,1000,IF(AU$4=0,1000,SQRT((VLOOKUP($G27,Coords[],3,FALSE)-VLOOKUP(AU$5,Coords[],3,FALSE))^2+(VLOOKUP($G27,Coords[],4,FALSE)-VLOOKUP(AU$5,Coords[],4,FALSE))^2)))</f>
        <v>1000</v>
      </c>
      <c r="AV27" s="10">
        <f>IF($G27=AV$5,1000,IF(AV$4=0,1000,SQRT((VLOOKUP($G27,Coords[],3,FALSE)-VLOOKUP(AV$5,Coords[],3,FALSE))^2+(VLOOKUP($G27,Coords[],4,FALSE)-VLOOKUP(AV$5,Coords[],4,FALSE))^2)))</f>
        <v>1000</v>
      </c>
      <c r="AW27" s="10">
        <f>IF($G27=AW$5,1000,IF(AW$4=0,1000,SQRT((VLOOKUP($G27,Coords[],3,FALSE)-VLOOKUP(AW$5,Coords[],3,FALSE))^2+(VLOOKUP($G27,Coords[],4,FALSE)-VLOOKUP(AW$5,Coords[],4,FALSE))^2)))</f>
        <v>1000</v>
      </c>
      <c r="AX27" s="10">
        <f>IF($G27=AX$5,1000,IF(AX$4=0,1000,SQRT((VLOOKUP($G27,Coords[],3,FALSE)-VLOOKUP(AX$5,Coords[],3,FALSE))^2+(VLOOKUP($G27,Coords[],4,FALSE)-VLOOKUP(AX$5,Coords[],4,FALSE))^2)))</f>
        <v>1000</v>
      </c>
      <c r="AY27" s="10">
        <f>IF($G27=AY$5,1000,IF(AY$4=0,1000,SQRT((VLOOKUP($G27,Coords[],3,FALSE)-VLOOKUP(AY$5,Coords[],3,FALSE))^2+(VLOOKUP($G27,Coords[],4,FALSE)-VLOOKUP(AY$5,Coords[],4,FALSE))^2)))</f>
        <v>1000</v>
      </c>
      <c r="AZ27" s="10">
        <f>IF($G27=AZ$5,1000,IF(AZ$4=0,1000,SQRT((VLOOKUP($G27,Coords[],3,FALSE)-VLOOKUP(AZ$5,Coords[],3,FALSE))^2+(VLOOKUP($G27,Coords[],4,FALSE)-VLOOKUP(AZ$5,Coords[],4,FALSE))^2)))</f>
        <v>1000</v>
      </c>
      <c r="BA27" s="10">
        <f>IF($G27=BA$5,1000,IF(BA$4=0,1000,SQRT((VLOOKUP($G27,Coords[],3,FALSE)-VLOOKUP(BA$5,Coords[],3,FALSE))^2+(VLOOKUP($G27,Coords[],4,FALSE)-VLOOKUP(BA$5,Coords[],4,FALSE))^2)))</f>
        <v>1000</v>
      </c>
      <c r="BB27" s="10">
        <f>IF($G27=BB$5,1000,IF(BB$4=0,1000,SQRT((VLOOKUP($G27,Coords[],3,FALSE)-VLOOKUP(BB$5,Coords[],3,FALSE))^2+(VLOOKUP($G27,Coords[],4,FALSE)-VLOOKUP(BB$5,Coords[],4,FALSE))^2)))</f>
        <v>1000</v>
      </c>
      <c r="BC27" s="10">
        <f>IF($G27=BC$5,1000,IF(BC$4=0,1000,SQRT((VLOOKUP($G27,Coords[],3,FALSE)-VLOOKUP(BC$5,Coords[],3,FALSE))^2+(VLOOKUP($G27,Coords[],4,FALSE)-VLOOKUP(BC$5,Coords[],4,FALSE))^2)))</f>
        <v>1000</v>
      </c>
      <c r="BD27" s="10">
        <f>IF($G27=BD$5,1000,IF(BD$4=0,1000,SQRT((VLOOKUP($G27,Coords[],3,FALSE)-VLOOKUP(BD$5,Coords[],3,FALSE))^2+(VLOOKUP($G27,Coords[],4,FALSE)-VLOOKUP(BD$5,Coords[],4,FALSE))^2)))</f>
        <v>1000</v>
      </c>
      <c r="BE27" s="10">
        <f>IF($G27=BE$5,1000,IF(BE$4=0,1000,SQRT((VLOOKUP($G27,Coords[],3,FALSE)-VLOOKUP(BE$5,Coords[],3,FALSE))^2+(VLOOKUP($G27,Coords[],4,FALSE)-VLOOKUP(BE$5,Coords[],4,FALSE))^2)))</f>
        <v>1000</v>
      </c>
      <c r="BF27" s="10">
        <f>IF($G27=BF$5,1000,IF(BF$4=0,1000,SQRT((VLOOKUP($G27,Coords[],3,FALSE)-VLOOKUP(BF$5,Coords[],3,FALSE))^2+(VLOOKUP($G27,Coords[],4,FALSE)-VLOOKUP(BF$5,Coords[],4,FALSE))^2)))</f>
        <v>1000</v>
      </c>
      <c r="BG27" s="4">
        <v>22</v>
      </c>
      <c r="BI27" s="5">
        <f>IF(E27=1,0,VLOOKUP($G27,$G$6:$BF$57,HLOOKUP(MIN(H27:BF27),$H27:$BF$57,((COUNT($G$6:$G$56)+2)-$G27),FALSE),FALSE)*B27)</f>
        <v>234.09399821439251</v>
      </c>
      <c r="BJ27" s="9">
        <f>VLOOKUP($G27,$G$6:$BF$57,HLOOKUP(MIN(H27:BF27),$H27:$BF$57,((COUNT($G$6:$G$56)+2)-$G27),FALSE),FALSE)</f>
        <v>11.704699910719626</v>
      </c>
      <c r="BK27" s="7">
        <f>HLOOKUP(MIN(H27:BF27),$H27:$BF$57,((COUNT($G$6:$G$56)+2)-$G27),FALSE)</f>
        <v>33</v>
      </c>
      <c r="BL27">
        <f>BJ27*Coords[[#This Row],[Demand]]</f>
        <v>234.09399821439251</v>
      </c>
      <c r="BN27">
        <v>22</v>
      </c>
      <c r="BO27">
        <v>7779.2126269355431</v>
      </c>
      <c r="BP27">
        <v>8494.5140768831898</v>
      </c>
    </row>
    <row r="28" spans="1:68" x14ac:dyDescent="0.25">
      <c r="A28" s="8">
        <v>23</v>
      </c>
      <c r="B28" s="3">
        <v>12</v>
      </c>
      <c r="C28" s="3">
        <v>16</v>
      </c>
      <c r="D28" s="3">
        <v>57</v>
      </c>
      <c r="E28">
        <v>0</v>
      </c>
      <c r="G28" s="4">
        <v>23</v>
      </c>
      <c r="H28" s="10">
        <f>IF($G28=H$5,1000,IF(H$4=0,1000,SQRT((VLOOKUP($G28,Coords[],3,FALSE)-VLOOKUP(H$5,Coords[],3,FALSE))^2+(VLOOKUP($G28,Coords[],4,FALSE)-VLOOKUP(H$5,Coords[],4,FALSE))^2)))</f>
        <v>1000</v>
      </c>
      <c r="I28" s="10">
        <f>IF($G28=I$5,1000,IF(I$4=0,1000,SQRT((VLOOKUP($G28,Coords[],3,FALSE)-VLOOKUP(I$5,Coords[],3,FALSE))^2+(VLOOKUP($G28,Coords[],4,FALSE)-VLOOKUP(I$5,Coords[],4,FALSE))^2)))</f>
        <v>1000</v>
      </c>
      <c r="J28" s="10">
        <f>IF($G28=J$5,1000,IF(J$4=0,1000,SQRT((VLOOKUP($G28,Coords[],3,FALSE)-VLOOKUP(J$5,Coords[],3,FALSE))^2+(VLOOKUP($G28,Coords[],4,FALSE)-VLOOKUP(J$5,Coords[],4,FALSE))^2)))</f>
        <v>1000</v>
      </c>
      <c r="K28" s="10">
        <f>IF($G28=K$5,1000,IF(K$4=0,1000,SQRT((VLOOKUP($G28,Coords[],3,FALSE)-VLOOKUP(K$5,Coords[],3,FALSE))^2+(VLOOKUP($G28,Coords[],4,FALSE)-VLOOKUP(K$5,Coords[],4,FALSE))^2)))</f>
        <v>1000</v>
      </c>
      <c r="L28" s="10">
        <f>IF($G28=L$5,1000,IF(L$4=0,1000,SQRT((VLOOKUP($G28,Coords[],3,FALSE)-VLOOKUP(L$5,Coords[],3,FALSE))^2+(VLOOKUP($G28,Coords[],4,FALSE)-VLOOKUP(L$5,Coords[],4,FALSE))^2)))</f>
        <v>1000</v>
      </c>
      <c r="M28" s="10">
        <f>IF($G28=M$5,1000,IF(M$4=0,1000,SQRT((VLOOKUP($G28,Coords[],3,FALSE)-VLOOKUP(M$5,Coords[],3,FALSE))^2+(VLOOKUP($G28,Coords[],4,FALSE)-VLOOKUP(M$5,Coords[],4,FALSE))^2)))</f>
        <v>1000</v>
      </c>
      <c r="N28" s="10">
        <f>IF($G28=N$5,1000,IF(N$4=0,1000,SQRT((VLOOKUP($G28,Coords[],3,FALSE)-VLOOKUP(N$5,Coords[],3,FALSE))^2+(VLOOKUP($G28,Coords[],4,FALSE)-VLOOKUP(N$5,Coords[],4,FALSE))^2)))</f>
        <v>1000</v>
      </c>
      <c r="O28" s="10">
        <f>IF($G28=O$5,1000,IF(O$4=0,1000,SQRT((VLOOKUP($G28,Coords[],3,FALSE)-VLOOKUP(O$5,Coords[],3,FALSE))^2+(VLOOKUP($G28,Coords[],4,FALSE)-VLOOKUP(O$5,Coords[],4,FALSE))^2)))</f>
        <v>15.811388300841896</v>
      </c>
      <c r="P28" s="10">
        <f>IF($G28=P$5,1000,IF(P$4=0,1000,SQRT((VLOOKUP($G28,Coords[],3,FALSE)-VLOOKUP(P$5,Coords[],3,FALSE))^2+(VLOOKUP($G28,Coords[],4,FALSE)-VLOOKUP(P$5,Coords[],4,FALSE))^2)))</f>
        <v>1000</v>
      </c>
      <c r="Q28" s="10">
        <f>IF($G28=Q$5,1000,IF(Q$4=0,1000,SQRT((VLOOKUP($G28,Coords[],3,FALSE)-VLOOKUP(Q$5,Coords[],3,FALSE))^2+(VLOOKUP($G28,Coords[],4,FALSE)-VLOOKUP(Q$5,Coords[],4,FALSE))^2)))</f>
        <v>1000</v>
      </c>
      <c r="R28" s="10">
        <f>IF($G28=R$5,1000,IF(R$4=0,1000,SQRT((VLOOKUP($G28,Coords[],3,FALSE)-VLOOKUP(R$5,Coords[],3,FALSE))^2+(VLOOKUP($G28,Coords[],4,FALSE)-VLOOKUP(R$5,Coords[],4,FALSE))^2)))</f>
        <v>1000</v>
      </c>
      <c r="S28" s="10">
        <f>IF($G28=S$5,1000,IF(S$4=0,1000,SQRT((VLOOKUP($G28,Coords[],3,FALSE)-VLOOKUP(S$5,Coords[],3,FALSE))^2+(VLOOKUP($G28,Coords[],4,FALSE)-VLOOKUP(S$5,Coords[],4,FALSE))^2)))</f>
        <v>1000</v>
      </c>
      <c r="T28" s="10">
        <f>IF($G28=T$5,1000,IF(T$4=0,1000,SQRT((VLOOKUP($G28,Coords[],3,FALSE)-VLOOKUP(T$5,Coords[],3,FALSE))^2+(VLOOKUP($G28,Coords[],4,FALSE)-VLOOKUP(T$5,Coords[],4,FALSE))^2)))</f>
        <v>1000</v>
      </c>
      <c r="U28" s="10">
        <f>IF($G28=U$5,1000,IF(U$4=0,1000,SQRT((VLOOKUP($G28,Coords[],3,FALSE)-VLOOKUP(U$5,Coords[],3,FALSE))^2+(VLOOKUP($G28,Coords[],4,FALSE)-VLOOKUP(U$5,Coords[],4,FALSE))^2)))</f>
        <v>1000</v>
      </c>
      <c r="V28" s="10">
        <f>IF($G28=V$5,1000,IF(V$4=0,1000,SQRT((VLOOKUP($G28,Coords[],3,FALSE)-VLOOKUP(V$5,Coords[],3,FALSE))^2+(VLOOKUP($G28,Coords[],4,FALSE)-VLOOKUP(V$5,Coords[],4,FALSE))^2)))</f>
        <v>1000</v>
      </c>
      <c r="W28" s="10">
        <f>IF($G28=W$5,1000,IF(W$4=0,1000,SQRT((VLOOKUP($G28,Coords[],3,FALSE)-VLOOKUP(W$5,Coords[],3,FALSE))^2+(VLOOKUP($G28,Coords[],4,FALSE)-VLOOKUP(W$5,Coords[],4,FALSE))^2)))</f>
        <v>1000</v>
      </c>
      <c r="X28" s="10">
        <f>IF($G28=X$5,1000,IF(X$4=0,1000,SQRT((VLOOKUP($G28,Coords[],3,FALSE)-VLOOKUP(X$5,Coords[],3,FALSE))^2+(VLOOKUP($G28,Coords[],4,FALSE)-VLOOKUP(X$5,Coords[],4,FALSE))^2)))</f>
        <v>1000</v>
      </c>
      <c r="Y28" s="10">
        <f>IF($G28=Y$5,1000,IF(Y$4=0,1000,SQRT((VLOOKUP($G28,Coords[],3,FALSE)-VLOOKUP(Y$5,Coords[],3,FALSE))^2+(VLOOKUP($G28,Coords[],4,FALSE)-VLOOKUP(Y$5,Coords[],4,FALSE))^2)))</f>
        <v>1000</v>
      </c>
      <c r="Z28" s="10">
        <f>IF($G28=Z$5,1000,IF(Z$4=0,1000,SQRT((VLOOKUP($G28,Coords[],3,FALSE)-VLOOKUP(Z$5,Coords[],3,FALSE))^2+(VLOOKUP($G28,Coords[],4,FALSE)-VLOOKUP(Z$5,Coords[],4,FALSE))^2)))</f>
        <v>1000</v>
      </c>
      <c r="AA28" s="10">
        <f>IF($G28=AA$5,1000,IF(AA$4=0,1000,SQRT((VLOOKUP($G28,Coords[],3,FALSE)-VLOOKUP(AA$5,Coords[],3,FALSE))^2+(VLOOKUP($G28,Coords[],4,FALSE)-VLOOKUP(AA$5,Coords[],4,FALSE))^2)))</f>
        <v>41.012193308819754</v>
      </c>
      <c r="AB28" s="10">
        <f>IF($G28=AB$5,1000,IF(AB$4=0,1000,SQRT((VLOOKUP($G28,Coords[],3,FALSE)-VLOOKUP(AB$5,Coords[],3,FALSE))^2+(VLOOKUP($G28,Coords[],4,FALSE)-VLOOKUP(AB$5,Coords[],4,FALSE))^2)))</f>
        <v>1000</v>
      </c>
      <c r="AC28" s="10">
        <f>IF($G28=AC$5,1000,IF(AC$4=0,1000,SQRT((VLOOKUP($G28,Coords[],3,FALSE)-VLOOKUP(AC$5,Coords[],3,FALSE))^2+(VLOOKUP($G28,Coords[],4,FALSE)-VLOOKUP(AC$5,Coords[],4,FALSE))^2)))</f>
        <v>1000</v>
      </c>
      <c r="AD28" s="10">
        <f>IF($G28=AD$5,1000,IF(AD$4=0,1000,SQRT((VLOOKUP($G28,Coords[],3,FALSE)-VLOOKUP(AD$5,Coords[],3,FALSE))^2+(VLOOKUP($G28,Coords[],4,FALSE)-VLOOKUP(AD$5,Coords[],4,FALSE))^2)))</f>
        <v>1000</v>
      </c>
      <c r="AE28" s="10">
        <f>IF($G28=AE$5,1000,IF(AE$4=0,1000,SQRT((VLOOKUP($G28,Coords[],3,FALSE)-VLOOKUP(AE$5,Coords[],3,FALSE))^2+(VLOOKUP($G28,Coords[],4,FALSE)-VLOOKUP(AE$5,Coords[],4,FALSE))^2)))</f>
        <v>1000</v>
      </c>
      <c r="AF28" s="10">
        <f>IF($G28=AF$5,1000,IF(AF$4=0,1000,SQRT((VLOOKUP($G28,Coords[],3,FALSE)-VLOOKUP(AF$5,Coords[],3,FALSE))^2+(VLOOKUP($G28,Coords[],4,FALSE)-VLOOKUP(AF$5,Coords[],4,FALSE))^2)))</f>
        <v>1000</v>
      </c>
      <c r="AG28" s="10">
        <f>IF($G28=AG$5,1000,IF(AG$4=0,1000,SQRT((VLOOKUP($G28,Coords[],3,FALSE)-VLOOKUP(AG$5,Coords[],3,FALSE))^2+(VLOOKUP($G28,Coords[],4,FALSE)-VLOOKUP(AG$5,Coords[],4,FALSE))^2)))</f>
        <v>1000</v>
      </c>
      <c r="AH28" s="10">
        <f>IF($G28=AH$5,1000,IF(AH$4=0,1000,SQRT((VLOOKUP($G28,Coords[],3,FALSE)-VLOOKUP(AH$5,Coords[],3,FALSE))^2+(VLOOKUP($G28,Coords[],4,FALSE)-VLOOKUP(AH$5,Coords[],4,FALSE))^2)))</f>
        <v>1000</v>
      </c>
      <c r="AI28" s="10">
        <f>IF($G28=AI$5,1000,IF(AI$4=0,1000,SQRT((VLOOKUP($G28,Coords[],3,FALSE)-VLOOKUP(AI$5,Coords[],3,FALSE))^2+(VLOOKUP($G28,Coords[],4,FALSE)-VLOOKUP(AI$5,Coords[],4,FALSE))^2)))</f>
        <v>1000</v>
      </c>
      <c r="AJ28" s="10">
        <f>IF($G28=AJ$5,1000,IF(AJ$4=0,1000,SQRT((VLOOKUP($G28,Coords[],3,FALSE)-VLOOKUP(AJ$5,Coords[],3,FALSE))^2+(VLOOKUP($G28,Coords[],4,FALSE)-VLOOKUP(AJ$5,Coords[],4,FALSE))^2)))</f>
        <v>42.953463189829058</v>
      </c>
      <c r="AK28" s="10">
        <f>IF($G28=AK$5,1000,IF(AK$4=0,1000,SQRT((VLOOKUP($G28,Coords[],3,FALSE)-VLOOKUP(AK$5,Coords[],3,FALSE))^2+(VLOOKUP($G28,Coords[],4,FALSE)-VLOOKUP(AK$5,Coords[],4,FALSE))^2)))</f>
        <v>1000</v>
      </c>
      <c r="AL28" s="10">
        <f>IF($G28=AL$5,1000,IF(AL$4=0,1000,SQRT((VLOOKUP($G28,Coords[],3,FALSE)-VLOOKUP(AL$5,Coords[],3,FALSE))^2+(VLOOKUP($G28,Coords[],4,FALSE)-VLOOKUP(AL$5,Coords[],4,FALSE))^2)))</f>
        <v>1000</v>
      </c>
      <c r="AM28" s="10">
        <f>IF($G28=AM$5,1000,IF(AM$4=0,1000,SQRT((VLOOKUP($G28,Coords[],3,FALSE)-VLOOKUP(AM$5,Coords[],3,FALSE))^2+(VLOOKUP($G28,Coords[],4,FALSE)-VLOOKUP(AM$5,Coords[],4,FALSE))^2)))</f>
        <v>24.596747752497688</v>
      </c>
      <c r="AN28" s="10">
        <f>IF($G28=AN$5,1000,IF(AN$4=0,1000,SQRT((VLOOKUP($G28,Coords[],3,FALSE)-VLOOKUP(AN$5,Coords[],3,FALSE))^2+(VLOOKUP($G28,Coords[],4,FALSE)-VLOOKUP(AN$5,Coords[],4,FALSE))^2)))</f>
        <v>1000</v>
      </c>
      <c r="AO28" s="10">
        <f>IF($G28=AO$5,1000,IF(AO$4=0,1000,SQRT((VLOOKUP($G28,Coords[],3,FALSE)-VLOOKUP(AO$5,Coords[],3,FALSE))^2+(VLOOKUP($G28,Coords[],4,FALSE)-VLOOKUP(AO$5,Coords[],4,FALSE))^2)))</f>
        <v>1000</v>
      </c>
      <c r="AP28" s="10">
        <f>IF($G28=AP$5,1000,IF(AP$4=0,1000,SQRT((VLOOKUP($G28,Coords[],3,FALSE)-VLOOKUP(AP$5,Coords[],3,FALSE))^2+(VLOOKUP($G28,Coords[],4,FALSE)-VLOOKUP(AP$5,Coords[],4,FALSE))^2)))</f>
        <v>1000</v>
      </c>
      <c r="AQ28" s="10">
        <f>IF($G28=AQ$5,1000,IF(AQ$4=0,1000,SQRT((VLOOKUP($G28,Coords[],3,FALSE)-VLOOKUP(AQ$5,Coords[],3,FALSE))^2+(VLOOKUP($G28,Coords[],4,FALSE)-VLOOKUP(AQ$5,Coords[],4,FALSE))^2)))</f>
        <v>1000</v>
      </c>
      <c r="AR28" s="10">
        <f>IF($G28=AR$5,1000,IF(AR$4=0,1000,SQRT((VLOOKUP($G28,Coords[],3,FALSE)-VLOOKUP(AR$5,Coords[],3,FALSE))^2+(VLOOKUP($G28,Coords[],4,FALSE)-VLOOKUP(AR$5,Coords[],4,FALSE))^2)))</f>
        <v>1000</v>
      </c>
      <c r="AS28" s="10">
        <f>IF($G28=AS$5,1000,IF(AS$4=0,1000,SQRT((VLOOKUP($G28,Coords[],3,FALSE)-VLOOKUP(AS$5,Coords[],3,FALSE))^2+(VLOOKUP($G28,Coords[],4,FALSE)-VLOOKUP(AS$5,Coords[],4,FALSE))^2)))</f>
        <v>1000</v>
      </c>
      <c r="AT28" s="10">
        <f>IF($G28=AT$5,1000,IF(AT$4=0,1000,SQRT((VLOOKUP($G28,Coords[],3,FALSE)-VLOOKUP(AT$5,Coords[],3,FALSE))^2+(VLOOKUP($G28,Coords[],4,FALSE)-VLOOKUP(AT$5,Coords[],4,FALSE))^2)))</f>
        <v>1000</v>
      </c>
      <c r="AU28" s="10">
        <f>IF($G28=AU$5,1000,IF(AU$4=0,1000,SQRT((VLOOKUP($G28,Coords[],3,FALSE)-VLOOKUP(AU$5,Coords[],3,FALSE))^2+(VLOOKUP($G28,Coords[],4,FALSE)-VLOOKUP(AU$5,Coords[],4,FALSE))^2)))</f>
        <v>1000</v>
      </c>
      <c r="AV28" s="10">
        <f>IF($G28=AV$5,1000,IF(AV$4=0,1000,SQRT((VLOOKUP($G28,Coords[],3,FALSE)-VLOOKUP(AV$5,Coords[],3,FALSE))^2+(VLOOKUP($G28,Coords[],4,FALSE)-VLOOKUP(AV$5,Coords[],4,FALSE))^2)))</f>
        <v>1000</v>
      </c>
      <c r="AW28" s="10">
        <f>IF($G28=AW$5,1000,IF(AW$4=0,1000,SQRT((VLOOKUP($G28,Coords[],3,FALSE)-VLOOKUP(AW$5,Coords[],3,FALSE))^2+(VLOOKUP($G28,Coords[],4,FALSE)-VLOOKUP(AW$5,Coords[],4,FALSE))^2)))</f>
        <v>1000</v>
      </c>
      <c r="AX28" s="10">
        <f>IF($G28=AX$5,1000,IF(AX$4=0,1000,SQRT((VLOOKUP($G28,Coords[],3,FALSE)-VLOOKUP(AX$5,Coords[],3,FALSE))^2+(VLOOKUP($G28,Coords[],4,FALSE)-VLOOKUP(AX$5,Coords[],4,FALSE))^2)))</f>
        <v>1000</v>
      </c>
      <c r="AY28" s="10">
        <f>IF($G28=AY$5,1000,IF(AY$4=0,1000,SQRT((VLOOKUP($G28,Coords[],3,FALSE)-VLOOKUP(AY$5,Coords[],3,FALSE))^2+(VLOOKUP($G28,Coords[],4,FALSE)-VLOOKUP(AY$5,Coords[],4,FALSE))^2)))</f>
        <v>1000</v>
      </c>
      <c r="AZ28" s="10">
        <f>IF($G28=AZ$5,1000,IF(AZ$4=0,1000,SQRT((VLOOKUP($G28,Coords[],3,FALSE)-VLOOKUP(AZ$5,Coords[],3,FALSE))^2+(VLOOKUP($G28,Coords[],4,FALSE)-VLOOKUP(AZ$5,Coords[],4,FALSE))^2)))</f>
        <v>1000</v>
      </c>
      <c r="BA28" s="10">
        <f>IF($G28=BA$5,1000,IF(BA$4=0,1000,SQRT((VLOOKUP($G28,Coords[],3,FALSE)-VLOOKUP(BA$5,Coords[],3,FALSE))^2+(VLOOKUP($G28,Coords[],4,FALSE)-VLOOKUP(BA$5,Coords[],4,FALSE))^2)))</f>
        <v>1000</v>
      </c>
      <c r="BB28" s="10">
        <f>IF($G28=BB$5,1000,IF(BB$4=0,1000,SQRT((VLOOKUP($G28,Coords[],3,FALSE)-VLOOKUP(BB$5,Coords[],3,FALSE))^2+(VLOOKUP($G28,Coords[],4,FALSE)-VLOOKUP(BB$5,Coords[],4,FALSE))^2)))</f>
        <v>1000</v>
      </c>
      <c r="BC28" s="10">
        <f>IF($G28=BC$5,1000,IF(BC$4=0,1000,SQRT((VLOOKUP($G28,Coords[],3,FALSE)-VLOOKUP(BC$5,Coords[],3,FALSE))^2+(VLOOKUP($G28,Coords[],4,FALSE)-VLOOKUP(BC$5,Coords[],4,FALSE))^2)))</f>
        <v>1000</v>
      </c>
      <c r="BD28" s="10">
        <f>IF($G28=BD$5,1000,IF(BD$4=0,1000,SQRT((VLOOKUP($G28,Coords[],3,FALSE)-VLOOKUP(BD$5,Coords[],3,FALSE))^2+(VLOOKUP($G28,Coords[],4,FALSE)-VLOOKUP(BD$5,Coords[],4,FALSE))^2)))</f>
        <v>1000</v>
      </c>
      <c r="BE28" s="10">
        <f>IF($G28=BE$5,1000,IF(BE$4=0,1000,SQRT((VLOOKUP($G28,Coords[],3,FALSE)-VLOOKUP(BE$5,Coords[],3,FALSE))^2+(VLOOKUP($G28,Coords[],4,FALSE)-VLOOKUP(BE$5,Coords[],4,FALSE))^2)))</f>
        <v>1000</v>
      </c>
      <c r="BF28" s="10">
        <f>IF($G28=BF$5,1000,IF(BF$4=0,1000,SQRT((VLOOKUP($G28,Coords[],3,FALSE)-VLOOKUP(BF$5,Coords[],3,FALSE))^2+(VLOOKUP($G28,Coords[],4,FALSE)-VLOOKUP(BF$5,Coords[],4,FALSE))^2)))</f>
        <v>1000</v>
      </c>
      <c r="BG28" s="4">
        <v>23</v>
      </c>
      <c r="BI28" s="5">
        <f>IF(E28=1,0,VLOOKUP($G28,$G$6:$BF$57,HLOOKUP(MIN(H28:BF28),$H28:$BF$57,((COUNT($G$6:$G$56)+2)-$G28),FALSE),FALSE)*B28)</f>
        <v>12000</v>
      </c>
      <c r="BJ28" s="9">
        <f>VLOOKUP($G28,$G$6:$BF$57,HLOOKUP(MIN(H28:BF28),$H28:$BF$57,((COUNT($G$6:$G$56)+2)-$G28),FALSE),FALSE)</f>
        <v>1000</v>
      </c>
      <c r="BK28" s="7">
        <f>HLOOKUP(MIN(H28:BF28),$H28:$BF$57,((COUNT($G$6:$G$56)+2)-$G28),FALSE)</f>
        <v>8</v>
      </c>
      <c r="BL28">
        <f>BJ28*Coords[[#This Row],[Demand]]</f>
        <v>12000</v>
      </c>
      <c r="BN28">
        <v>23</v>
      </c>
      <c r="BO28">
        <v>7779.2126269355431</v>
      </c>
      <c r="BP28">
        <v>7895.0916218733591</v>
      </c>
    </row>
    <row r="29" spans="1:68" x14ac:dyDescent="0.25">
      <c r="A29" s="8">
        <v>24</v>
      </c>
      <c r="B29" s="3">
        <v>7</v>
      </c>
      <c r="C29" s="3">
        <v>8</v>
      </c>
      <c r="D29" s="3">
        <v>52</v>
      </c>
      <c r="E29">
        <v>0</v>
      </c>
      <c r="G29" s="4">
        <v>24</v>
      </c>
      <c r="H29" s="10">
        <f>IF($G29=H$5,1000,IF(H$4=0,1000,SQRT((VLOOKUP($G29,Coords[],3,FALSE)-VLOOKUP(H$5,Coords[],3,FALSE))^2+(VLOOKUP($G29,Coords[],4,FALSE)-VLOOKUP(H$5,Coords[],4,FALSE))^2)))</f>
        <v>1000</v>
      </c>
      <c r="I29" s="10">
        <f>IF($G29=I$5,1000,IF(I$4=0,1000,SQRT((VLOOKUP($G29,Coords[],3,FALSE)-VLOOKUP(I$5,Coords[],3,FALSE))^2+(VLOOKUP($G29,Coords[],4,FALSE)-VLOOKUP(I$5,Coords[],4,FALSE))^2)))</f>
        <v>1000</v>
      </c>
      <c r="J29" s="10">
        <f>IF($G29=J$5,1000,IF(J$4=0,1000,SQRT((VLOOKUP($G29,Coords[],3,FALSE)-VLOOKUP(J$5,Coords[],3,FALSE))^2+(VLOOKUP($G29,Coords[],4,FALSE)-VLOOKUP(J$5,Coords[],4,FALSE))^2)))</f>
        <v>1000</v>
      </c>
      <c r="K29" s="10">
        <f>IF($G29=K$5,1000,IF(K$4=0,1000,SQRT((VLOOKUP($G29,Coords[],3,FALSE)-VLOOKUP(K$5,Coords[],3,FALSE))^2+(VLOOKUP($G29,Coords[],4,FALSE)-VLOOKUP(K$5,Coords[],4,FALSE))^2)))</f>
        <v>1000</v>
      </c>
      <c r="L29" s="10">
        <f>IF($G29=L$5,1000,IF(L$4=0,1000,SQRT((VLOOKUP($G29,Coords[],3,FALSE)-VLOOKUP(L$5,Coords[],3,FALSE))^2+(VLOOKUP($G29,Coords[],4,FALSE)-VLOOKUP(L$5,Coords[],4,FALSE))^2)))</f>
        <v>1000</v>
      </c>
      <c r="M29" s="10">
        <f>IF($G29=M$5,1000,IF(M$4=0,1000,SQRT((VLOOKUP($G29,Coords[],3,FALSE)-VLOOKUP(M$5,Coords[],3,FALSE))^2+(VLOOKUP($G29,Coords[],4,FALSE)-VLOOKUP(M$5,Coords[],4,FALSE))^2)))</f>
        <v>1000</v>
      </c>
      <c r="N29" s="10">
        <f>IF($G29=N$5,1000,IF(N$4=0,1000,SQRT((VLOOKUP($G29,Coords[],3,FALSE)-VLOOKUP(N$5,Coords[],3,FALSE))^2+(VLOOKUP($G29,Coords[],4,FALSE)-VLOOKUP(N$5,Coords[],4,FALSE))^2)))</f>
        <v>1000</v>
      </c>
      <c r="O29" s="10">
        <f>IF($G29=O$5,1000,IF(O$4=0,1000,SQRT((VLOOKUP($G29,Coords[],3,FALSE)-VLOOKUP(O$5,Coords[],3,FALSE))^2+(VLOOKUP($G29,Coords[],4,FALSE)-VLOOKUP(O$5,Coords[],4,FALSE))^2)))</f>
        <v>25.079872407968907</v>
      </c>
      <c r="P29" s="10">
        <f>IF($G29=P$5,1000,IF(P$4=0,1000,SQRT((VLOOKUP($G29,Coords[],3,FALSE)-VLOOKUP(P$5,Coords[],3,FALSE))^2+(VLOOKUP($G29,Coords[],4,FALSE)-VLOOKUP(P$5,Coords[],4,FALSE))^2)))</f>
        <v>1000</v>
      </c>
      <c r="Q29" s="10">
        <f>IF($G29=Q$5,1000,IF(Q$4=0,1000,SQRT((VLOOKUP($G29,Coords[],3,FALSE)-VLOOKUP(Q$5,Coords[],3,FALSE))^2+(VLOOKUP($G29,Coords[],4,FALSE)-VLOOKUP(Q$5,Coords[],4,FALSE))^2)))</f>
        <v>1000</v>
      </c>
      <c r="R29" s="10">
        <f>IF($G29=R$5,1000,IF(R$4=0,1000,SQRT((VLOOKUP($G29,Coords[],3,FALSE)-VLOOKUP(R$5,Coords[],3,FALSE))^2+(VLOOKUP($G29,Coords[],4,FALSE)-VLOOKUP(R$5,Coords[],4,FALSE))^2)))</f>
        <v>1000</v>
      </c>
      <c r="S29" s="10">
        <f>IF($G29=S$5,1000,IF(S$4=0,1000,SQRT((VLOOKUP($G29,Coords[],3,FALSE)-VLOOKUP(S$5,Coords[],3,FALSE))^2+(VLOOKUP($G29,Coords[],4,FALSE)-VLOOKUP(S$5,Coords[],4,FALSE))^2)))</f>
        <v>1000</v>
      </c>
      <c r="T29" s="10">
        <f>IF($G29=T$5,1000,IF(T$4=0,1000,SQRT((VLOOKUP($G29,Coords[],3,FALSE)-VLOOKUP(T$5,Coords[],3,FALSE))^2+(VLOOKUP($G29,Coords[],4,FALSE)-VLOOKUP(T$5,Coords[],4,FALSE))^2)))</f>
        <v>1000</v>
      </c>
      <c r="U29" s="10">
        <f>IF($G29=U$5,1000,IF(U$4=0,1000,SQRT((VLOOKUP($G29,Coords[],3,FALSE)-VLOOKUP(U$5,Coords[],3,FALSE))^2+(VLOOKUP($G29,Coords[],4,FALSE)-VLOOKUP(U$5,Coords[],4,FALSE))^2)))</f>
        <v>1000</v>
      </c>
      <c r="V29" s="10">
        <f>IF($G29=V$5,1000,IF(V$4=0,1000,SQRT((VLOOKUP($G29,Coords[],3,FALSE)-VLOOKUP(V$5,Coords[],3,FALSE))^2+(VLOOKUP($G29,Coords[],4,FALSE)-VLOOKUP(V$5,Coords[],4,FALSE))^2)))</f>
        <v>1000</v>
      </c>
      <c r="W29" s="10">
        <f>IF($G29=W$5,1000,IF(W$4=0,1000,SQRT((VLOOKUP($G29,Coords[],3,FALSE)-VLOOKUP(W$5,Coords[],3,FALSE))^2+(VLOOKUP($G29,Coords[],4,FALSE)-VLOOKUP(W$5,Coords[],4,FALSE))^2)))</f>
        <v>1000</v>
      </c>
      <c r="X29" s="10">
        <f>IF($G29=X$5,1000,IF(X$4=0,1000,SQRT((VLOOKUP($G29,Coords[],3,FALSE)-VLOOKUP(X$5,Coords[],3,FALSE))^2+(VLOOKUP($G29,Coords[],4,FALSE)-VLOOKUP(X$5,Coords[],4,FALSE))^2)))</f>
        <v>1000</v>
      </c>
      <c r="Y29" s="10">
        <f>IF($G29=Y$5,1000,IF(Y$4=0,1000,SQRT((VLOOKUP($G29,Coords[],3,FALSE)-VLOOKUP(Y$5,Coords[],3,FALSE))^2+(VLOOKUP($G29,Coords[],4,FALSE)-VLOOKUP(Y$5,Coords[],4,FALSE))^2)))</f>
        <v>1000</v>
      </c>
      <c r="Z29" s="10">
        <f>IF($G29=Z$5,1000,IF(Z$4=0,1000,SQRT((VLOOKUP($G29,Coords[],3,FALSE)-VLOOKUP(Z$5,Coords[],3,FALSE))^2+(VLOOKUP($G29,Coords[],4,FALSE)-VLOOKUP(Z$5,Coords[],4,FALSE))^2)))</f>
        <v>1000</v>
      </c>
      <c r="AA29" s="10">
        <f>IF($G29=AA$5,1000,IF(AA$4=0,1000,SQRT((VLOOKUP($G29,Coords[],3,FALSE)-VLOOKUP(AA$5,Coords[],3,FALSE))^2+(VLOOKUP($G29,Coords[],4,FALSE)-VLOOKUP(AA$5,Coords[],4,FALSE))^2)))</f>
        <v>49.365980188789933</v>
      </c>
      <c r="AB29" s="10">
        <f>IF($G29=AB$5,1000,IF(AB$4=0,1000,SQRT((VLOOKUP($G29,Coords[],3,FALSE)-VLOOKUP(AB$5,Coords[],3,FALSE))^2+(VLOOKUP($G29,Coords[],4,FALSE)-VLOOKUP(AB$5,Coords[],4,FALSE))^2)))</f>
        <v>1000</v>
      </c>
      <c r="AC29" s="10">
        <f>IF($G29=AC$5,1000,IF(AC$4=0,1000,SQRT((VLOOKUP($G29,Coords[],3,FALSE)-VLOOKUP(AC$5,Coords[],3,FALSE))^2+(VLOOKUP($G29,Coords[],4,FALSE)-VLOOKUP(AC$5,Coords[],4,FALSE))^2)))</f>
        <v>1000</v>
      </c>
      <c r="AD29" s="10">
        <f>IF($G29=AD$5,1000,IF(AD$4=0,1000,SQRT((VLOOKUP($G29,Coords[],3,FALSE)-VLOOKUP(AD$5,Coords[],3,FALSE))^2+(VLOOKUP($G29,Coords[],4,FALSE)-VLOOKUP(AD$5,Coords[],4,FALSE))^2)))</f>
        <v>1000</v>
      </c>
      <c r="AE29" s="10">
        <f>IF($G29=AE$5,1000,IF(AE$4=0,1000,SQRT((VLOOKUP($G29,Coords[],3,FALSE)-VLOOKUP(AE$5,Coords[],3,FALSE))^2+(VLOOKUP($G29,Coords[],4,FALSE)-VLOOKUP(AE$5,Coords[],4,FALSE))^2)))</f>
        <v>1000</v>
      </c>
      <c r="AF29" s="10">
        <f>IF($G29=AF$5,1000,IF(AF$4=0,1000,SQRT((VLOOKUP($G29,Coords[],3,FALSE)-VLOOKUP(AF$5,Coords[],3,FALSE))^2+(VLOOKUP($G29,Coords[],4,FALSE)-VLOOKUP(AF$5,Coords[],4,FALSE))^2)))</f>
        <v>1000</v>
      </c>
      <c r="AG29" s="10">
        <f>IF($G29=AG$5,1000,IF(AG$4=0,1000,SQRT((VLOOKUP($G29,Coords[],3,FALSE)-VLOOKUP(AG$5,Coords[],3,FALSE))^2+(VLOOKUP($G29,Coords[],4,FALSE)-VLOOKUP(AG$5,Coords[],4,FALSE))^2)))</f>
        <v>1000</v>
      </c>
      <c r="AH29" s="10">
        <f>IF($G29=AH$5,1000,IF(AH$4=0,1000,SQRT((VLOOKUP($G29,Coords[],3,FALSE)-VLOOKUP(AH$5,Coords[],3,FALSE))^2+(VLOOKUP($G29,Coords[],4,FALSE)-VLOOKUP(AH$5,Coords[],4,FALSE))^2)))</f>
        <v>1000</v>
      </c>
      <c r="AI29" s="10">
        <f>IF($G29=AI$5,1000,IF(AI$4=0,1000,SQRT((VLOOKUP($G29,Coords[],3,FALSE)-VLOOKUP(AI$5,Coords[],3,FALSE))^2+(VLOOKUP($G29,Coords[],4,FALSE)-VLOOKUP(AI$5,Coords[],4,FALSE))^2)))</f>
        <v>1000</v>
      </c>
      <c r="AJ29" s="10">
        <f>IF($G29=AJ$5,1000,IF(AJ$4=0,1000,SQRT((VLOOKUP($G29,Coords[],3,FALSE)-VLOOKUP(AJ$5,Coords[],3,FALSE))^2+(VLOOKUP($G29,Coords[],4,FALSE)-VLOOKUP(AJ$5,Coords[],4,FALSE))^2)))</f>
        <v>50.159744815937813</v>
      </c>
      <c r="AK29" s="10">
        <f>IF($G29=AK$5,1000,IF(AK$4=0,1000,SQRT((VLOOKUP($G29,Coords[],3,FALSE)-VLOOKUP(AK$5,Coords[],3,FALSE))^2+(VLOOKUP($G29,Coords[],4,FALSE)-VLOOKUP(AK$5,Coords[],4,FALSE))^2)))</f>
        <v>1000</v>
      </c>
      <c r="AL29" s="10">
        <f>IF($G29=AL$5,1000,IF(AL$4=0,1000,SQRT((VLOOKUP($G29,Coords[],3,FALSE)-VLOOKUP(AL$5,Coords[],3,FALSE))^2+(VLOOKUP($G29,Coords[],4,FALSE)-VLOOKUP(AL$5,Coords[],4,FALSE))^2)))</f>
        <v>1000</v>
      </c>
      <c r="AM29" s="10">
        <f>IF($G29=AM$5,1000,IF(AM$4=0,1000,SQRT((VLOOKUP($G29,Coords[],3,FALSE)-VLOOKUP(AM$5,Coords[],3,FALSE))^2+(VLOOKUP($G29,Coords[],4,FALSE)-VLOOKUP(AM$5,Coords[],4,FALSE))^2)))</f>
        <v>30.594117081556711</v>
      </c>
      <c r="AN29" s="10">
        <f>IF($G29=AN$5,1000,IF(AN$4=0,1000,SQRT((VLOOKUP($G29,Coords[],3,FALSE)-VLOOKUP(AN$5,Coords[],3,FALSE))^2+(VLOOKUP($G29,Coords[],4,FALSE)-VLOOKUP(AN$5,Coords[],4,FALSE))^2)))</f>
        <v>1000</v>
      </c>
      <c r="AO29" s="10">
        <f>IF($G29=AO$5,1000,IF(AO$4=0,1000,SQRT((VLOOKUP($G29,Coords[],3,FALSE)-VLOOKUP(AO$5,Coords[],3,FALSE))^2+(VLOOKUP($G29,Coords[],4,FALSE)-VLOOKUP(AO$5,Coords[],4,FALSE))^2)))</f>
        <v>1000</v>
      </c>
      <c r="AP29" s="10">
        <f>IF($G29=AP$5,1000,IF(AP$4=0,1000,SQRT((VLOOKUP($G29,Coords[],3,FALSE)-VLOOKUP(AP$5,Coords[],3,FALSE))^2+(VLOOKUP($G29,Coords[],4,FALSE)-VLOOKUP(AP$5,Coords[],4,FALSE))^2)))</f>
        <v>1000</v>
      </c>
      <c r="AQ29" s="10">
        <f>IF($G29=AQ$5,1000,IF(AQ$4=0,1000,SQRT((VLOOKUP($G29,Coords[],3,FALSE)-VLOOKUP(AQ$5,Coords[],3,FALSE))^2+(VLOOKUP($G29,Coords[],4,FALSE)-VLOOKUP(AQ$5,Coords[],4,FALSE))^2)))</f>
        <v>1000</v>
      </c>
      <c r="AR29" s="10">
        <f>IF($G29=AR$5,1000,IF(AR$4=0,1000,SQRT((VLOOKUP($G29,Coords[],3,FALSE)-VLOOKUP(AR$5,Coords[],3,FALSE))^2+(VLOOKUP($G29,Coords[],4,FALSE)-VLOOKUP(AR$5,Coords[],4,FALSE))^2)))</f>
        <v>1000</v>
      </c>
      <c r="AS29" s="10">
        <f>IF($G29=AS$5,1000,IF(AS$4=0,1000,SQRT((VLOOKUP($G29,Coords[],3,FALSE)-VLOOKUP(AS$5,Coords[],3,FALSE))^2+(VLOOKUP($G29,Coords[],4,FALSE)-VLOOKUP(AS$5,Coords[],4,FALSE))^2)))</f>
        <v>1000</v>
      </c>
      <c r="AT29" s="10">
        <f>IF($G29=AT$5,1000,IF(AT$4=0,1000,SQRT((VLOOKUP($G29,Coords[],3,FALSE)-VLOOKUP(AT$5,Coords[],3,FALSE))^2+(VLOOKUP($G29,Coords[],4,FALSE)-VLOOKUP(AT$5,Coords[],4,FALSE))^2)))</f>
        <v>1000</v>
      </c>
      <c r="AU29" s="10">
        <f>IF($G29=AU$5,1000,IF(AU$4=0,1000,SQRT((VLOOKUP($G29,Coords[],3,FALSE)-VLOOKUP(AU$5,Coords[],3,FALSE))^2+(VLOOKUP($G29,Coords[],4,FALSE)-VLOOKUP(AU$5,Coords[],4,FALSE))^2)))</f>
        <v>1000</v>
      </c>
      <c r="AV29" s="10">
        <f>IF($G29=AV$5,1000,IF(AV$4=0,1000,SQRT((VLOOKUP($G29,Coords[],3,FALSE)-VLOOKUP(AV$5,Coords[],3,FALSE))^2+(VLOOKUP($G29,Coords[],4,FALSE)-VLOOKUP(AV$5,Coords[],4,FALSE))^2)))</f>
        <v>1000</v>
      </c>
      <c r="AW29" s="10">
        <f>IF($G29=AW$5,1000,IF(AW$4=0,1000,SQRT((VLOOKUP($G29,Coords[],3,FALSE)-VLOOKUP(AW$5,Coords[],3,FALSE))^2+(VLOOKUP($G29,Coords[],4,FALSE)-VLOOKUP(AW$5,Coords[],4,FALSE))^2)))</f>
        <v>1000</v>
      </c>
      <c r="AX29" s="10">
        <f>IF($G29=AX$5,1000,IF(AX$4=0,1000,SQRT((VLOOKUP($G29,Coords[],3,FALSE)-VLOOKUP(AX$5,Coords[],3,FALSE))^2+(VLOOKUP($G29,Coords[],4,FALSE)-VLOOKUP(AX$5,Coords[],4,FALSE))^2)))</f>
        <v>1000</v>
      </c>
      <c r="AY29" s="10">
        <f>IF($G29=AY$5,1000,IF(AY$4=0,1000,SQRT((VLOOKUP($G29,Coords[],3,FALSE)-VLOOKUP(AY$5,Coords[],3,FALSE))^2+(VLOOKUP($G29,Coords[],4,FALSE)-VLOOKUP(AY$5,Coords[],4,FALSE))^2)))</f>
        <v>1000</v>
      </c>
      <c r="AZ29" s="10">
        <f>IF($G29=AZ$5,1000,IF(AZ$4=0,1000,SQRT((VLOOKUP($G29,Coords[],3,FALSE)-VLOOKUP(AZ$5,Coords[],3,FALSE))^2+(VLOOKUP($G29,Coords[],4,FALSE)-VLOOKUP(AZ$5,Coords[],4,FALSE))^2)))</f>
        <v>1000</v>
      </c>
      <c r="BA29" s="10">
        <f>IF($G29=BA$5,1000,IF(BA$4=0,1000,SQRT((VLOOKUP($G29,Coords[],3,FALSE)-VLOOKUP(BA$5,Coords[],3,FALSE))^2+(VLOOKUP($G29,Coords[],4,FALSE)-VLOOKUP(BA$5,Coords[],4,FALSE))^2)))</f>
        <v>1000</v>
      </c>
      <c r="BB29" s="10">
        <f>IF($G29=BB$5,1000,IF(BB$4=0,1000,SQRT((VLOOKUP($G29,Coords[],3,FALSE)-VLOOKUP(BB$5,Coords[],3,FALSE))^2+(VLOOKUP($G29,Coords[],4,FALSE)-VLOOKUP(BB$5,Coords[],4,FALSE))^2)))</f>
        <v>1000</v>
      </c>
      <c r="BC29" s="10">
        <f>IF($G29=BC$5,1000,IF(BC$4=0,1000,SQRT((VLOOKUP($G29,Coords[],3,FALSE)-VLOOKUP(BC$5,Coords[],3,FALSE))^2+(VLOOKUP($G29,Coords[],4,FALSE)-VLOOKUP(BC$5,Coords[],4,FALSE))^2)))</f>
        <v>1000</v>
      </c>
      <c r="BD29" s="10">
        <f>IF($G29=BD$5,1000,IF(BD$4=0,1000,SQRT((VLOOKUP($G29,Coords[],3,FALSE)-VLOOKUP(BD$5,Coords[],3,FALSE))^2+(VLOOKUP($G29,Coords[],4,FALSE)-VLOOKUP(BD$5,Coords[],4,FALSE))^2)))</f>
        <v>1000</v>
      </c>
      <c r="BE29" s="10">
        <f>IF($G29=BE$5,1000,IF(BE$4=0,1000,SQRT((VLOOKUP($G29,Coords[],3,FALSE)-VLOOKUP(BE$5,Coords[],3,FALSE))^2+(VLOOKUP($G29,Coords[],4,FALSE)-VLOOKUP(BE$5,Coords[],4,FALSE))^2)))</f>
        <v>1000</v>
      </c>
      <c r="BF29" s="10">
        <f>IF($G29=BF$5,1000,IF(BF$4=0,1000,SQRT((VLOOKUP($G29,Coords[],3,FALSE)-VLOOKUP(BF$5,Coords[],3,FALSE))^2+(VLOOKUP($G29,Coords[],4,FALSE)-VLOOKUP(BF$5,Coords[],4,FALSE))^2)))</f>
        <v>1000</v>
      </c>
      <c r="BG29" s="4">
        <v>24</v>
      </c>
      <c r="BI29" s="5">
        <f>IF(E29=1,0,VLOOKUP($G29,$G$6:$BF$57,HLOOKUP(MIN(H29:BF29),$H29:$BF$57,((COUNT($G$6:$G$56)+2)-$G29),FALSE),FALSE)*B29)</f>
        <v>7000</v>
      </c>
      <c r="BJ29" s="9">
        <f>VLOOKUP($G29,$G$6:$BF$57,HLOOKUP(MIN(H29:BF29),$H29:$BF$57,((COUNT($G$6:$G$56)+2)-$G29),FALSE),FALSE)</f>
        <v>1000</v>
      </c>
      <c r="BK29" s="7">
        <f>HLOOKUP(MIN(H29:BF29),$H29:$BF$57,((COUNT($G$6:$G$56)+2)-$G29),FALSE)</f>
        <v>8</v>
      </c>
      <c r="BL29">
        <f>BJ29*Coords[[#This Row],[Demand]]</f>
        <v>7000</v>
      </c>
      <c r="BN29">
        <v>24</v>
      </c>
      <c r="BO29">
        <v>7779.2126269355431</v>
      </c>
      <c r="BP29">
        <v>8816.4017713232879</v>
      </c>
    </row>
    <row r="30" spans="1:68" x14ac:dyDescent="0.25">
      <c r="A30" s="8">
        <v>25</v>
      </c>
      <c r="B30" s="3">
        <v>2</v>
      </c>
      <c r="C30" s="3">
        <v>7</v>
      </c>
      <c r="D30" s="3">
        <v>38</v>
      </c>
      <c r="E30">
        <v>0</v>
      </c>
      <c r="G30" s="4">
        <v>25</v>
      </c>
      <c r="H30" s="10">
        <f>IF($G30=H$5,1000,IF(H$4=0,1000,SQRT((VLOOKUP($G30,Coords[],3,FALSE)-VLOOKUP(H$5,Coords[],3,FALSE))^2+(VLOOKUP($G30,Coords[],4,FALSE)-VLOOKUP(H$5,Coords[],4,FALSE))^2)))</f>
        <v>1000</v>
      </c>
      <c r="I30" s="10">
        <f>IF($G30=I$5,1000,IF(I$4=0,1000,SQRT((VLOOKUP($G30,Coords[],3,FALSE)-VLOOKUP(I$5,Coords[],3,FALSE))^2+(VLOOKUP($G30,Coords[],4,FALSE)-VLOOKUP(I$5,Coords[],4,FALSE))^2)))</f>
        <v>1000</v>
      </c>
      <c r="J30" s="10">
        <f>IF($G30=J$5,1000,IF(J$4=0,1000,SQRT((VLOOKUP($G30,Coords[],3,FALSE)-VLOOKUP(J$5,Coords[],3,FALSE))^2+(VLOOKUP($G30,Coords[],4,FALSE)-VLOOKUP(J$5,Coords[],4,FALSE))^2)))</f>
        <v>1000</v>
      </c>
      <c r="K30" s="10">
        <f>IF($G30=K$5,1000,IF(K$4=0,1000,SQRT((VLOOKUP($G30,Coords[],3,FALSE)-VLOOKUP(K$5,Coords[],3,FALSE))^2+(VLOOKUP($G30,Coords[],4,FALSE)-VLOOKUP(K$5,Coords[],4,FALSE))^2)))</f>
        <v>1000</v>
      </c>
      <c r="L30" s="10">
        <f>IF($G30=L$5,1000,IF(L$4=0,1000,SQRT((VLOOKUP($G30,Coords[],3,FALSE)-VLOOKUP(L$5,Coords[],3,FALSE))^2+(VLOOKUP($G30,Coords[],4,FALSE)-VLOOKUP(L$5,Coords[],4,FALSE))^2)))</f>
        <v>1000</v>
      </c>
      <c r="M30" s="10">
        <f>IF($G30=M$5,1000,IF(M$4=0,1000,SQRT((VLOOKUP($G30,Coords[],3,FALSE)-VLOOKUP(M$5,Coords[],3,FALSE))^2+(VLOOKUP($G30,Coords[],4,FALSE)-VLOOKUP(M$5,Coords[],4,FALSE))^2)))</f>
        <v>1000</v>
      </c>
      <c r="N30" s="10">
        <f>IF($G30=N$5,1000,IF(N$4=0,1000,SQRT((VLOOKUP($G30,Coords[],3,FALSE)-VLOOKUP(N$5,Coords[],3,FALSE))^2+(VLOOKUP($G30,Coords[],4,FALSE)-VLOOKUP(N$5,Coords[],4,FALSE))^2)))</f>
        <v>1000</v>
      </c>
      <c r="O30" s="10">
        <f>IF($G30=O$5,1000,IF(O$4=0,1000,SQRT((VLOOKUP($G30,Coords[],3,FALSE)-VLOOKUP(O$5,Coords[],3,FALSE))^2+(VLOOKUP($G30,Coords[],4,FALSE)-VLOOKUP(O$5,Coords[],4,FALSE))^2)))</f>
        <v>33.941125496954278</v>
      </c>
      <c r="P30" s="10">
        <f>IF($G30=P$5,1000,IF(P$4=0,1000,SQRT((VLOOKUP($G30,Coords[],3,FALSE)-VLOOKUP(P$5,Coords[],3,FALSE))^2+(VLOOKUP($G30,Coords[],4,FALSE)-VLOOKUP(P$5,Coords[],4,FALSE))^2)))</f>
        <v>1000</v>
      </c>
      <c r="Q30" s="10">
        <f>IF($G30=Q$5,1000,IF(Q$4=0,1000,SQRT((VLOOKUP($G30,Coords[],3,FALSE)-VLOOKUP(Q$5,Coords[],3,FALSE))^2+(VLOOKUP($G30,Coords[],4,FALSE)-VLOOKUP(Q$5,Coords[],4,FALSE))^2)))</f>
        <v>1000</v>
      </c>
      <c r="R30" s="10">
        <f>IF($G30=R$5,1000,IF(R$4=0,1000,SQRT((VLOOKUP($G30,Coords[],3,FALSE)-VLOOKUP(R$5,Coords[],3,FALSE))^2+(VLOOKUP($G30,Coords[],4,FALSE)-VLOOKUP(R$5,Coords[],4,FALSE))^2)))</f>
        <v>1000</v>
      </c>
      <c r="S30" s="10">
        <f>IF($G30=S$5,1000,IF(S$4=0,1000,SQRT((VLOOKUP($G30,Coords[],3,FALSE)-VLOOKUP(S$5,Coords[],3,FALSE))^2+(VLOOKUP($G30,Coords[],4,FALSE)-VLOOKUP(S$5,Coords[],4,FALSE))^2)))</f>
        <v>1000</v>
      </c>
      <c r="T30" s="10">
        <f>IF($G30=T$5,1000,IF(T$4=0,1000,SQRT((VLOOKUP($G30,Coords[],3,FALSE)-VLOOKUP(T$5,Coords[],3,FALSE))^2+(VLOOKUP($G30,Coords[],4,FALSE)-VLOOKUP(T$5,Coords[],4,FALSE))^2)))</f>
        <v>1000</v>
      </c>
      <c r="U30" s="10">
        <f>IF($G30=U$5,1000,IF(U$4=0,1000,SQRT((VLOOKUP($G30,Coords[],3,FALSE)-VLOOKUP(U$5,Coords[],3,FALSE))^2+(VLOOKUP($G30,Coords[],4,FALSE)-VLOOKUP(U$5,Coords[],4,FALSE))^2)))</f>
        <v>1000</v>
      </c>
      <c r="V30" s="10">
        <f>IF($G30=V$5,1000,IF(V$4=0,1000,SQRT((VLOOKUP($G30,Coords[],3,FALSE)-VLOOKUP(V$5,Coords[],3,FALSE))^2+(VLOOKUP($G30,Coords[],4,FALSE)-VLOOKUP(V$5,Coords[],4,FALSE))^2)))</f>
        <v>1000</v>
      </c>
      <c r="W30" s="10">
        <f>IF($G30=W$5,1000,IF(W$4=0,1000,SQRT((VLOOKUP($G30,Coords[],3,FALSE)-VLOOKUP(W$5,Coords[],3,FALSE))^2+(VLOOKUP($G30,Coords[],4,FALSE)-VLOOKUP(W$5,Coords[],4,FALSE))^2)))</f>
        <v>1000</v>
      </c>
      <c r="X30" s="10">
        <f>IF($G30=X$5,1000,IF(X$4=0,1000,SQRT((VLOOKUP($G30,Coords[],3,FALSE)-VLOOKUP(X$5,Coords[],3,FALSE))^2+(VLOOKUP($G30,Coords[],4,FALSE)-VLOOKUP(X$5,Coords[],4,FALSE))^2)))</f>
        <v>1000</v>
      </c>
      <c r="Y30" s="10">
        <f>IF($G30=Y$5,1000,IF(Y$4=0,1000,SQRT((VLOOKUP($G30,Coords[],3,FALSE)-VLOOKUP(Y$5,Coords[],3,FALSE))^2+(VLOOKUP($G30,Coords[],4,FALSE)-VLOOKUP(Y$5,Coords[],4,FALSE))^2)))</f>
        <v>1000</v>
      </c>
      <c r="Z30" s="10">
        <f>IF($G30=Z$5,1000,IF(Z$4=0,1000,SQRT((VLOOKUP($G30,Coords[],3,FALSE)-VLOOKUP(Z$5,Coords[],3,FALSE))^2+(VLOOKUP($G30,Coords[],4,FALSE)-VLOOKUP(Z$5,Coords[],4,FALSE))^2)))</f>
        <v>1000</v>
      </c>
      <c r="AA30" s="10">
        <f>IF($G30=AA$5,1000,IF(AA$4=0,1000,SQRT((VLOOKUP($G30,Coords[],3,FALSE)-VLOOKUP(AA$5,Coords[],3,FALSE))^2+(VLOOKUP($G30,Coords[],4,FALSE)-VLOOKUP(AA$5,Coords[],4,FALSE))^2)))</f>
        <v>53.851648071345039</v>
      </c>
      <c r="AB30" s="10">
        <f>IF($G30=AB$5,1000,IF(AB$4=0,1000,SQRT((VLOOKUP($G30,Coords[],3,FALSE)-VLOOKUP(AB$5,Coords[],3,FALSE))^2+(VLOOKUP($G30,Coords[],4,FALSE)-VLOOKUP(AB$5,Coords[],4,FALSE))^2)))</f>
        <v>1000</v>
      </c>
      <c r="AC30" s="10">
        <f>IF($G30=AC$5,1000,IF(AC$4=0,1000,SQRT((VLOOKUP($G30,Coords[],3,FALSE)-VLOOKUP(AC$5,Coords[],3,FALSE))^2+(VLOOKUP($G30,Coords[],4,FALSE)-VLOOKUP(AC$5,Coords[],4,FALSE))^2)))</f>
        <v>1000</v>
      </c>
      <c r="AD30" s="10">
        <f>IF($G30=AD$5,1000,IF(AD$4=0,1000,SQRT((VLOOKUP($G30,Coords[],3,FALSE)-VLOOKUP(AD$5,Coords[],3,FALSE))^2+(VLOOKUP($G30,Coords[],4,FALSE)-VLOOKUP(AD$5,Coords[],4,FALSE))^2)))</f>
        <v>1000</v>
      </c>
      <c r="AE30" s="10">
        <f>IF($G30=AE$5,1000,IF(AE$4=0,1000,SQRT((VLOOKUP($G30,Coords[],3,FALSE)-VLOOKUP(AE$5,Coords[],3,FALSE))^2+(VLOOKUP($G30,Coords[],4,FALSE)-VLOOKUP(AE$5,Coords[],4,FALSE))^2)))</f>
        <v>1000</v>
      </c>
      <c r="AF30" s="10">
        <f>IF($G30=AF$5,1000,IF(AF$4=0,1000,SQRT((VLOOKUP($G30,Coords[],3,FALSE)-VLOOKUP(AF$5,Coords[],3,FALSE))^2+(VLOOKUP($G30,Coords[],4,FALSE)-VLOOKUP(AF$5,Coords[],4,FALSE))^2)))</f>
        <v>1000</v>
      </c>
      <c r="AG30" s="10">
        <f>IF($G30=AG$5,1000,IF(AG$4=0,1000,SQRT((VLOOKUP($G30,Coords[],3,FALSE)-VLOOKUP(AG$5,Coords[],3,FALSE))^2+(VLOOKUP($G30,Coords[],4,FALSE)-VLOOKUP(AG$5,Coords[],4,FALSE))^2)))</f>
        <v>1000</v>
      </c>
      <c r="AH30" s="10">
        <f>IF($G30=AH$5,1000,IF(AH$4=0,1000,SQRT((VLOOKUP($G30,Coords[],3,FALSE)-VLOOKUP(AH$5,Coords[],3,FALSE))^2+(VLOOKUP($G30,Coords[],4,FALSE)-VLOOKUP(AH$5,Coords[],4,FALSE))^2)))</f>
        <v>1000</v>
      </c>
      <c r="AI30" s="10">
        <f>IF($G30=AI$5,1000,IF(AI$4=0,1000,SQRT((VLOOKUP($G30,Coords[],3,FALSE)-VLOOKUP(AI$5,Coords[],3,FALSE))^2+(VLOOKUP($G30,Coords[],4,FALSE)-VLOOKUP(AI$5,Coords[],4,FALSE))^2)))</f>
        <v>1000</v>
      </c>
      <c r="AJ30" s="10">
        <f>IF($G30=AJ$5,1000,IF(AJ$4=0,1000,SQRT((VLOOKUP($G30,Coords[],3,FALSE)-VLOOKUP(AJ$5,Coords[],3,FALSE))^2+(VLOOKUP($G30,Coords[],4,FALSE)-VLOOKUP(AJ$5,Coords[],4,FALSE))^2)))</f>
        <v>51.97114584074513</v>
      </c>
      <c r="AK30" s="10">
        <f>IF($G30=AK$5,1000,IF(AK$4=0,1000,SQRT((VLOOKUP($G30,Coords[],3,FALSE)-VLOOKUP(AK$5,Coords[],3,FALSE))^2+(VLOOKUP($G30,Coords[],4,FALSE)-VLOOKUP(AK$5,Coords[],4,FALSE))^2)))</f>
        <v>1000</v>
      </c>
      <c r="AL30" s="10">
        <f>IF($G30=AL$5,1000,IF(AL$4=0,1000,SQRT((VLOOKUP($G30,Coords[],3,FALSE)-VLOOKUP(AL$5,Coords[],3,FALSE))^2+(VLOOKUP($G30,Coords[],4,FALSE)-VLOOKUP(AL$5,Coords[],4,FALSE))^2)))</f>
        <v>1000</v>
      </c>
      <c r="AM30" s="10">
        <f>IF($G30=AM$5,1000,IF(AM$4=0,1000,SQRT((VLOOKUP($G30,Coords[],3,FALSE)-VLOOKUP(AM$5,Coords[],3,FALSE))^2+(VLOOKUP($G30,Coords[],4,FALSE)-VLOOKUP(AM$5,Coords[],4,FALSE))^2)))</f>
        <v>32.015621187164243</v>
      </c>
      <c r="AN30" s="10">
        <f>IF($G30=AN$5,1000,IF(AN$4=0,1000,SQRT((VLOOKUP($G30,Coords[],3,FALSE)-VLOOKUP(AN$5,Coords[],3,FALSE))^2+(VLOOKUP($G30,Coords[],4,FALSE)-VLOOKUP(AN$5,Coords[],4,FALSE))^2)))</f>
        <v>1000</v>
      </c>
      <c r="AO30" s="10">
        <f>IF($G30=AO$5,1000,IF(AO$4=0,1000,SQRT((VLOOKUP($G30,Coords[],3,FALSE)-VLOOKUP(AO$5,Coords[],3,FALSE))^2+(VLOOKUP($G30,Coords[],4,FALSE)-VLOOKUP(AO$5,Coords[],4,FALSE))^2)))</f>
        <v>1000</v>
      </c>
      <c r="AP30" s="10">
        <f>IF($G30=AP$5,1000,IF(AP$4=0,1000,SQRT((VLOOKUP($G30,Coords[],3,FALSE)-VLOOKUP(AP$5,Coords[],3,FALSE))^2+(VLOOKUP($G30,Coords[],4,FALSE)-VLOOKUP(AP$5,Coords[],4,FALSE))^2)))</f>
        <v>1000</v>
      </c>
      <c r="AQ30" s="10">
        <f>IF($G30=AQ$5,1000,IF(AQ$4=0,1000,SQRT((VLOOKUP($G30,Coords[],3,FALSE)-VLOOKUP(AQ$5,Coords[],3,FALSE))^2+(VLOOKUP($G30,Coords[],4,FALSE)-VLOOKUP(AQ$5,Coords[],4,FALSE))^2)))</f>
        <v>1000</v>
      </c>
      <c r="AR30" s="10">
        <f>IF($G30=AR$5,1000,IF(AR$4=0,1000,SQRT((VLOOKUP($G30,Coords[],3,FALSE)-VLOOKUP(AR$5,Coords[],3,FALSE))^2+(VLOOKUP($G30,Coords[],4,FALSE)-VLOOKUP(AR$5,Coords[],4,FALSE))^2)))</f>
        <v>1000</v>
      </c>
      <c r="AS30" s="10">
        <f>IF($G30=AS$5,1000,IF(AS$4=0,1000,SQRT((VLOOKUP($G30,Coords[],3,FALSE)-VLOOKUP(AS$5,Coords[],3,FALSE))^2+(VLOOKUP($G30,Coords[],4,FALSE)-VLOOKUP(AS$5,Coords[],4,FALSE))^2)))</f>
        <v>1000</v>
      </c>
      <c r="AT30" s="10">
        <f>IF($G30=AT$5,1000,IF(AT$4=0,1000,SQRT((VLOOKUP($G30,Coords[],3,FALSE)-VLOOKUP(AT$5,Coords[],3,FALSE))^2+(VLOOKUP($G30,Coords[],4,FALSE)-VLOOKUP(AT$5,Coords[],4,FALSE))^2)))</f>
        <v>1000</v>
      </c>
      <c r="AU30" s="10">
        <f>IF($G30=AU$5,1000,IF(AU$4=0,1000,SQRT((VLOOKUP($G30,Coords[],3,FALSE)-VLOOKUP(AU$5,Coords[],3,FALSE))^2+(VLOOKUP($G30,Coords[],4,FALSE)-VLOOKUP(AU$5,Coords[],4,FALSE))^2)))</f>
        <v>1000</v>
      </c>
      <c r="AV30" s="10">
        <f>IF($G30=AV$5,1000,IF(AV$4=0,1000,SQRT((VLOOKUP($G30,Coords[],3,FALSE)-VLOOKUP(AV$5,Coords[],3,FALSE))^2+(VLOOKUP($G30,Coords[],4,FALSE)-VLOOKUP(AV$5,Coords[],4,FALSE))^2)))</f>
        <v>1000</v>
      </c>
      <c r="AW30" s="10">
        <f>IF($G30=AW$5,1000,IF(AW$4=0,1000,SQRT((VLOOKUP($G30,Coords[],3,FALSE)-VLOOKUP(AW$5,Coords[],3,FALSE))^2+(VLOOKUP($G30,Coords[],4,FALSE)-VLOOKUP(AW$5,Coords[],4,FALSE))^2)))</f>
        <v>1000</v>
      </c>
      <c r="AX30" s="10">
        <f>IF($G30=AX$5,1000,IF(AX$4=0,1000,SQRT((VLOOKUP($G30,Coords[],3,FALSE)-VLOOKUP(AX$5,Coords[],3,FALSE))^2+(VLOOKUP($G30,Coords[],4,FALSE)-VLOOKUP(AX$5,Coords[],4,FALSE))^2)))</f>
        <v>1000</v>
      </c>
      <c r="AY30" s="10">
        <f>IF($G30=AY$5,1000,IF(AY$4=0,1000,SQRT((VLOOKUP($G30,Coords[],3,FALSE)-VLOOKUP(AY$5,Coords[],3,FALSE))^2+(VLOOKUP($G30,Coords[],4,FALSE)-VLOOKUP(AY$5,Coords[],4,FALSE))^2)))</f>
        <v>1000</v>
      </c>
      <c r="AZ30" s="10">
        <f>IF($G30=AZ$5,1000,IF(AZ$4=0,1000,SQRT((VLOOKUP($G30,Coords[],3,FALSE)-VLOOKUP(AZ$5,Coords[],3,FALSE))^2+(VLOOKUP($G30,Coords[],4,FALSE)-VLOOKUP(AZ$5,Coords[],4,FALSE))^2)))</f>
        <v>1000</v>
      </c>
      <c r="BA30" s="10">
        <f>IF($G30=BA$5,1000,IF(BA$4=0,1000,SQRT((VLOOKUP($G30,Coords[],3,FALSE)-VLOOKUP(BA$5,Coords[],3,FALSE))^2+(VLOOKUP($G30,Coords[],4,FALSE)-VLOOKUP(BA$5,Coords[],4,FALSE))^2)))</f>
        <v>1000</v>
      </c>
      <c r="BB30" s="10">
        <f>IF($G30=BB$5,1000,IF(BB$4=0,1000,SQRT((VLOOKUP($G30,Coords[],3,FALSE)-VLOOKUP(BB$5,Coords[],3,FALSE))^2+(VLOOKUP($G30,Coords[],4,FALSE)-VLOOKUP(BB$5,Coords[],4,FALSE))^2)))</f>
        <v>1000</v>
      </c>
      <c r="BC30" s="10">
        <f>IF($G30=BC$5,1000,IF(BC$4=0,1000,SQRT((VLOOKUP($G30,Coords[],3,FALSE)-VLOOKUP(BC$5,Coords[],3,FALSE))^2+(VLOOKUP($G30,Coords[],4,FALSE)-VLOOKUP(BC$5,Coords[],4,FALSE))^2)))</f>
        <v>1000</v>
      </c>
      <c r="BD30" s="10">
        <f>IF($G30=BD$5,1000,IF(BD$4=0,1000,SQRT((VLOOKUP($G30,Coords[],3,FALSE)-VLOOKUP(BD$5,Coords[],3,FALSE))^2+(VLOOKUP($G30,Coords[],4,FALSE)-VLOOKUP(BD$5,Coords[],4,FALSE))^2)))</f>
        <v>1000</v>
      </c>
      <c r="BE30" s="10">
        <f>IF($G30=BE$5,1000,IF(BE$4=0,1000,SQRT((VLOOKUP($G30,Coords[],3,FALSE)-VLOOKUP(BE$5,Coords[],3,FALSE))^2+(VLOOKUP($G30,Coords[],4,FALSE)-VLOOKUP(BE$5,Coords[],4,FALSE))^2)))</f>
        <v>1000</v>
      </c>
      <c r="BF30" s="10">
        <f>IF($G30=BF$5,1000,IF(BF$4=0,1000,SQRT((VLOOKUP($G30,Coords[],3,FALSE)-VLOOKUP(BF$5,Coords[],3,FALSE))^2+(VLOOKUP($G30,Coords[],4,FALSE)-VLOOKUP(BF$5,Coords[],4,FALSE))^2)))</f>
        <v>1000</v>
      </c>
      <c r="BG30" s="4">
        <v>25</v>
      </c>
      <c r="BI30" s="5">
        <f>IF(E30=1,0,VLOOKUP($G30,$G$6:$BF$57,HLOOKUP(MIN(H30:BF30),$H30:$BF$57,((COUNT($G$6:$G$56)+2)-$G30),FALSE),FALSE)*B30)</f>
        <v>64.031242374328485</v>
      </c>
      <c r="BJ30" s="9">
        <f>VLOOKUP($G30,$G$6:$BF$57,HLOOKUP(MIN(H30:BF30),$H30:$BF$57,((COUNT($G$6:$G$56)+2)-$G30),FALSE),FALSE)</f>
        <v>32.015621187164243</v>
      </c>
      <c r="BK30" s="7">
        <f>HLOOKUP(MIN(H30:BF30),$H30:$BF$57,((COUNT($G$6:$G$56)+2)-$G30),FALSE)</f>
        <v>33</v>
      </c>
      <c r="BL30">
        <f>BJ30*Coords[[#This Row],[Demand]]</f>
        <v>64.031242374328485</v>
      </c>
      <c r="BN30">
        <v>25</v>
      </c>
      <c r="BO30">
        <v>7779.2126269355431</v>
      </c>
      <c r="BP30">
        <v>8898.7551924837317</v>
      </c>
    </row>
    <row r="31" spans="1:68" x14ac:dyDescent="0.25">
      <c r="A31" s="8">
        <v>26</v>
      </c>
      <c r="B31" s="3">
        <v>29</v>
      </c>
      <c r="C31" s="3">
        <v>27</v>
      </c>
      <c r="D31" s="3">
        <v>68</v>
      </c>
      <c r="E31">
        <v>0</v>
      </c>
      <c r="G31" s="4">
        <v>26</v>
      </c>
      <c r="H31" s="10">
        <f>IF($G31=H$5,1000,IF(H$4=0,1000,SQRT((VLOOKUP($G31,Coords[],3,FALSE)-VLOOKUP(H$5,Coords[],3,FALSE))^2+(VLOOKUP($G31,Coords[],4,FALSE)-VLOOKUP(H$5,Coords[],4,FALSE))^2)))</f>
        <v>1000</v>
      </c>
      <c r="I31" s="10">
        <f>IF($G31=I$5,1000,IF(I$4=0,1000,SQRT((VLOOKUP($G31,Coords[],3,FALSE)-VLOOKUP(I$5,Coords[],3,FALSE))^2+(VLOOKUP($G31,Coords[],4,FALSE)-VLOOKUP(I$5,Coords[],4,FALSE))^2)))</f>
        <v>1000</v>
      </c>
      <c r="J31" s="10">
        <f>IF($G31=J$5,1000,IF(J$4=0,1000,SQRT((VLOOKUP($G31,Coords[],3,FALSE)-VLOOKUP(J$5,Coords[],3,FALSE))^2+(VLOOKUP($G31,Coords[],4,FALSE)-VLOOKUP(J$5,Coords[],4,FALSE))^2)))</f>
        <v>1000</v>
      </c>
      <c r="K31" s="10">
        <f>IF($G31=K$5,1000,IF(K$4=0,1000,SQRT((VLOOKUP($G31,Coords[],3,FALSE)-VLOOKUP(K$5,Coords[],3,FALSE))^2+(VLOOKUP($G31,Coords[],4,FALSE)-VLOOKUP(K$5,Coords[],4,FALSE))^2)))</f>
        <v>1000</v>
      </c>
      <c r="L31" s="10">
        <f>IF($G31=L$5,1000,IF(L$4=0,1000,SQRT((VLOOKUP($G31,Coords[],3,FALSE)-VLOOKUP(L$5,Coords[],3,FALSE))^2+(VLOOKUP($G31,Coords[],4,FALSE)-VLOOKUP(L$5,Coords[],4,FALSE))^2)))</f>
        <v>1000</v>
      </c>
      <c r="M31" s="10">
        <f>IF($G31=M$5,1000,IF(M$4=0,1000,SQRT((VLOOKUP($G31,Coords[],3,FALSE)-VLOOKUP(M$5,Coords[],3,FALSE))^2+(VLOOKUP($G31,Coords[],4,FALSE)-VLOOKUP(M$5,Coords[],4,FALSE))^2)))</f>
        <v>1000</v>
      </c>
      <c r="N31" s="10">
        <f>IF($G31=N$5,1000,IF(N$4=0,1000,SQRT((VLOOKUP($G31,Coords[],3,FALSE)-VLOOKUP(N$5,Coords[],3,FALSE))^2+(VLOOKUP($G31,Coords[],4,FALSE)-VLOOKUP(N$5,Coords[],4,FALSE))^2)))</f>
        <v>1000</v>
      </c>
      <c r="O31" s="10">
        <f>IF($G31=O$5,1000,IF(O$4=0,1000,SQRT((VLOOKUP($G31,Coords[],3,FALSE)-VLOOKUP(O$5,Coords[],3,FALSE))^2+(VLOOKUP($G31,Coords[],4,FALSE)-VLOOKUP(O$5,Coords[],4,FALSE))^2)))</f>
        <v>7.2111025509279782</v>
      </c>
      <c r="P31" s="10">
        <f>IF($G31=P$5,1000,IF(P$4=0,1000,SQRT((VLOOKUP($G31,Coords[],3,FALSE)-VLOOKUP(P$5,Coords[],3,FALSE))^2+(VLOOKUP($G31,Coords[],4,FALSE)-VLOOKUP(P$5,Coords[],4,FALSE))^2)))</f>
        <v>1000</v>
      </c>
      <c r="Q31" s="10">
        <f>IF($G31=Q$5,1000,IF(Q$4=0,1000,SQRT((VLOOKUP($G31,Coords[],3,FALSE)-VLOOKUP(Q$5,Coords[],3,FALSE))^2+(VLOOKUP($G31,Coords[],4,FALSE)-VLOOKUP(Q$5,Coords[],4,FALSE))^2)))</f>
        <v>1000</v>
      </c>
      <c r="R31" s="10">
        <f>IF($G31=R$5,1000,IF(R$4=0,1000,SQRT((VLOOKUP($G31,Coords[],3,FALSE)-VLOOKUP(R$5,Coords[],3,FALSE))^2+(VLOOKUP($G31,Coords[],4,FALSE)-VLOOKUP(R$5,Coords[],4,FALSE))^2)))</f>
        <v>1000</v>
      </c>
      <c r="S31" s="10">
        <f>IF($G31=S$5,1000,IF(S$4=0,1000,SQRT((VLOOKUP($G31,Coords[],3,FALSE)-VLOOKUP(S$5,Coords[],3,FALSE))^2+(VLOOKUP($G31,Coords[],4,FALSE)-VLOOKUP(S$5,Coords[],4,FALSE))^2)))</f>
        <v>1000</v>
      </c>
      <c r="T31" s="10">
        <f>IF($G31=T$5,1000,IF(T$4=0,1000,SQRT((VLOOKUP($G31,Coords[],3,FALSE)-VLOOKUP(T$5,Coords[],3,FALSE))^2+(VLOOKUP($G31,Coords[],4,FALSE)-VLOOKUP(T$5,Coords[],4,FALSE))^2)))</f>
        <v>1000</v>
      </c>
      <c r="U31" s="10">
        <f>IF($G31=U$5,1000,IF(U$4=0,1000,SQRT((VLOOKUP($G31,Coords[],3,FALSE)-VLOOKUP(U$5,Coords[],3,FALSE))^2+(VLOOKUP($G31,Coords[],4,FALSE)-VLOOKUP(U$5,Coords[],4,FALSE))^2)))</f>
        <v>1000</v>
      </c>
      <c r="V31" s="10">
        <f>IF($G31=V$5,1000,IF(V$4=0,1000,SQRT((VLOOKUP($G31,Coords[],3,FALSE)-VLOOKUP(V$5,Coords[],3,FALSE))^2+(VLOOKUP($G31,Coords[],4,FALSE)-VLOOKUP(V$5,Coords[],4,FALSE))^2)))</f>
        <v>1000</v>
      </c>
      <c r="W31" s="10">
        <f>IF($G31=W$5,1000,IF(W$4=0,1000,SQRT((VLOOKUP($G31,Coords[],3,FALSE)-VLOOKUP(W$5,Coords[],3,FALSE))^2+(VLOOKUP($G31,Coords[],4,FALSE)-VLOOKUP(W$5,Coords[],4,FALSE))^2)))</f>
        <v>1000</v>
      </c>
      <c r="X31" s="10">
        <f>IF($G31=X$5,1000,IF(X$4=0,1000,SQRT((VLOOKUP($G31,Coords[],3,FALSE)-VLOOKUP(X$5,Coords[],3,FALSE))^2+(VLOOKUP($G31,Coords[],4,FALSE)-VLOOKUP(X$5,Coords[],4,FALSE))^2)))</f>
        <v>1000</v>
      </c>
      <c r="Y31" s="10">
        <f>IF($G31=Y$5,1000,IF(Y$4=0,1000,SQRT((VLOOKUP($G31,Coords[],3,FALSE)-VLOOKUP(Y$5,Coords[],3,FALSE))^2+(VLOOKUP($G31,Coords[],4,FALSE)-VLOOKUP(Y$5,Coords[],4,FALSE))^2)))</f>
        <v>1000</v>
      </c>
      <c r="Z31" s="10">
        <f>IF($G31=Z$5,1000,IF(Z$4=0,1000,SQRT((VLOOKUP($G31,Coords[],3,FALSE)-VLOOKUP(Z$5,Coords[],3,FALSE))^2+(VLOOKUP($G31,Coords[],4,FALSE)-VLOOKUP(Z$5,Coords[],4,FALSE))^2)))</f>
        <v>1000</v>
      </c>
      <c r="AA31" s="10">
        <f>IF($G31=AA$5,1000,IF(AA$4=0,1000,SQRT((VLOOKUP($G31,Coords[],3,FALSE)-VLOOKUP(AA$5,Coords[],3,FALSE))^2+(VLOOKUP($G31,Coords[],4,FALSE)-VLOOKUP(AA$5,Coords[],4,FALSE))^2)))</f>
        <v>31.622776601683793</v>
      </c>
      <c r="AB31" s="10">
        <f>IF($G31=AB$5,1000,IF(AB$4=0,1000,SQRT((VLOOKUP($G31,Coords[],3,FALSE)-VLOOKUP(AB$5,Coords[],3,FALSE))^2+(VLOOKUP($G31,Coords[],4,FALSE)-VLOOKUP(AB$5,Coords[],4,FALSE))^2)))</f>
        <v>1000</v>
      </c>
      <c r="AC31" s="10">
        <f>IF($G31=AC$5,1000,IF(AC$4=0,1000,SQRT((VLOOKUP($G31,Coords[],3,FALSE)-VLOOKUP(AC$5,Coords[],3,FALSE))^2+(VLOOKUP($G31,Coords[],4,FALSE)-VLOOKUP(AC$5,Coords[],4,FALSE))^2)))</f>
        <v>1000</v>
      </c>
      <c r="AD31" s="10">
        <f>IF($G31=AD$5,1000,IF(AD$4=0,1000,SQRT((VLOOKUP($G31,Coords[],3,FALSE)-VLOOKUP(AD$5,Coords[],3,FALSE))^2+(VLOOKUP($G31,Coords[],4,FALSE)-VLOOKUP(AD$5,Coords[],4,FALSE))^2)))</f>
        <v>1000</v>
      </c>
      <c r="AE31" s="10">
        <f>IF($G31=AE$5,1000,IF(AE$4=0,1000,SQRT((VLOOKUP($G31,Coords[],3,FALSE)-VLOOKUP(AE$5,Coords[],3,FALSE))^2+(VLOOKUP($G31,Coords[],4,FALSE)-VLOOKUP(AE$5,Coords[],4,FALSE))^2)))</f>
        <v>1000</v>
      </c>
      <c r="AF31" s="10">
        <f>IF($G31=AF$5,1000,IF(AF$4=0,1000,SQRT((VLOOKUP($G31,Coords[],3,FALSE)-VLOOKUP(AF$5,Coords[],3,FALSE))^2+(VLOOKUP($G31,Coords[],4,FALSE)-VLOOKUP(AF$5,Coords[],4,FALSE))^2)))</f>
        <v>1000</v>
      </c>
      <c r="AG31" s="10">
        <f>IF($G31=AG$5,1000,IF(AG$4=0,1000,SQRT((VLOOKUP($G31,Coords[],3,FALSE)-VLOOKUP(AG$5,Coords[],3,FALSE))^2+(VLOOKUP($G31,Coords[],4,FALSE)-VLOOKUP(AG$5,Coords[],4,FALSE))^2)))</f>
        <v>1000</v>
      </c>
      <c r="AH31" s="10">
        <f>IF($G31=AH$5,1000,IF(AH$4=0,1000,SQRT((VLOOKUP($G31,Coords[],3,FALSE)-VLOOKUP(AH$5,Coords[],3,FALSE))^2+(VLOOKUP($G31,Coords[],4,FALSE)-VLOOKUP(AH$5,Coords[],4,FALSE))^2)))</f>
        <v>1000</v>
      </c>
      <c r="AI31" s="10">
        <f>IF($G31=AI$5,1000,IF(AI$4=0,1000,SQRT((VLOOKUP($G31,Coords[],3,FALSE)-VLOOKUP(AI$5,Coords[],3,FALSE))^2+(VLOOKUP($G31,Coords[],4,FALSE)-VLOOKUP(AI$5,Coords[],4,FALSE))^2)))</f>
        <v>1000</v>
      </c>
      <c r="AJ31" s="10">
        <f>IF($G31=AJ$5,1000,IF(AJ$4=0,1000,SQRT((VLOOKUP($G31,Coords[],3,FALSE)-VLOOKUP(AJ$5,Coords[],3,FALSE))^2+(VLOOKUP($G31,Coords[],4,FALSE)-VLOOKUP(AJ$5,Coords[],4,FALSE))^2)))</f>
        <v>36.891733491393431</v>
      </c>
      <c r="AK31" s="10">
        <f>IF($G31=AK$5,1000,IF(AK$4=0,1000,SQRT((VLOOKUP($G31,Coords[],3,FALSE)-VLOOKUP(AK$5,Coords[],3,FALSE))^2+(VLOOKUP($G31,Coords[],4,FALSE)-VLOOKUP(AK$5,Coords[],4,FALSE))^2)))</f>
        <v>1000</v>
      </c>
      <c r="AL31" s="10">
        <f>IF($G31=AL$5,1000,IF(AL$4=0,1000,SQRT((VLOOKUP($G31,Coords[],3,FALSE)-VLOOKUP(AL$5,Coords[],3,FALSE))^2+(VLOOKUP($G31,Coords[],4,FALSE)-VLOOKUP(AL$5,Coords[],4,FALSE))^2)))</f>
        <v>1000</v>
      </c>
      <c r="AM31" s="10">
        <f>IF($G31=AM$5,1000,IF(AM$4=0,1000,SQRT((VLOOKUP($G31,Coords[],3,FALSE)-VLOOKUP(AM$5,Coords[],3,FALSE))^2+(VLOOKUP($G31,Coords[],4,FALSE)-VLOOKUP(AM$5,Coords[],4,FALSE))^2)))</f>
        <v>24.596747752497688</v>
      </c>
      <c r="AN31" s="10">
        <f>IF($G31=AN$5,1000,IF(AN$4=0,1000,SQRT((VLOOKUP($G31,Coords[],3,FALSE)-VLOOKUP(AN$5,Coords[],3,FALSE))^2+(VLOOKUP($G31,Coords[],4,FALSE)-VLOOKUP(AN$5,Coords[],4,FALSE))^2)))</f>
        <v>1000</v>
      </c>
      <c r="AO31" s="10">
        <f>IF($G31=AO$5,1000,IF(AO$4=0,1000,SQRT((VLOOKUP($G31,Coords[],3,FALSE)-VLOOKUP(AO$5,Coords[],3,FALSE))^2+(VLOOKUP($G31,Coords[],4,FALSE)-VLOOKUP(AO$5,Coords[],4,FALSE))^2)))</f>
        <v>1000</v>
      </c>
      <c r="AP31" s="10">
        <f>IF($G31=AP$5,1000,IF(AP$4=0,1000,SQRT((VLOOKUP($G31,Coords[],3,FALSE)-VLOOKUP(AP$5,Coords[],3,FALSE))^2+(VLOOKUP($G31,Coords[],4,FALSE)-VLOOKUP(AP$5,Coords[],4,FALSE))^2)))</f>
        <v>1000</v>
      </c>
      <c r="AQ31" s="10">
        <f>IF($G31=AQ$5,1000,IF(AQ$4=0,1000,SQRT((VLOOKUP($G31,Coords[],3,FALSE)-VLOOKUP(AQ$5,Coords[],3,FALSE))^2+(VLOOKUP($G31,Coords[],4,FALSE)-VLOOKUP(AQ$5,Coords[],4,FALSE))^2)))</f>
        <v>1000</v>
      </c>
      <c r="AR31" s="10">
        <f>IF($G31=AR$5,1000,IF(AR$4=0,1000,SQRT((VLOOKUP($G31,Coords[],3,FALSE)-VLOOKUP(AR$5,Coords[],3,FALSE))^2+(VLOOKUP($G31,Coords[],4,FALSE)-VLOOKUP(AR$5,Coords[],4,FALSE))^2)))</f>
        <v>1000</v>
      </c>
      <c r="AS31" s="10">
        <f>IF($G31=AS$5,1000,IF(AS$4=0,1000,SQRT((VLOOKUP($G31,Coords[],3,FALSE)-VLOOKUP(AS$5,Coords[],3,FALSE))^2+(VLOOKUP($G31,Coords[],4,FALSE)-VLOOKUP(AS$5,Coords[],4,FALSE))^2)))</f>
        <v>1000</v>
      </c>
      <c r="AT31" s="10">
        <f>IF($G31=AT$5,1000,IF(AT$4=0,1000,SQRT((VLOOKUP($G31,Coords[],3,FALSE)-VLOOKUP(AT$5,Coords[],3,FALSE))^2+(VLOOKUP($G31,Coords[],4,FALSE)-VLOOKUP(AT$5,Coords[],4,FALSE))^2)))</f>
        <v>1000</v>
      </c>
      <c r="AU31" s="10">
        <f>IF($G31=AU$5,1000,IF(AU$4=0,1000,SQRT((VLOOKUP($G31,Coords[],3,FALSE)-VLOOKUP(AU$5,Coords[],3,FALSE))^2+(VLOOKUP($G31,Coords[],4,FALSE)-VLOOKUP(AU$5,Coords[],4,FALSE))^2)))</f>
        <v>1000</v>
      </c>
      <c r="AV31" s="10">
        <f>IF($G31=AV$5,1000,IF(AV$4=0,1000,SQRT((VLOOKUP($G31,Coords[],3,FALSE)-VLOOKUP(AV$5,Coords[],3,FALSE))^2+(VLOOKUP($G31,Coords[],4,FALSE)-VLOOKUP(AV$5,Coords[],4,FALSE))^2)))</f>
        <v>1000</v>
      </c>
      <c r="AW31" s="10">
        <f>IF($G31=AW$5,1000,IF(AW$4=0,1000,SQRT((VLOOKUP($G31,Coords[],3,FALSE)-VLOOKUP(AW$5,Coords[],3,FALSE))^2+(VLOOKUP($G31,Coords[],4,FALSE)-VLOOKUP(AW$5,Coords[],4,FALSE))^2)))</f>
        <v>1000</v>
      </c>
      <c r="AX31" s="10">
        <f>IF($G31=AX$5,1000,IF(AX$4=0,1000,SQRT((VLOOKUP($G31,Coords[],3,FALSE)-VLOOKUP(AX$5,Coords[],3,FALSE))^2+(VLOOKUP($G31,Coords[],4,FALSE)-VLOOKUP(AX$5,Coords[],4,FALSE))^2)))</f>
        <v>1000</v>
      </c>
      <c r="AY31" s="10">
        <f>IF($G31=AY$5,1000,IF(AY$4=0,1000,SQRT((VLOOKUP($G31,Coords[],3,FALSE)-VLOOKUP(AY$5,Coords[],3,FALSE))^2+(VLOOKUP($G31,Coords[],4,FALSE)-VLOOKUP(AY$5,Coords[],4,FALSE))^2)))</f>
        <v>1000</v>
      </c>
      <c r="AZ31" s="10">
        <f>IF($G31=AZ$5,1000,IF(AZ$4=0,1000,SQRT((VLOOKUP($G31,Coords[],3,FALSE)-VLOOKUP(AZ$5,Coords[],3,FALSE))^2+(VLOOKUP($G31,Coords[],4,FALSE)-VLOOKUP(AZ$5,Coords[],4,FALSE))^2)))</f>
        <v>1000</v>
      </c>
      <c r="BA31" s="10">
        <f>IF($G31=BA$5,1000,IF(BA$4=0,1000,SQRT((VLOOKUP($G31,Coords[],3,FALSE)-VLOOKUP(BA$5,Coords[],3,FALSE))^2+(VLOOKUP($G31,Coords[],4,FALSE)-VLOOKUP(BA$5,Coords[],4,FALSE))^2)))</f>
        <v>1000</v>
      </c>
      <c r="BB31" s="10">
        <f>IF($G31=BB$5,1000,IF(BB$4=0,1000,SQRT((VLOOKUP($G31,Coords[],3,FALSE)-VLOOKUP(BB$5,Coords[],3,FALSE))^2+(VLOOKUP($G31,Coords[],4,FALSE)-VLOOKUP(BB$5,Coords[],4,FALSE))^2)))</f>
        <v>1000</v>
      </c>
      <c r="BC31" s="10">
        <f>IF($G31=BC$5,1000,IF(BC$4=0,1000,SQRT((VLOOKUP($G31,Coords[],3,FALSE)-VLOOKUP(BC$5,Coords[],3,FALSE))^2+(VLOOKUP($G31,Coords[],4,FALSE)-VLOOKUP(BC$5,Coords[],4,FALSE))^2)))</f>
        <v>1000</v>
      </c>
      <c r="BD31" s="10">
        <f>IF($G31=BD$5,1000,IF(BD$4=0,1000,SQRT((VLOOKUP($G31,Coords[],3,FALSE)-VLOOKUP(BD$5,Coords[],3,FALSE))^2+(VLOOKUP($G31,Coords[],4,FALSE)-VLOOKUP(BD$5,Coords[],4,FALSE))^2)))</f>
        <v>1000</v>
      </c>
      <c r="BE31" s="10">
        <f>IF($G31=BE$5,1000,IF(BE$4=0,1000,SQRT((VLOOKUP($G31,Coords[],3,FALSE)-VLOOKUP(BE$5,Coords[],3,FALSE))^2+(VLOOKUP($G31,Coords[],4,FALSE)-VLOOKUP(BE$5,Coords[],4,FALSE))^2)))</f>
        <v>1000</v>
      </c>
      <c r="BF31" s="10">
        <f>IF($G31=BF$5,1000,IF(BF$4=0,1000,SQRT((VLOOKUP($G31,Coords[],3,FALSE)-VLOOKUP(BF$5,Coords[],3,FALSE))^2+(VLOOKUP($G31,Coords[],4,FALSE)-VLOOKUP(BF$5,Coords[],4,FALSE))^2)))</f>
        <v>1000</v>
      </c>
      <c r="BG31" s="4">
        <v>26</v>
      </c>
      <c r="BI31" s="5">
        <f>IF(E31=1,0,VLOOKUP($G31,$G$6:$BF$57,HLOOKUP(MIN(H31:BF31),$H31:$BF$57,((COUNT($G$6:$G$56)+2)-$G31),FALSE),FALSE)*B31)</f>
        <v>29000</v>
      </c>
      <c r="BJ31" s="9">
        <f>VLOOKUP($G31,$G$6:$BF$57,HLOOKUP(MIN(H31:BF31),$H31:$BF$57,((COUNT($G$6:$G$56)+2)-$G31),FALSE),FALSE)</f>
        <v>1000</v>
      </c>
      <c r="BK31" s="7">
        <f>HLOOKUP(MIN(H31:BF31),$H31:$BF$57,((COUNT($G$6:$G$56)+2)-$G31),FALSE)</f>
        <v>8</v>
      </c>
      <c r="BL31">
        <f>BJ31*Coords[[#This Row],[Demand]]</f>
        <v>29000</v>
      </c>
      <c r="BN31">
        <v>26</v>
      </c>
      <c r="BO31">
        <v>7779.2126269355431</v>
      </c>
      <c r="BP31">
        <v>212147.81323752925</v>
      </c>
    </row>
    <row r="32" spans="1:68" x14ac:dyDescent="0.25">
      <c r="A32" s="8">
        <v>27</v>
      </c>
      <c r="B32" s="3">
        <v>4</v>
      </c>
      <c r="C32" s="3">
        <v>30</v>
      </c>
      <c r="D32" s="3">
        <v>48</v>
      </c>
      <c r="E32">
        <v>0</v>
      </c>
      <c r="G32" s="4">
        <v>27</v>
      </c>
      <c r="H32" s="10">
        <f>IF($G32=H$5,1000,IF(H$4=0,1000,SQRT((VLOOKUP($G32,Coords[],3,FALSE)-VLOOKUP(H$5,Coords[],3,FALSE))^2+(VLOOKUP($G32,Coords[],4,FALSE)-VLOOKUP(H$5,Coords[],4,FALSE))^2)))</f>
        <v>1000</v>
      </c>
      <c r="I32" s="10">
        <f>IF($G32=I$5,1000,IF(I$4=0,1000,SQRT((VLOOKUP($G32,Coords[],3,FALSE)-VLOOKUP(I$5,Coords[],3,FALSE))^2+(VLOOKUP($G32,Coords[],4,FALSE)-VLOOKUP(I$5,Coords[],4,FALSE))^2)))</f>
        <v>1000</v>
      </c>
      <c r="J32" s="10">
        <f>IF($G32=J$5,1000,IF(J$4=0,1000,SQRT((VLOOKUP($G32,Coords[],3,FALSE)-VLOOKUP(J$5,Coords[],3,FALSE))^2+(VLOOKUP($G32,Coords[],4,FALSE)-VLOOKUP(J$5,Coords[],4,FALSE))^2)))</f>
        <v>1000</v>
      </c>
      <c r="K32" s="10">
        <f>IF($G32=K$5,1000,IF(K$4=0,1000,SQRT((VLOOKUP($G32,Coords[],3,FALSE)-VLOOKUP(K$5,Coords[],3,FALSE))^2+(VLOOKUP($G32,Coords[],4,FALSE)-VLOOKUP(K$5,Coords[],4,FALSE))^2)))</f>
        <v>1000</v>
      </c>
      <c r="L32" s="10">
        <f>IF($G32=L$5,1000,IF(L$4=0,1000,SQRT((VLOOKUP($G32,Coords[],3,FALSE)-VLOOKUP(L$5,Coords[],3,FALSE))^2+(VLOOKUP($G32,Coords[],4,FALSE)-VLOOKUP(L$5,Coords[],4,FALSE))^2)))</f>
        <v>1000</v>
      </c>
      <c r="M32" s="10">
        <f>IF($G32=M$5,1000,IF(M$4=0,1000,SQRT((VLOOKUP($G32,Coords[],3,FALSE)-VLOOKUP(M$5,Coords[],3,FALSE))^2+(VLOOKUP($G32,Coords[],4,FALSE)-VLOOKUP(M$5,Coords[],4,FALSE))^2)))</f>
        <v>1000</v>
      </c>
      <c r="N32" s="10">
        <f>IF($G32=N$5,1000,IF(N$4=0,1000,SQRT((VLOOKUP($G32,Coords[],3,FALSE)-VLOOKUP(N$5,Coords[],3,FALSE))^2+(VLOOKUP($G32,Coords[],4,FALSE)-VLOOKUP(N$5,Coords[],4,FALSE))^2)))</f>
        <v>1000</v>
      </c>
      <c r="O32" s="10">
        <f>IF($G32=O$5,1000,IF(O$4=0,1000,SQRT((VLOOKUP($G32,Coords[],3,FALSE)-VLOOKUP(O$5,Coords[],3,FALSE))^2+(VLOOKUP($G32,Coords[],4,FALSE)-VLOOKUP(O$5,Coords[],4,FALSE))^2)))</f>
        <v>14.035668847618199</v>
      </c>
      <c r="P32" s="10">
        <f>IF($G32=P$5,1000,IF(P$4=0,1000,SQRT((VLOOKUP($G32,Coords[],3,FALSE)-VLOOKUP(P$5,Coords[],3,FALSE))^2+(VLOOKUP($G32,Coords[],4,FALSE)-VLOOKUP(P$5,Coords[],4,FALSE))^2)))</f>
        <v>1000</v>
      </c>
      <c r="Q32" s="10">
        <f>IF($G32=Q$5,1000,IF(Q$4=0,1000,SQRT((VLOOKUP($G32,Coords[],3,FALSE)-VLOOKUP(Q$5,Coords[],3,FALSE))^2+(VLOOKUP($G32,Coords[],4,FALSE)-VLOOKUP(Q$5,Coords[],4,FALSE))^2)))</f>
        <v>1000</v>
      </c>
      <c r="R32" s="10">
        <f>IF($G32=R$5,1000,IF(R$4=0,1000,SQRT((VLOOKUP($G32,Coords[],3,FALSE)-VLOOKUP(R$5,Coords[],3,FALSE))^2+(VLOOKUP($G32,Coords[],4,FALSE)-VLOOKUP(R$5,Coords[],4,FALSE))^2)))</f>
        <v>1000</v>
      </c>
      <c r="S32" s="10">
        <f>IF($G32=S$5,1000,IF(S$4=0,1000,SQRT((VLOOKUP($G32,Coords[],3,FALSE)-VLOOKUP(S$5,Coords[],3,FALSE))^2+(VLOOKUP($G32,Coords[],4,FALSE)-VLOOKUP(S$5,Coords[],4,FALSE))^2)))</f>
        <v>1000</v>
      </c>
      <c r="T32" s="10">
        <f>IF($G32=T$5,1000,IF(T$4=0,1000,SQRT((VLOOKUP($G32,Coords[],3,FALSE)-VLOOKUP(T$5,Coords[],3,FALSE))^2+(VLOOKUP($G32,Coords[],4,FALSE)-VLOOKUP(T$5,Coords[],4,FALSE))^2)))</f>
        <v>1000</v>
      </c>
      <c r="U32" s="10">
        <f>IF($G32=U$5,1000,IF(U$4=0,1000,SQRT((VLOOKUP($G32,Coords[],3,FALSE)-VLOOKUP(U$5,Coords[],3,FALSE))^2+(VLOOKUP($G32,Coords[],4,FALSE)-VLOOKUP(U$5,Coords[],4,FALSE))^2)))</f>
        <v>1000</v>
      </c>
      <c r="V32" s="10">
        <f>IF($G32=V$5,1000,IF(V$4=0,1000,SQRT((VLOOKUP($G32,Coords[],3,FALSE)-VLOOKUP(V$5,Coords[],3,FALSE))^2+(VLOOKUP($G32,Coords[],4,FALSE)-VLOOKUP(V$5,Coords[],4,FALSE))^2)))</f>
        <v>1000</v>
      </c>
      <c r="W32" s="10">
        <f>IF($G32=W$5,1000,IF(W$4=0,1000,SQRT((VLOOKUP($G32,Coords[],3,FALSE)-VLOOKUP(W$5,Coords[],3,FALSE))^2+(VLOOKUP($G32,Coords[],4,FALSE)-VLOOKUP(W$5,Coords[],4,FALSE))^2)))</f>
        <v>1000</v>
      </c>
      <c r="X32" s="10">
        <f>IF($G32=X$5,1000,IF(X$4=0,1000,SQRT((VLOOKUP($G32,Coords[],3,FALSE)-VLOOKUP(X$5,Coords[],3,FALSE))^2+(VLOOKUP($G32,Coords[],4,FALSE)-VLOOKUP(X$5,Coords[],4,FALSE))^2)))</f>
        <v>1000</v>
      </c>
      <c r="Y32" s="10">
        <f>IF($G32=Y$5,1000,IF(Y$4=0,1000,SQRT((VLOOKUP($G32,Coords[],3,FALSE)-VLOOKUP(Y$5,Coords[],3,FALSE))^2+(VLOOKUP($G32,Coords[],4,FALSE)-VLOOKUP(Y$5,Coords[],4,FALSE))^2)))</f>
        <v>1000</v>
      </c>
      <c r="Z32" s="10">
        <f>IF($G32=Z$5,1000,IF(Z$4=0,1000,SQRT((VLOOKUP($G32,Coords[],3,FALSE)-VLOOKUP(Z$5,Coords[],3,FALSE))^2+(VLOOKUP($G32,Coords[],4,FALSE)-VLOOKUP(Z$5,Coords[],4,FALSE))^2)))</f>
        <v>1000</v>
      </c>
      <c r="AA32" s="10">
        <f>IF($G32=AA$5,1000,IF(AA$4=0,1000,SQRT((VLOOKUP($G32,Coords[],3,FALSE)-VLOOKUP(AA$5,Coords[],3,FALSE))^2+(VLOOKUP($G32,Coords[],4,FALSE)-VLOOKUP(AA$5,Coords[],4,FALSE))^2)))</f>
        <v>28.792360097775937</v>
      </c>
      <c r="AB32" s="10">
        <f>IF($G32=AB$5,1000,IF(AB$4=0,1000,SQRT((VLOOKUP($G32,Coords[],3,FALSE)-VLOOKUP(AB$5,Coords[],3,FALSE))^2+(VLOOKUP($G32,Coords[],4,FALSE)-VLOOKUP(AB$5,Coords[],4,FALSE))^2)))</f>
        <v>1000</v>
      </c>
      <c r="AC32" s="10">
        <f>IF($G32=AC$5,1000,IF(AC$4=0,1000,SQRT((VLOOKUP($G32,Coords[],3,FALSE)-VLOOKUP(AC$5,Coords[],3,FALSE))^2+(VLOOKUP($G32,Coords[],4,FALSE)-VLOOKUP(AC$5,Coords[],4,FALSE))^2)))</f>
        <v>1000</v>
      </c>
      <c r="AD32" s="10">
        <f>IF($G32=AD$5,1000,IF(AD$4=0,1000,SQRT((VLOOKUP($G32,Coords[],3,FALSE)-VLOOKUP(AD$5,Coords[],3,FALSE))^2+(VLOOKUP($G32,Coords[],4,FALSE)-VLOOKUP(AD$5,Coords[],4,FALSE))^2)))</f>
        <v>1000</v>
      </c>
      <c r="AE32" s="10">
        <f>IF($G32=AE$5,1000,IF(AE$4=0,1000,SQRT((VLOOKUP($G32,Coords[],3,FALSE)-VLOOKUP(AE$5,Coords[],3,FALSE))^2+(VLOOKUP($G32,Coords[],4,FALSE)-VLOOKUP(AE$5,Coords[],4,FALSE))^2)))</f>
        <v>1000</v>
      </c>
      <c r="AF32" s="10">
        <f>IF($G32=AF$5,1000,IF(AF$4=0,1000,SQRT((VLOOKUP($G32,Coords[],3,FALSE)-VLOOKUP(AF$5,Coords[],3,FALSE))^2+(VLOOKUP($G32,Coords[],4,FALSE)-VLOOKUP(AF$5,Coords[],4,FALSE))^2)))</f>
        <v>1000</v>
      </c>
      <c r="AG32" s="10">
        <f>IF($G32=AG$5,1000,IF(AG$4=0,1000,SQRT((VLOOKUP($G32,Coords[],3,FALSE)-VLOOKUP(AG$5,Coords[],3,FALSE))^2+(VLOOKUP($G32,Coords[],4,FALSE)-VLOOKUP(AG$5,Coords[],4,FALSE))^2)))</f>
        <v>1000</v>
      </c>
      <c r="AH32" s="10">
        <f>IF($G32=AH$5,1000,IF(AH$4=0,1000,SQRT((VLOOKUP($G32,Coords[],3,FALSE)-VLOOKUP(AH$5,Coords[],3,FALSE))^2+(VLOOKUP($G32,Coords[],4,FALSE)-VLOOKUP(AH$5,Coords[],4,FALSE))^2)))</f>
        <v>1000</v>
      </c>
      <c r="AI32" s="10">
        <f>IF($G32=AI$5,1000,IF(AI$4=0,1000,SQRT((VLOOKUP($G32,Coords[],3,FALSE)-VLOOKUP(AI$5,Coords[],3,FALSE))^2+(VLOOKUP($G32,Coords[],4,FALSE)-VLOOKUP(AI$5,Coords[],4,FALSE))^2)))</f>
        <v>1000</v>
      </c>
      <c r="AJ32" s="10">
        <f>IF($G32=AJ$5,1000,IF(AJ$4=0,1000,SQRT((VLOOKUP($G32,Coords[],3,FALSE)-VLOOKUP(AJ$5,Coords[],3,FALSE))^2+(VLOOKUP($G32,Coords[],4,FALSE)-VLOOKUP(AJ$5,Coords[],4,FALSE))^2)))</f>
        <v>28</v>
      </c>
      <c r="AK32" s="10">
        <f>IF($G32=AK$5,1000,IF(AK$4=0,1000,SQRT((VLOOKUP($G32,Coords[],3,FALSE)-VLOOKUP(AK$5,Coords[],3,FALSE))^2+(VLOOKUP($G32,Coords[],4,FALSE)-VLOOKUP(AK$5,Coords[],4,FALSE))^2)))</f>
        <v>1000</v>
      </c>
      <c r="AL32" s="10">
        <f>IF($G32=AL$5,1000,IF(AL$4=0,1000,SQRT((VLOOKUP($G32,Coords[],3,FALSE)-VLOOKUP(AL$5,Coords[],3,FALSE))^2+(VLOOKUP($G32,Coords[],4,FALSE)-VLOOKUP(AL$5,Coords[],4,FALSE))^2)))</f>
        <v>1000</v>
      </c>
      <c r="AM32" s="10">
        <f>IF($G32=AM$5,1000,IF(AM$4=0,1000,SQRT((VLOOKUP($G32,Coords[],3,FALSE)-VLOOKUP(AM$5,Coords[],3,FALSE))^2+(VLOOKUP($G32,Coords[],4,FALSE)-VLOOKUP(AM$5,Coords[],4,FALSE))^2)))</f>
        <v>8.2462112512353212</v>
      </c>
      <c r="AN32" s="10">
        <f>IF($G32=AN$5,1000,IF(AN$4=0,1000,SQRT((VLOOKUP($G32,Coords[],3,FALSE)-VLOOKUP(AN$5,Coords[],3,FALSE))^2+(VLOOKUP($G32,Coords[],4,FALSE)-VLOOKUP(AN$5,Coords[],4,FALSE))^2)))</f>
        <v>1000</v>
      </c>
      <c r="AO32" s="10">
        <f>IF($G32=AO$5,1000,IF(AO$4=0,1000,SQRT((VLOOKUP($G32,Coords[],3,FALSE)-VLOOKUP(AO$5,Coords[],3,FALSE))^2+(VLOOKUP($G32,Coords[],4,FALSE)-VLOOKUP(AO$5,Coords[],4,FALSE))^2)))</f>
        <v>1000</v>
      </c>
      <c r="AP32" s="10">
        <f>IF($G32=AP$5,1000,IF(AP$4=0,1000,SQRT((VLOOKUP($G32,Coords[],3,FALSE)-VLOOKUP(AP$5,Coords[],3,FALSE))^2+(VLOOKUP($G32,Coords[],4,FALSE)-VLOOKUP(AP$5,Coords[],4,FALSE))^2)))</f>
        <v>1000</v>
      </c>
      <c r="AQ32" s="10">
        <f>IF($G32=AQ$5,1000,IF(AQ$4=0,1000,SQRT((VLOOKUP($G32,Coords[],3,FALSE)-VLOOKUP(AQ$5,Coords[],3,FALSE))^2+(VLOOKUP($G32,Coords[],4,FALSE)-VLOOKUP(AQ$5,Coords[],4,FALSE))^2)))</f>
        <v>1000</v>
      </c>
      <c r="AR32" s="10">
        <f>IF($G32=AR$5,1000,IF(AR$4=0,1000,SQRT((VLOOKUP($G32,Coords[],3,FALSE)-VLOOKUP(AR$5,Coords[],3,FALSE))^2+(VLOOKUP($G32,Coords[],4,FALSE)-VLOOKUP(AR$5,Coords[],4,FALSE))^2)))</f>
        <v>1000</v>
      </c>
      <c r="AS32" s="10">
        <f>IF($G32=AS$5,1000,IF(AS$4=0,1000,SQRT((VLOOKUP($G32,Coords[],3,FALSE)-VLOOKUP(AS$5,Coords[],3,FALSE))^2+(VLOOKUP($G32,Coords[],4,FALSE)-VLOOKUP(AS$5,Coords[],4,FALSE))^2)))</f>
        <v>1000</v>
      </c>
      <c r="AT32" s="10">
        <f>IF($G32=AT$5,1000,IF(AT$4=0,1000,SQRT((VLOOKUP($G32,Coords[],3,FALSE)-VLOOKUP(AT$5,Coords[],3,FALSE))^2+(VLOOKUP($G32,Coords[],4,FALSE)-VLOOKUP(AT$5,Coords[],4,FALSE))^2)))</f>
        <v>1000</v>
      </c>
      <c r="AU32" s="10">
        <f>IF($G32=AU$5,1000,IF(AU$4=0,1000,SQRT((VLOOKUP($G32,Coords[],3,FALSE)-VLOOKUP(AU$5,Coords[],3,FALSE))^2+(VLOOKUP($G32,Coords[],4,FALSE)-VLOOKUP(AU$5,Coords[],4,FALSE))^2)))</f>
        <v>1000</v>
      </c>
      <c r="AV32" s="10">
        <f>IF($G32=AV$5,1000,IF(AV$4=0,1000,SQRT((VLOOKUP($G32,Coords[],3,FALSE)-VLOOKUP(AV$5,Coords[],3,FALSE))^2+(VLOOKUP($G32,Coords[],4,FALSE)-VLOOKUP(AV$5,Coords[],4,FALSE))^2)))</f>
        <v>1000</v>
      </c>
      <c r="AW32" s="10">
        <f>IF($G32=AW$5,1000,IF(AW$4=0,1000,SQRT((VLOOKUP($G32,Coords[],3,FALSE)-VLOOKUP(AW$5,Coords[],3,FALSE))^2+(VLOOKUP($G32,Coords[],4,FALSE)-VLOOKUP(AW$5,Coords[],4,FALSE))^2)))</f>
        <v>1000</v>
      </c>
      <c r="AX32" s="10">
        <f>IF($G32=AX$5,1000,IF(AX$4=0,1000,SQRT((VLOOKUP($G32,Coords[],3,FALSE)-VLOOKUP(AX$5,Coords[],3,FALSE))^2+(VLOOKUP($G32,Coords[],4,FALSE)-VLOOKUP(AX$5,Coords[],4,FALSE))^2)))</f>
        <v>1000</v>
      </c>
      <c r="AY32" s="10">
        <f>IF($G32=AY$5,1000,IF(AY$4=0,1000,SQRT((VLOOKUP($G32,Coords[],3,FALSE)-VLOOKUP(AY$5,Coords[],3,FALSE))^2+(VLOOKUP($G32,Coords[],4,FALSE)-VLOOKUP(AY$5,Coords[],4,FALSE))^2)))</f>
        <v>1000</v>
      </c>
      <c r="AZ32" s="10">
        <f>IF($G32=AZ$5,1000,IF(AZ$4=0,1000,SQRT((VLOOKUP($G32,Coords[],3,FALSE)-VLOOKUP(AZ$5,Coords[],3,FALSE))^2+(VLOOKUP($G32,Coords[],4,FALSE)-VLOOKUP(AZ$5,Coords[],4,FALSE))^2)))</f>
        <v>1000</v>
      </c>
      <c r="BA32" s="10">
        <f>IF($G32=BA$5,1000,IF(BA$4=0,1000,SQRT((VLOOKUP($G32,Coords[],3,FALSE)-VLOOKUP(BA$5,Coords[],3,FALSE))^2+(VLOOKUP($G32,Coords[],4,FALSE)-VLOOKUP(BA$5,Coords[],4,FALSE))^2)))</f>
        <v>1000</v>
      </c>
      <c r="BB32" s="10">
        <f>IF($G32=BB$5,1000,IF(BB$4=0,1000,SQRT((VLOOKUP($G32,Coords[],3,FALSE)-VLOOKUP(BB$5,Coords[],3,FALSE))^2+(VLOOKUP($G32,Coords[],4,FALSE)-VLOOKUP(BB$5,Coords[],4,FALSE))^2)))</f>
        <v>1000</v>
      </c>
      <c r="BC32" s="10">
        <f>IF($G32=BC$5,1000,IF(BC$4=0,1000,SQRT((VLOOKUP($G32,Coords[],3,FALSE)-VLOOKUP(BC$5,Coords[],3,FALSE))^2+(VLOOKUP($G32,Coords[],4,FALSE)-VLOOKUP(BC$5,Coords[],4,FALSE))^2)))</f>
        <v>1000</v>
      </c>
      <c r="BD32" s="10">
        <f>IF($G32=BD$5,1000,IF(BD$4=0,1000,SQRT((VLOOKUP($G32,Coords[],3,FALSE)-VLOOKUP(BD$5,Coords[],3,FALSE))^2+(VLOOKUP($G32,Coords[],4,FALSE)-VLOOKUP(BD$5,Coords[],4,FALSE))^2)))</f>
        <v>1000</v>
      </c>
      <c r="BE32" s="10">
        <f>IF($G32=BE$5,1000,IF(BE$4=0,1000,SQRT((VLOOKUP($G32,Coords[],3,FALSE)-VLOOKUP(BE$5,Coords[],3,FALSE))^2+(VLOOKUP($G32,Coords[],4,FALSE)-VLOOKUP(BE$5,Coords[],4,FALSE))^2)))</f>
        <v>1000</v>
      </c>
      <c r="BF32" s="10">
        <f>IF($G32=BF$5,1000,IF(BF$4=0,1000,SQRT((VLOOKUP($G32,Coords[],3,FALSE)-VLOOKUP(BF$5,Coords[],3,FALSE))^2+(VLOOKUP($G32,Coords[],4,FALSE)-VLOOKUP(BF$5,Coords[],4,FALSE))^2)))</f>
        <v>1000</v>
      </c>
      <c r="BG32" s="4">
        <v>27</v>
      </c>
      <c r="BI32" s="5">
        <f>IF(E32=1,0,VLOOKUP($G32,$G$6:$BF$57,HLOOKUP(MIN(H32:BF32),$H32:$BF$57,((COUNT($G$6:$G$56)+2)-$G32),FALSE),FALSE)*B32)</f>
        <v>32.984845004941285</v>
      </c>
      <c r="BJ32" s="9">
        <f>VLOOKUP($G32,$G$6:$BF$57,HLOOKUP(MIN(H32:BF32),$H32:$BF$57,((COUNT($G$6:$G$56)+2)-$G32),FALSE),FALSE)</f>
        <v>8.2462112512353212</v>
      </c>
      <c r="BK32" s="7">
        <f>HLOOKUP(MIN(H32:BF32),$H32:$BF$57,((COUNT($G$6:$G$56)+2)-$G32),FALSE)</f>
        <v>33</v>
      </c>
      <c r="BL32">
        <f>BJ32*Coords[[#This Row],[Demand]]</f>
        <v>32.984845004941285</v>
      </c>
      <c r="BN32">
        <v>27</v>
      </c>
      <c r="BO32">
        <v>7779.2126269355431</v>
      </c>
      <c r="BP32">
        <v>8682.3058725478932</v>
      </c>
    </row>
    <row r="33" spans="1:68" x14ac:dyDescent="0.25">
      <c r="A33" s="8">
        <v>28</v>
      </c>
      <c r="B33" s="3">
        <v>4</v>
      </c>
      <c r="C33" s="3">
        <v>43</v>
      </c>
      <c r="D33" s="3">
        <v>67</v>
      </c>
      <c r="E33">
        <v>0</v>
      </c>
      <c r="G33" s="4">
        <v>28</v>
      </c>
      <c r="H33" s="10">
        <f>IF($G33=H$5,1000,IF(H$4=0,1000,SQRT((VLOOKUP($G33,Coords[],3,FALSE)-VLOOKUP(H$5,Coords[],3,FALSE))^2+(VLOOKUP($G33,Coords[],4,FALSE)-VLOOKUP(H$5,Coords[],4,FALSE))^2)))</f>
        <v>1000</v>
      </c>
      <c r="I33" s="10">
        <f>IF($G33=I$5,1000,IF(I$4=0,1000,SQRT((VLOOKUP($G33,Coords[],3,FALSE)-VLOOKUP(I$5,Coords[],3,FALSE))^2+(VLOOKUP($G33,Coords[],4,FALSE)-VLOOKUP(I$5,Coords[],4,FALSE))^2)))</f>
        <v>1000</v>
      </c>
      <c r="J33" s="10">
        <f>IF($G33=J$5,1000,IF(J$4=0,1000,SQRT((VLOOKUP($G33,Coords[],3,FALSE)-VLOOKUP(J$5,Coords[],3,FALSE))^2+(VLOOKUP($G33,Coords[],4,FALSE)-VLOOKUP(J$5,Coords[],4,FALSE))^2)))</f>
        <v>1000</v>
      </c>
      <c r="K33" s="10">
        <f>IF($G33=K$5,1000,IF(K$4=0,1000,SQRT((VLOOKUP($G33,Coords[],3,FALSE)-VLOOKUP(K$5,Coords[],3,FALSE))^2+(VLOOKUP($G33,Coords[],4,FALSE)-VLOOKUP(K$5,Coords[],4,FALSE))^2)))</f>
        <v>1000</v>
      </c>
      <c r="L33" s="10">
        <f>IF($G33=L$5,1000,IF(L$4=0,1000,SQRT((VLOOKUP($G33,Coords[],3,FALSE)-VLOOKUP(L$5,Coords[],3,FALSE))^2+(VLOOKUP($G33,Coords[],4,FALSE)-VLOOKUP(L$5,Coords[],4,FALSE))^2)))</f>
        <v>1000</v>
      </c>
      <c r="M33" s="10">
        <f>IF($G33=M$5,1000,IF(M$4=0,1000,SQRT((VLOOKUP($G33,Coords[],3,FALSE)-VLOOKUP(M$5,Coords[],3,FALSE))^2+(VLOOKUP($G33,Coords[],4,FALSE)-VLOOKUP(M$5,Coords[],4,FALSE))^2)))</f>
        <v>1000</v>
      </c>
      <c r="N33" s="10">
        <f>IF($G33=N$5,1000,IF(N$4=0,1000,SQRT((VLOOKUP($G33,Coords[],3,FALSE)-VLOOKUP(N$5,Coords[],3,FALSE))^2+(VLOOKUP($G33,Coords[],4,FALSE)-VLOOKUP(N$5,Coords[],4,FALSE))^2)))</f>
        <v>1000</v>
      </c>
      <c r="O33" s="10">
        <f>IF($G33=O$5,1000,IF(O$4=0,1000,SQRT((VLOOKUP($G33,Coords[],3,FALSE)-VLOOKUP(O$5,Coords[],3,FALSE))^2+(VLOOKUP($G33,Coords[],4,FALSE)-VLOOKUP(O$5,Coords[],4,FALSE))^2)))</f>
        <v>13</v>
      </c>
      <c r="P33" s="10">
        <f>IF($G33=P$5,1000,IF(P$4=0,1000,SQRT((VLOOKUP($G33,Coords[],3,FALSE)-VLOOKUP(P$5,Coords[],3,FALSE))^2+(VLOOKUP($G33,Coords[],4,FALSE)-VLOOKUP(P$5,Coords[],4,FALSE))^2)))</f>
        <v>1000</v>
      </c>
      <c r="Q33" s="10">
        <f>IF($G33=Q$5,1000,IF(Q$4=0,1000,SQRT((VLOOKUP($G33,Coords[],3,FALSE)-VLOOKUP(Q$5,Coords[],3,FALSE))^2+(VLOOKUP($G33,Coords[],4,FALSE)-VLOOKUP(Q$5,Coords[],4,FALSE))^2)))</f>
        <v>1000</v>
      </c>
      <c r="R33" s="10">
        <f>IF($G33=R$5,1000,IF(R$4=0,1000,SQRT((VLOOKUP($G33,Coords[],3,FALSE)-VLOOKUP(R$5,Coords[],3,FALSE))^2+(VLOOKUP($G33,Coords[],4,FALSE)-VLOOKUP(R$5,Coords[],4,FALSE))^2)))</f>
        <v>1000</v>
      </c>
      <c r="S33" s="10">
        <f>IF($G33=S$5,1000,IF(S$4=0,1000,SQRT((VLOOKUP($G33,Coords[],3,FALSE)-VLOOKUP(S$5,Coords[],3,FALSE))^2+(VLOOKUP($G33,Coords[],4,FALSE)-VLOOKUP(S$5,Coords[],4,FALSE))^2)))</f>
        <v>1000</v>
      </c>
      <c r="T33" s="10">
        <f>IF($G33=T$5,1000,IF(T$4=0,1000,SQRT((VLOOKUP($G33,Coords[],3,FALSE)-VLOOKUP(T$5,Coords[],3,FALSE))^2+(VLOOKUP($G33,Coords[],4,FALSE)-VLOOKUP(T$5,Coords[],4,FALSE))^2)))</f>
        <v>1000</v>
      </c>
      <c r="U33" s="10">
        <f>IF($G33=U$5,1000,IF(U$4=0,1000,SQRT((VLOOKUP($G33,Coords[],3,FALSE)-VLOOKUP(U$5,Coords[],3,FALSE))^2+(VLOOKUP($G33,Coords[],4,FALSE)-VLOOKUP(U$5,Coords[],4,FALSE))^2)))</f>
        <v>1000</v>
      </c>
      <c r="V33" s="10">
        <f>IF($G33=V$5,1000,IF(V$4=0,1000,SQRT((VLOOKUP($G33,Coords[],3,FALSE)-VLOOKUP(V$5,Coords[],3,FALSE))^2+(VLOOKUP($G33,Coords[],4,FALSE)-VLOOKUP(V$5,Coords[],4,FALSE))^2)))</f>
        <v>1000</v>
      </c>
      <c r="W33" s="10">
        <f>IF($G33=W$5,1000,IF(W$4=0,1000,SQRT((VLOOKUP($G33,Coords[],3,FALSE)-VLOOKUP(W$5,Coords[],3,FALSE))^2+(VLOOKUP($G33,Coords[],4,FALSE)-VLOOKUP(W$5,Coords[],4,FALSE))^2)))</f>
        <v>1000</v>
      </c>
      <c r="X33" s="10">
        <f>IF($G33=X$5,1000,IF(X$4=0,1000,SQRT((VLOOKUP($G33,Coords[],3,FALSE)-VLOOKUP(X$5,Coords[],3,FALSE))^2+(VLOOKUP($G33,Coords[],4,FALSE)-VLOOKUP(X$5,Coords[],4,FALSE))^2)))</f>
        <v>1000</v>
      </c>
      <c r="Y33" s="10">
        <f>IF($G33=Y$5,1000,IF(Y$4=0,1000,SQRT((VLOOKUP($G33,Coords[],3,FALSE)-VLOOKUP(Y$5,Coords[],3,FALSE))^2+(VLOOKUP($G33,Coords[],4,FALSE)-VLOOKUP(Y$5,Coords[],4,FALSE))^2)))</f>
        <v>1000</v>
      </c>
      <c r="Z33" s="10">
        <f>IF($G33=Z$5,1000,IF(Z$4=0,1000,SQRT((VLOOKUP($G33,Coords[],3,FALSE)-VLOOKUP(Z$5,Coords[],3,FALSE))^2+(VLOOKUP($G33,Coords[],4,FALSE)-VLOOKUP(Z$5,Coords[],4,FALSE))^2)))</f>
        <v>1000</v>
      </c>
      <c r="AA33" s="10">
        <f>IF($G33=AA$5,1000,IF(AA$4=0,1000,SQRT((VLOOKUP($G33,Coords[],3,FALSE)-VLOOKUP(AA$5,Coords[],3,FALSE))^2+(VLOOKUP($G33,Coords[],4,FALSE)-VLOOKUP(AA$5,Coords[],4,FALSE))^2)))</f>
        <v>16.643316977093239</v>
      </c>
      <c r="AB33" s="10">
        <f>IF($G33=AB$5,1000,IF(AB$4=0,1000,SQRT((VLOOKUP($G33,Coords[],3,FALSE)-VLOOKUP(AB$5,Coords[],3,FALSE))^2+(VLOOKUP($G33,Coords[],4,FALSE)-VLOOKUP(AB$5,Coords[],4,FALSE))^2)))</f>
        <v>1000</v>
      </c>
      <c r="AC33" s="10">
        <f>IF($G33=AC$5,1000,IF(AC$4=0,1000,SQRT((VLOOKUP($G33,Coords[],3,FALSE)-VLOOKUP(AC$5,Coords[],3,FALSE))^2+(VLOOKUP($G33,Coords[],4,FALSE)-VLOOKUP(AC$5,Coords[],4,FALSE))^2)))</f>
        <v>1000</v>
      </c>
      <c r="AD33" s="10">
        <f>IF($G33=AD$5,1000,IF(AD$4=0,1000,SQRT((VLOOKUP($G33,Coords[],3,FALSE)-VLOOKUP(AD$5,Coords[],3,FALSE))^2+(VLOOKUP($G33,Coords[],4,FALSE)-VLOOKUP(AD$5,Coords[],4,FALSE))^2)))</f>
        <v>1000</v>
      </c>
      <c r="AE33" s="10">
        <f>IF($G33=AE$5,1000,IF(AE$4=0,1000,SQRT((VLOOKUP($G33,Coords[],3,FALSE)-VLOOKUP(AE$5,Coords[],3,FALSE))^2+(VLOOKUP($G33,Coords[],4,FALSE)-VLOOKUP(AE$5,Coords[],4,FALSE))^2)))</f>
        <v>1000</v>
      </c>
      <c r="AF33" s="10">
        <f>IF($G33=AF$5,1000,IF(AF$4=0,1000,SQRT((VLOOKUP($G33,Coords[],3,FALSE)-VLOOKUP(AF$5,Coords[],3,FALSE))^2+(VLOOKUP($G33,Coords[],4,FALSE)-VLOOKUP(AF$5,Coords[],4,FALSE))^2)))</f>
        <v>1000</v>
      </c>
      <c r="AG33" s="10">
        <f>IF($G33=AG$5,1000,IF(AG$4=0,1000,SQRT((VLOOKUP($G33,Coords[],3,FALSE)-VLOOKUP(AG$5,Coords[],3,FALSE))^2+(VLOOKUP($G33,Coords[],4,FALSE)-VLOOKUP(AG$5,Coords[],4,FALSE))^2)))</f>
        <v>1000</v>
      </c>
      <c r="AH33" s="10">
        <f>IF($G33=AH$5,1000,IF(AH$4=0,1000,SQRT((VLOOKUP($G33,Coords[],3,FALSE)-VLOOKUP(AH$5,Coords[],3,FALSE))^2+(VLOOKUP($G33,Coords[],4,FALSE)-VLOOKUP(AH$5,Coords[],4,FALSE))^2)))</f>
        <v>1000</v>
      </c>
      <c r="AI33" s="10">
        <f>IF($G33=AI$5,1000,IF(AI$4=0,1000,SQRT((VLOOKUP($G33,Coords[],3,FALSE)-VLOOKUP(AI$5,Coords[],3,FALSE))^2+(VLOOKUP($G33,Coords[],4,FALSE)-VLOOKUP(AI$5,Coords[],4,FALSE))^2)))</f>
        <v>1000</v>
      </c>
      <c r="AJ33" s="10">
        <f>IF($G33=AJ$5,1000,IF(AJ$4=0,1000,SQRT((VLOOKUP($G33,Coords[],3,FALSE)-VLOOKUP(AJ$5,Coords[],3,FALSE))^2+(VLOOKUP($G33,Coords[],4,FALSE)-VLOOKUP(AJ$5,Coords[],4,FALSE))^2)))</f>
        <v>24.207436873820409</v>
      </c>
      <c r="AK33" s="10">
        <f>IF($G33=AK$5,1000,IF(AK$4=0,1000,SQRT((VLOOKUP($G33,Coords[],3,FALSE)-VLOOKUP(AK$5,Coords[],3,FALSE))^2+(VLOOKUP($G33,Coords[],4,FALSE)-VLOOKUP(AK$5,Coords[],4,FALSE))^2)))</f>
        <v>1000</v>
      </c>
      <c r="AL33" s="10">
        <f>IF($G33=AL$5,1000,IF(AL$4=0,1000,SQRT((VLOOKUP($G33,Coords[],3,FALSE)-VLOOKUP(AL$5,Coords[],3,FALSE))^2+(VLOOKUP($G33,Coords[],4,FALSE)-VLOOKUP(AL$5,Coords[],4,FALSE))^2)))</f>
        <v>1000</v>
      </c>
      <c r="AM33" s="10">
        <f>IF($G33=AM$5,1000,IF(AM$4=0,1000,SQRT((VLOOKUP($G33,Coords[],3,FALSE)-VLOOKUP(AM$5,Coords[],3,FALSE))^2+(VLOOKUP($G33,Coords[],4,FALSE)-VLOOKUP(AM$5,Coords[],4,FALSE))^2)))</f>
        <v>21.587033144922902</v>
      </c>
      <c r="AN33" s="10">
        <f>IF($G33=AN$5,1000,IF(AN$4=0,1000,SQRT((VLOOKUP($G33,Coords[],3,FALSE)-VLOOKUP(AN$5,Coords[],3,FALSE))^2+(VLOOKUP($G33,Coords[],4,FALSE)-VLOOKUP(AN$5,Coords[],4,FALSE))^2)))</f>
        <v>1000</v>
      </c>
      <c r="AO33" s="10">
        <f>IF($G33=AO$5,1000,IF(AO$4=0,1000,SQRT((VLOOKUP($G33,Coords[],3,FALSE)-VLOOKUP(AO$5,Coords[],3,FALSE))^2+(VLOOKUP($G33,Coords[],4,FALSE)-VLOOKUP(AO$5,Coords[],4,FALSE))^2)))</f>
        <v>1000</v>
      </c>
      <c r="AP33" s="10">
        <f>IF($G33=AP$5,1000,IF(AP$4=0,1000,SQRT((VLOOKUP($G33,Coords[],3,FALSE)-VLOOKUP(AP$5,Coords[],3,FALSE))^2+(VLOOKUP($G33,Coords[],4,FALSE)-VLOOKUP(AP$5,Coords[],4,FALSE))^2)))</f>
        <v>1000</v>
      </c>
      <c r="AQ33" s="10">
        <f>IF($G33=AQ$5,1000,IF(AQ$4=0,1000,SQRT((VLOOKUP($G33,Coords[],3,FALSE)-VLOOKUP(AQ$5,Coords[],3,FALSE))^2+(VLOOKUP($G33,Coords[],4,FALSE)-VLOOKUP(AQ$5,Coords[],4,FALSE))^2)))</f>
        <v>1000</v>
      </c>
      <c r="AR33" s="10">
        <f>IF($G33=AR$5,1000,IF(AR$4=0,1000,SQRT((VLOOKUP($G33,Coords[],3,FALSE)-VLOOKUP(AR$5,Coords[],3,FALSE))^2+(VLOOKUP($G33,Coords[],4,FALSE)-VLOOKUP(AR$5,Coords[],4,FALSE))^2)))</f>
        <v>1000</v>
      </c>
      <c r="AS33" s="10">
        <f>IF($G33=AS$5,1000,IF(AS$4=0,1000,SQRT((VLOOKUP($G33,Coords[],3,FALSE)-VLOOKUP(AS$5,Coords[],3,FALSE))^2+(VLOOKUP($G33,Coords[],4,FALSE)-VLOOKUP(AS$5,Coords[],4,FALSE))^2)))</f>
        <v>1000</v>
      </c>
      <c r="AT33" s="10">
        <f>IF($G33=AT$5,1000,IF(AT$4=0,1000,SQRT((VLOOKUP($G33,Coords[],3,FALSE)-VLOOKUP(AT$5,Coords[],3,FALSE))^2+(VLOOKUP($G33,Coords[],4,FALSE)-VLOOKUP(AT$5,Coords[],4,FALSE))^2)))</f>
        <v>1000</v>
      </c>
      <c r="AU33" s="10">
        <f>IF($G33=AU$5,1000,IF(AU$4=0,1000,SQRT((VLOOKUP($G33,Coords[],3,FALSE)-VLOOKUP(AU$5,Coords[],3,FALSE))^2+(VLOOKUP($G33,Coords[],4,FALSE)-VLOOKUP(AU$5,Coords[],4,FALSE))^2)))</f>
        <v>1000</v>
      </c>
      <c r="AV33" s="10">
        <f>IF($G33=AV$5,1000,IF(AV$4=0,1000,SQRT((VLOOKUP($G33,Coords[],3,FALSE)-VLOOKUP(AV$5,Coords[],3,FALSE))^2+(VLOOKUP($G33,Coords[],4,FALSE)-VLOOKUP(AV$5,Coords[],4,FALSE))^2)))</f>
        <v>1000</v>
      </c>
      <c r="AW33" s="10">
        <f>IF($G33=AW$5,1000,IF(AW$4=0,1000,SQRT((VLOOKUP($G33,Coords[],3,FALSE)-VLOOKUP(AW$5,Coords[],3,FALSE))^2+(VLOOKUP($G33,Coords[],4,FALSE)-VLOOKUP(AW$5,Coords[],4,FALSE))^2)))</f>
        <v>1000</v>
      </c>
      <c r="AX33" s="10">
        <f>IF($G33=AX$5,1000,IF(AX$4=0,1000,SQRT((VLOOKUP($G33,Coords[],3,FALSE)-VLOOKUP(AX$5,Coords[],3,FALSE))^2+(VLOOKUP($G33,Coords[],4,FALSE)-VLOOKUP(AX$5,Coords[],4,FALSE))^2)))</f>
        <v>1000</v>
      </c>
      <c r="AY33" s="10">
        <f>IF($G33=AY$5,1000,IF(AY$4=0,1000,SQRT((VLOOKUP($G33,Coords[],3,FALSE)-VLOOKUP(AY$5,Coords[],3,FALSE))^2+(VLOOKUP($G33,Coords[],4,FALSE)-VLOOKUP(AY$5,Coords[],4,FALSE))^2)))</f>
        <v>1000</v>
      </c>
      <c r="AZ33" s="10">
        <f>IF($G33=AZ$5,1000,IF(AZ$4=0,1000,SQRT((VLOOKUP($G33,Coords[],3,FALSE)-VLOOKUP(AZ$5,Coords[],3,FALSE))^2+(VLOOKUP($G33,Coords[],4,FALSE)-VLOOKUP(AZ$5,Coords[],4,FALSE))^2)))</f>
        <v>1000</v>
      </c>
      <c r="BA33" s="10">
        <f>IF($G33=BA$5,1000,IF(BA$4=0,1000,SQRT((VLOOKUP($G33,Coords[],3,FALSE)-VLOOKUP(BA$5,Coords[],3,FALSE))^2+(VLOOKUP($G33,Coords[],4,FALSE)-VLOOKUP(BA$5,Coords[],4,FALSE))^2)))</f>
        <v>1000</v>
      </c>
      <c r="BB33" s="10">
        <f>IF($G33=BB$5,1000,IF(BB$4=0,1000,SQRT((VLOOKUP($G33,Coords[],3,FALSE)-VLOOKUP(BB$5,Coords[],3,FALSE))^2+(VLOOKUP($G33,Coords[],4,FALSE)-VLOOKUP(BB$5,Coords[],4,FALSE))^2)))</f>
        <v>1000</v>
      </c>
      <c r="BC33" s="10">
        <f>IF($G33=BC$5,1000,IF(BC$4=0,1000,SQRT((VLOOKUP($G33,Coords[],3,FALSE)-VLOOKUP(BC$5,Coords[],3,FALSE))^2+(VLOOKUP($G33,Coords[],4,FALSE)-VLOOKUP(BC$5,Coords[],4,FALSE))^2)))</f>
        <v>1000</v>
      </c>
      <c r="BD33" s="10">
        <f>IF($G33=BD$5,1000,IF(BD$4=0,1000,SQRT((VLOOKUP($G33,Coords[],3,FALSE)-VLOOKUP(BD$5,Coords[],3,FALSE))^2+(VLOOKUP($G33,Coords[],4,FALSE)-VLOOKUP(BD$5,Coords[],4,FALSE))^2)))</f>
        <v>1000</v>
      </c>
      <c r="BE33" s="10">
        <f>IF($G33=BE$5,1000,IF(BE$4=0,1000,SQRT((VLOOKUP($G33,Coords[],3,FALSE)-VLOOKUP(BE$5,Coords[],3,FALSE))^2+(VLOOKUP($G33,Coords[],4,FALSE)-VLOOKUP(BE$5,Coords[],4,FALSE))^2)))</f>
        <v>1000</v>
      </c>
      <c r="BF33" s="10">
        <f>IF($G33=BF$5,1000,IF(BF$4=0,1000,SQRT((VLOOKUP($G33,Coords[],3,FALSE)-VLOOKUP(BF$5,Coords[],3,FALSE))^2+(VLOOKUP($G33,Coords[],4,FALSE)-VLOOKUP(BF$5,Coords[],4,FALSE))^2)))</f>
        <v>1000</v>
      </c>
      <c r="BG33" s="4">
        <v>28</v>
      </c>
      <c r="BI33" s="5">
        <f>IF(E33=1,0,VLOOKUP($G33,$G$6:$BF$57,HLOOKUP(MIN(H33:BF33),$H33:$BF$57,((COUNT($G$6:$G$56)+2)-$G33),FALSE),FALSE)*B33)</f>
        <v>4000</v>
      </c>
      <c r="BJ33" s="9">
        <f>VLOOKUP($G33,$G$6:$BF$57,HLOOKUP(MIN(H33:BF33),$H33:$BF$57,((COUNT($G$6:$G$56)+2)-$G33),FALSE),FALSE)</f>
        <v>1000</v>
      </c>
      <c r="BK33" s="7">
        <f>HLOOKUP(MIN(H33:BF33),$H33:$BF$57,((COUNT($G$6:$G$56)+2)-$G33),FALSE)</f>
        <v>8</v>
      </c>
      <c r="BL33">
        <f>BJ33*Coords[[#This Row],[Demand]]</f>
        <v>4000</v>
      </c>
      <c r="BN33">
        <v>28</v>
      </c>
      <c r="BO33">
        <v>7779.2126269355431</v>
      </c>
      <c r="BP33">
        <v>8732.2210489223889</v>
      </c>
    </row>
    <row r="34" spans="1:68" x14ac:dyDescent="0.25">
      <c r="A34" s="8">
        <v>29</v>
      </c>
      <c r="B34" s="3">
        <v>25</v>
      </c>
      <c r="C34" s="3">
        <v>58</v>
      </c>
      <c r="D34" s="3">
        <v>48</v>
      </c>
      <c r="E34">
        <v>1</v>
      </c>
      <c r="G34" s="4">
        <v>29</v>
      </c>
      <c r="H34" s="10">
        <f>IF($G34=H$5,1000,IF(H$4=0,1000,SQRT((VLOOKUP($G34,Coords[],3,FALSE)-VLOOKUP(H$5,Coords[],3,FALSE))^2+(VLOOKUP($G34,Coords[],4,FALSE)-VLOOKUP(H$5,Coords[],4,FALSE))^2)))</f>
        <v>1000</v>
      </c>
      <c r="I34" s="10">
        <f>IF($G34=I$5,1000,IF(I$4=0,1000,SQRT((VLOOKUP($G34,Coords[],3,FALSE)-VLOOKUP(I$5,Coords[],3,FALSE))^2+(VLOOKUP($G34,Coords[],4,FALSE)-VLOOKUP(I$5,Coords[],4,FALSE))^2)))</f>
        <v>1000</v>
      </c>
      <c r="J34" s="10">
        <f>IF($G34=J$5,1000,IF(J$4=0,1000,SQRT((VLOOKUP($G34,Coords[],3,FALSE)-VLOOKUP(J$5,Coords[],3,FALSE))^2+(VLOOKUP($G34,Coords[],4,FALSE)-VLOOKUP(J$5,Coords[],4,FALSE))^2)))</f>
        <v>1000</v>
      </c>
      <c r="K34" s="10">
        <f>IF($G34=K$5,1000,IF(K$4=0,1000,SQRT((VLOOKUP($G34,Coords[],3,FALSE)-VLOOKUP(K$5,Coords[],3,FALSE))^2+(VLOOKUP($G34,Coords[],4,FALSE)-VLOOKUP(K$5,Coords[],4,FALSE))^2)))</f>
        <v>1000</v>
      </c>
      <c r="L34" s="10">
        <f>IF($G34=L$5,1000,IF(L$4=0,1000,SQRT((VLOOKUP($G34,Coords[],3,FALSE)-VLOOKUP(L$5,Coords[],3,FALSE))^2+(VLOOKUP($G34,Coords[],4,FALSE)-VLOOKUP(L$5,Coords[],4,FALSE))^2)))</f>
        <v>1000</v>
      </c>
      <c r="M34" s="10">
        <f>IF($G34=M$5,1000,IF(M$4=0,1000,SQRT((VLOOKUP($G34,Coords[],3,FALSE)-VLOOKUP(M$5,Coords[],3,FALSE))^2+(VLOOKUP($G34,Coords[],4,FALSE)-VLOOKUP(M$5,Coords[],4,FALSE))^2)))</f>
        <v>1000</v>
      </c>
      <c r="N34" s="10">
        <f>IF($G34=N$5,1000,IF(N$4=0,1000,SQRT((VLOOKUP($G34,Coords[],3,FALSE)-VLOOKUP(N$5,Coords[],3,FALSE))^2+(VLOOKUP($G34,Coords[],4,FALSE)-VLOOKUP(N$5,Coords[],4,FALSE))^2)))</f>
        <v>1000</v>
      </c>
      <c r="O34" s="10">
        <f>IF($G34=O$5,1000,IF(O$4=0,1000,SQRT((VLOOKUP($G34,Coords[],3,FALSE)-VLOOKUP(O$5,Coords[],3,FALSE))^2+(VLOOKUP($G34,Coords[],4,FALSE)-VLOOKUP(O$5,Coords[],4,FALSE))^2)))</f>
        <v>30.413812651491099</v>
      </c>
      <c r="P34" s="10">
        <f>IF($G34=P$5,1000,IF(P$4=0,1000,SQRT((VLOOKUP($G34,Coords[],3,FALSE)-VLOOKUP(P$5,Coords[],3,FALSE))^2+(VLOOKUP($G34,Coords[],4,FALSE)-VLOOKUP(P$5,Coords[],4,FALSE))^2)))</f>
        <v>1000</v>
      </c>
      <c r="Q34" s="10">
        <f>IF($G34=Q$5,1000,IF(Q$4=0,1000,SQRT((VLOOKUP($G34,Coords[],3,FALSE)-VLOOKUP(Q$5,Coords[],3,FALSE))^2+(VLOOKUP($G34,Coords[],4,FALSE)-VLOOKUP(Q$5,Coords[],4,FALSE))^2)))</f>
        <v>1000</v>
      </c>
      <c r="R34" s="10">
        <f>IF($G34=R$5,1000,IF(R$4=0,1000,SQRT((VLOOKUP($G34,Coords[],3,FALSE)-VLOOKUP(R$5,Coords[],3,FALSE))^2+(VLOOKUP($G34,Coords[],4,FALSE)-VLOOKUP(R$5,Coords[],4,FALSE))^2)))</f>
        <v>1000</v>
      </c>
      <c r="S34" s="10">
        <f>IF($G34=S$5,1000,IF(S$4=0,1000,SQRT((VLOOKUP($G34,Coords[],3,FALSE)-VLOOKUP(S$5,Coords[],3,FALSE))^2+(VLOOKUP($G34,Coords[],4,FALSE)-VLOOKUP(S$5,Coords[],4,FALSE))^2)))</f>
        <v>1000</v>
      </c>
      <c r="T34" s="10">
        <f>IF($G34=T$5,1000,IF(T$4=0,1000,SQRT((VLOOKUP($G34,Coords[],3,FALSE)-VLOOKUP(T$5,Coords[],3,FALSE))^2+(VLOOKUP($G34,Coords[],4,FALSE)-VLOOKUP(T$5,Coords[],4,FALSE))^2)))</f>
        <v>1000</v>
      </c>
      <c r="U34" s="10">
        <f>IF($G34=U$5,1000,IF(U$4=0,1000,SQRT((VLOOKUP($G34,Coords[],3,FALSE)-VLOOKUP(U$5,Coords[],3,FALSE))^2+(VLOOKUP($G34,Coords[],4,FALSE)-VLOOKUP(U$5,Coords[],4,FALSE))^2)))</f>
        <v>1000</v>
      </c>
      <c r="V34" s="10">
        <f>IF($G34=V$5,1000,IF(V$4=0,1000,SQRT((VLOOKUP($G34,Coords[],3,FALSE)-VLOOKUP(V$5,Coords[],3,FALSE))^2+(VLOOKUP($G34,Coords[],4,FALSE)-VLOOKUP(V$5,Coords[],4,FALSE))^2)))</f>
        <v>1000</v>
      </c>
      <c r="W34" s="10">
        <f>IF($G34=W$5,1000,IF(W$4=0,1000,SQRT((VLOOKUP($G34,Coords[],3,FALSE)-VLOOKUP(W$5,Coords[],3,FALSE))^2+(VLOOKUP($G34,Coords[],4,FALSE)-VLOOKUP(W$5,Coords[],4,FALSE))^2)))</f>
        <v>1000</v>
      </c>
      <c r="X34" s="10">
        <f>IF($G34=X$5,1000,IF(X$4=0,1000,SQRT((VLOOKUP($G34,Coords[],3,FALSE)-VLOOKUP(X$5,Coords[],3,FALSE))^2+(VLOOKUP($G34,Coords[],4,FALSE)-VLOOKUP(X$5,Coords[],4,FALSE))^2)))</f>
        <v>1000</v>
      </c>
      <c r="Y34" s="10">
        <f>IF($G34=Y$5,1000,IF(Y$4=0,1000,SQRT((VLOOKUP($G34,Coords[],3,FALSE)-VLOOKUP(Y$5,Coords[],3,FALSE))^2+(VLOOKUP($G34,Coords[],4,FALSE)-VLOOKUP(Y$5,Coords[],4,FALSE))^2)))</f>
        <v>1000</v>
      </c>
      <c r="Z34" s="10">
        <f>IF($G34=Z$5,1000,IF(Z$4=0,1000,SQRT((VLOOKUP($G34,Coords[],3,FALSE)-VLOOKUP(Z$5,Coords[],3,FALSE))^2+(VLOOKUP($G34,Coords[],4,FALSE)-VLOOKUP(Z$5,Coords[],4,FALSE))^2)))</f>
        <v>1000</v>
      </c>
      <c r="AA34" s="10">
        <f>IF($G34=AA$5,1000,IF(AA$4=0,1000,SQRT((VLOOKUP($G34,Coords[],3,FALSE)-VLOOKUP(AA$5,Coords[],3,FALSE))^2+(VLOOKUP($G34,Coords[],4,FALSE)-VLOOKUP(AA$5,Coords[],4,FALSE))^2)))</f>
        <v>10.04987562112089</v>
      </c>
      <c r="AB34" s="10">
        <f>IF($G34=AB$5,1000,IF(AB$4=0,1000,SQRT((VLOOKUP($G34,Coords[],3,FALSE)-VLOOKUP(AB$5,Coords[],3,FALSE))^2+(VLOOKUP($G34,Coords[],4,FALSE)-VLOOKUP(AB$5,Coords[],4,FALSE))^2)))</f>
        <v>1000</v>
      </c>
      <c r="AC34" s="10">
        <f>IF($G34=AC$5,1000,IF(AC$4=0,1000,SQRT((VLOOKUP($G34,Coords[],3,FALSE)-VLOOKUP(AC$5,Coords[],3,FALSE))^2+(VLOOKUP($G34,Coords[],4,FALSE)-VLOOKUP(AC$5,Coords[],4,FALSE))^2)))</f>
        <v>1000</v>
      </c>
      <c r="AD34" s="10">
        <f>IF($G34=AD$5,1000,IF(AD$4=0,1000,SQRT((VLOOKUP($G34,Coords[],3,FALSE)-VLOOKUP(AD$5,Coords[],3,FALSE))^2+(VLOOKUP($G34,Coords[],4,FALSE)-VLOOKUP(AD$5,Coords[],4,FALSE))^2)))</f>
        <v>1000</v>
      </c>
      <c r="AE34" s="10">
        <f>IF($G34=AE$5,1000,IF(AE$4=0,1000,SQRT((VLOOKUP($G34,Coords[],3,FALSE)-VLOOKUP(AE$5,Coords[],3,FALSE))^2+(VLOOKUP($G34,Coords[],4,FALSE)-VLOOKUP(AE$5,Coords[],4,FALSE))^2)))</f>
        <v>1000</v>
      </c>
      <c r="AF34" s="10">
        <f>IF($G34=AF$5,1000,IF(AF$4=0,1000,SQRT((VLOOKUP($G34,Coords[],3,FALSE)-VLOOKUP(AF$5,Coords[],3,FALSE))^2+(VLOOKUP($G34,Coords[],4,FALSE)-VLOOKUP(AF$5,Coords[],4,FALSE))^2)))</f>
        <v>1000</v>
      </c>
      <c r="AG34" s="10">
        <f>IF($G34=AG$5,1000,IF(AG$4=0,1000,SQRT((VLOOKUP($G34,Coords[],3,FALSE)-VLOOKUP(AG$5,Coords[],3,FALSE))^2+(VLOOKUP($G34,Coords[],4,FALSE)-VLOOKUP(AG$5,Coords[],4,FALSE))^2)))</f>
        <v>1000</v>
      </c>
      <c r="AH34" s="10">
        <f>IF($G34=AH$5,1000,IF(AH$4=0,1000,SQRT((VLOOKUP($G34,Coords[],3,FALSE)-VLOOKUP(AH$5,Coords[],3,FALSE))^2+(VLOOKUP($G34,Coords[],4,FALSE)-VLOOKUP(AH$5,Coords[],4,FALSE))^2)))</f>
        <v>1000</v>
      </c>
      <c r="AI34" s="10">
        <f>IF($G34=AI$5,1000,IF(AI$4=0,1000,SQRT((VLOOKUP($G34,Coords[],3,FALSE)-VLOOKUP(AI$5,Coords[],3,FALSE))^2+(VLOOKUP($G34,Coords[],4,FALSE)-VLOOKUP(AI$5,Coords[],4,FALSE))^2)))</f>
        <v>1000</v>
      </c>
      <c r="AJ34" s="10">
        <f>IF($G34=AJ$5,1000,IF(AJ$4=0,1000,SQRT((VLOOKUP($G34,Coords[],3,FALSE)-VLOOKUP(AJ$5,Coords[],3,FALSE))^2+(VLOOKUP($G34,Coords[],4,FALSE)-VLOOKUP(AJ$5,Coords[],4,FALSE))^2)))</f>
        <v>1000</v>
      </c>
      <c r="AK34" s="10">
        <f>IF($G34=AK$5,1000,IF(AK$4=0,1000,SQRT((VLOOKUP($G34,Coords[],3,FALSE)-VLOOKUP(AK$5,Coords[],3,FALSE))^2+(VLOOKUP($G34,Coords[],4,FALSE)-VLOOKUP(AK$5,Coords[],4,FALSE))^2)))</f>
        <v>1000</v>
      </c>
      <c r="AL34" s="10">
        <f>IF($G34=AL$5,1000,IF(AL$4=0,1000,SQRT((VLOOKUP($G34,Coords[],3,FALSE)-VLOOKUP(AL$5,Coords[],3,FALSE))^2+(VLOOKUP($G34,Coords[],4,FALSE)-VLOOKUP(AL$5,Coords[],4,FALSE))^2)))</f>
        <v>1000</v>
      </c>
      <c r="AM34" s="10">
        <f>IF($G34=AM$5,1000,IF(AM$4=0,1000,SQRT((VLOOKUP($G34,Coords[],3,FALSE)-VLOOKUP(AM$5,Coords[],3,FALSE))^2+(VLOOKUP($G34,Coords[],4,FALSE)-VLOOKUP(AM$5,Coords[],4,FALSE))^2)))</f>
        <v>20.09975124224178</v>
      </c>
      <c r="AN34" s="10">
        <f>IF($G34=AN$5,1000,IF(AN$4=0,1000,SQRT((VLOOKUP($G34,Coords[],3,FALSE)-VLOOKUP(AN$5,Coords[],3,FALSE))^2+(VLOOKUP($G34,Coords[],4,FALSE)-VLOOKUP(AN$5,Coords[],4,FALSE))^2)))</f>
        <v>1000</v>
      </c>
      <c r="AO34" s="10">
        <f>IF($G34=AO$5,1000,IF(AO$4=0,1000,SQRT((VLOOKUP($G34,Coords[],3,FALSE)-VLOOKUP(AO$5,Coords[],3,FALSE))^2+(VLOOKUP($G34,Coords[],4,FALSE)-VLOOKUP(AO$5,Coords[],4,FALSE))^2)))</f>
        <v>1000</v>
      </c>
      <c r="AP34" s="10">
        <f>IF($G34=AP$5,1000,IF(AP$4=0,1000,SQRT((VLOOKUP($G34,Coords[],3,FALSE)-VLOOKUP(AP$5,Coords[],3,FALSE))^2+(VLOOKUP($G34,Coords[],4,FALSE)-VLOOKUP(AP$5,Coords[],4,FALSE))^2)))</f>
        <v>1000</v>
      </c>
      <c r="AQ34" s="10">
        <f>IF($G34=AQ$5,1000,IF(AQ$4=0,1000,SQRT((VLOOKUP($G34,Coords[],3,FALSE)-VLOOKUP(AQ$5,Coords[],3,FALSE))^2+(VLOOKUP($G34,Coords[],4,FALSE)-VLOOKUP(AQ$5,Coords[],4,FALSE))^2)))</f>
        <v>1000</v>
      </c>
      <c r="AR34" s="10">
        <f>IF($G34=AR$5,1000,IF(AR$4=0,1000,SQRT((VLOOKUP($G34,Coords[],3,FALSE)-VLOOKUP(AR$5,Coords[],3,FALSE))^2+(VLOOKUP($G34,Coords[],4,FALSE)-VLOOKUP(AR$5,Coords[],4,FALSE))^2)))</f>
        <v>1000</v>
      </c>
      <c r="AS34" s="10">
        <f>IF($G34=AS$5,1000,IF(AS$4=0,1000,SQRT((VLOOKUP($G34,Coords[],3,FALSE)-VLOOKUP(AS$5,Coords[],3,FALSE))^2+(VLOOKUP($G34,Coords[],4,FALSE)-VLOOKUP(AS$5,Coords[],4,FALSE))^2)))</f>
        <v>1000</v>
      </c>
      <c r="AT34" s="10">
        <f>IF($G34=AT$5,1000,IF(AT$4=0,1000,SQRT((VLOOKUP($G34,Coords[],3,FALSE)-VLOOKUP(AT$5,Coords[],3,FALSE))^2+(VLOOKUP($G34,Coords[],4,FALSE)-VLOOKUP(AT$5,Coords[],4,FALSE))^2)))</f>
        <v>1000</v>
      </c>
      <c r="AU34" s="10">
        <f>IF($G34=AU$5,1000,IF(AU$4=0,1000,SQRT((VLOOKUP($G34,Coords[],3,FALSE)-VLOOKUP(AU$5,Coords[],3,FALSE))^2+(VLOOKUP($G34,Coords[],4,FALSE)-VLOOKUP(AU$5,Coords[],4,FALSE))^2)))</f>
        <v>1000</v>
      </c>
      <c r="AV34" s="10">
        <f>IF($G34=AV$5,1000,IF(AV$4=0,1000,SQRT((VLOOKUP($G34,Coords[],3,FALSE)-VLOOKUP(AV$5,Coords[],3,FALSE))^2+(VLOOKUP($G34,Coords[],4,FALSE)-VLOOKUP(AV$5,Coords[],4,FALSE))^2)))</f>
        <v>1000</v>
      </c>
      <c r="AW34" s="10">
        <f>IF($G34=AW$5,1000,IF(AW$4=0,1000,SQRT((VLOOKUP($G34,Coords[],3,FALSE)-VLOOKUP(AW$5,Coords[],3,FALSE))^2+(VLOOKUP($G34,Coords[],4,FALSE)-VLOOKUP(AW$5,Coords[],4,FALSE))^2)))</f>
        <v>1000</v>
      </c>
      <c r="AX34" s="10">
        <f>IF($G34=AX$5,1000,IF(AX$4=0,1000,SQRT((VLOOKUP($G34,Coords[],3,FALSE)-VLOOKUP(AX$5,Coords[],3,FALSE))^2+(VLOOKUP($G34,Coords[],4,FALSE)-VLOOKUP(AX$5,Coords[],4,FALSE))^2)))</f>
        <v>1000</v>
      </c>
      <c r="AY34" s="10">
        <f>IF($G34=AY$5,1000,IF(AY$4=0,1000,SQRT((VLOOKUP($G34,Coords[],3,FALSE)-VLOOKUP(AY$5,Coords[],3,FALSE))^2+(VLOOKUP($G34,Coords[],4,FALSE)-VLOOKUP(AY$5,Coords[],4,FALSE))^2)))</f>
        <v>1000</v>
      </c>
      <c r="AZ34" s="10">
        <f>IF($G34=AZ$5,1000,IF(AZ$4=0,1000,SQRT((VLOOKUP($G34,Coords[],3,FALSE)-VLOOKUP(AZ$5,Coords[],3,FALSE))^2+(VLOOKUP($G34,Coords[],4,FALSE)-VLOOKUP(AZ$5,Coords[],4,FALSE))^2)))</f>
        <v>1000</v>
      </c>
      <c r="BA34" s="10">
        <f>IF($G34=BA$5,1000,IF(BA$4=0,1000,SQRT((VLOOKUP($G34,Coords[],3,FALSE)-VLOOKUP(BA$5,Coords[],3,FALSE))^2+(VLOOKUP($G34,Coords[],4,FALSE)-VLOOKUP(BA$5,Coords[],4,FALSE))^2)))</f>
        <v>1000</v>
      </c>
      <c r="BB34" s="10">
        <f>IF($G34=BB$5,1000,IF(BB$4=0,1000,SQRT((VLOOKUP($G34,Coords[],3,FALSE)-VLOOKUP(BB$5,Coords[],3,FALSE))^2+(VLOOKUP($G34,Coords[],4,FALSE)-VLOOKUP(BB$5,Coords[],4,FALSE))^2)))</f>
        <v>1000</v>
      </c>
      <c r="BC34" s="10">
        <f>IF($G34=BC$5,1000,IF(BC$4=0,1000,SQRT((VLOOKUP($G34,Coords[],3,FALSE)-VLOOKUP(BC$5,Coords[],3,FALSE))^2+(VLOOKUP($G34,Coords[],4,FALSE)-VLOOKUP(BC$5,Coords[],4,FALSE))^2)))</f>
        <v>1000</v>
      </c>
      <c r="BD34" s="10">
        <f>IF($G34=BD$5,1000,IF(BD$4=0,1000,SQRT((VLOOKUP($G34,Coords[],3,FALSE)-VLOOKUP(BD$5,Coords[],3,FALSE))^2+(VLOOKUP($G34,Coords[],4,FALSE)-VLOOKUP(BD$5,Coords[],4,FALSE))^2)))</f>
        <v>1000</v>
      </c>
      <c r="BE34" s="10">
        <f>IF($G34=BE$5,1000,IF(BE$4=0,1000,SQRT((VLOOKUP($G34,Coords[],3,FALSE)-VLOOKUP(BE$5,Coords[],3,FALSE))^2+(VLOOKUP($G34,Coords[],4,FALSE)-VLOOKUP(BE$5,Coords[],4,FALSE))^2)))</f>
        <v>1000</v>
      </c>
      <c r="BF34" s="10">
        <f>IF($G34=BF$5,1000,IF(BF$4=0,1000,SQRT((VLOOKUP($G34,Coords[],3,FALSE)-VLOOKUP(BF$5,Coords[],3,FALSE))^2+(VLOOKUP($G34,Coords[],4,FALSE)-VLOOKUP(BF$5,Coords[],4,FALSE))^2)))</f>
        <v>1000</v>
      </c>
      <c r="BG34" s="4">
        <v>29</v>
      </c>
      <c r="BI34" s="5">
        <f>IF(E34=1,0,VLOOKUP($G34,$G$6:$BF$57,HLOOKUP(MIN(H34:BF34),$H34:$BF$57,((COUNT($G$6:$G$56)+2)-$G34),FALSE),FALSE)*B34)</f>
        <v>0</v>
      </c>
      <c r="BJ34" s="9">
        <f>VLOOKUP($G34,$G$6:$BF$57,HLOOKUP(MIN(H34:BF34),$H34:$BF$57,((COUNT($G$6:$G$56)+2)-$G34),FALSE),FALSE)</f>
        <v>10.04987562112089</v>
      </c>
      <c r="BK34" s="7">
        <f>HLOOKUP(MIN(H34:BF34),$H34:$BF$57,((COUNT($G$6:$G$56)+2)-$G34),FALSE)</f>
        <v>21</v>
      </c>
      <c r="BL34">
        <f>BJ34*Coords[[#This Row],[Demand]]</f>
        <v>251.24689052802225</v>
      </c>
      <c r="BN34">
        <v>29</v>
      </c>
      <c r="BO34">
        <v>7779.2126269355431</v>
      </c>
      <c r="BP34">
        <v>9032.0061233315937</v>
      </c>
    </row>
    <row r="35" spans="1:68" x14ac:dyDescent="0.25">
      <c r="A35" s="8">
        <v>30</v>
      </c>
      <c r="B35" s="3">
        <v>19</v>
      </c>
      <c r="C35" s="3">
        <v>58</v>
      </c>
      <c r="D35" s="3">
        <v>27</v>
      </c>
      <c r="E35">
        <v>0</v>
      </c>
      <c r="G35" s="4">
        <v>30</v>
      </c>
      <c r="H35" s="10">
        <f>IF($G35=H$5,1000,IF(H$4=0,1000,SQRT((VLOOKUP($G35,Coords[],3,FALSE)-VLOOKUP(H$5,Coords[],3,FALSE))^2+(VLOOKUP($G35,Coords[],4,FALSE)-VLOOKUP(H$5,Coords[],4,FALSE))^2)))</f>
        <v>1000</v>
      </c>
      <c r="I35" s="10">
        <f>IF($G35=I$5,1000,IF(I$4=0,1000,SQRT((VLOOKUP($G35,Coords[],3,FALSE)-VLOOKUP(I$5,Coords[],3,FALSE))^2+(VLOOKUP($G35,Coords[],4,FALSE)-VLOOKUP(I$5,Coords[],4,FALSE))^2)))</f>
        <v>1000</v>
      </c>
      <c r="J35" s="10">
        <f>IF($G35=J$5,1000,IF(J$4=0,1000,SQRT((VLOOKUP($G35,Coords[],3,FALSE)-VLOOKUP(J$5,Coords[],3,FALSE))^2+(VLOOKUP($G35,Coords[],4,FALSE)-VLOOKUP(J$5,Coords[],4,FALSE))^2)))</f>
        <v>1000</v>
      </c>
      <c r="K35" s="10">
        <f>IF($G35=K$5,1000,IF(K$4=0,1000,SQRT((VLOOKUP($G35,Coords[],3,FALSE)-VLOOKUP(K$5,Coords[],3,FALSE))^2+(VLOOKUP($G35,Coords[],4,FALSE)-VLOOKUP(K$5,Coords[],4,FALSE))^2)))</f>
        <v>1000</v>
      </c>
      <c r="L35" s="10">
        <f>IF($G35=L$5,1000,IF(L$4=0,1000,SQRT((VLOOKUP($G35,Coords[],3,FALSE)-VLOOKUP(L$5,Coords[],3,FALSE))^2+(VLOOKUP($G35,Coords[],4,FALSE)-VLOOKUP(L$5,Coords[],4,FALSE))^2)))</f>
        <v>1000</v>
      </c>
      <c r="M35" s="10">
        <f>IF($G35=M$5,1000,IF(M$4=0,1000,SQRT((VLOOKUP($G35,Coords[],3,FALSE)-VLOOKUP(M$5,Coords[],3,FALSE))^2+(VLOOKUP($G35,Coords[],4,FALSE)-VLOOKUP(M$5,Coords[],4,FALSE))^2)))</f>
        <v>1000</v>
      </c>
      <c r="N35" s="10">
        <f>IF($G35=N$5,1000,IF(N$4=0,1000,SQRT((VLOOKUP($G35,Coords[],3,FALSE)-VLOOKUP(N$5,Coords[],3,FALSE))^2+(VLOOKUP($G35,Coords[],4,FALSE)-VLOOKUP(N$5,Coords[],4,FALSE))^2)))</f>
        <v>1000</v>
      </c>
      <c r="O35" s="10">
        <f>IF($G35=O$5,1000,IF(O$4=0,1000,SQRT((VLOOKUP($G35,Coords[],3,FALSE)-VLOOKUP(O$5,Coords[],3,FALSE))^2+(VLOOKUP($G35,Coords[],4,FALSE)-VLOOKUP(O$5,Coords[],4,FALSE))^2)))</f>
        <v>44.204072210600685</v>
      </c>
      <c r="P35" s="10">
        <f>IF($G35=P$5,1000,IF(P$4=0,1000,SQRT((VLOOKUP($G35,Coords[],3,FALSE)-VLOOKUP(P$5,Coords[],3,FALSE))^2+(VLOOKUP($G35,Coords[],4,FALSE)-VLOOKUP(P$5,Coords[],4,FALSE))^2)))</f>
        <v>1000</v>
      </c>
      <c r="Q35" s="10">
        <f>IF($G35=Q$5,1000,IF(Q$4=0,1000,SQRT((VLOOKUP($G35,Coords[],3,FALSE)-VLOOKUP(Q$5,Coords[],3,FALSE))^2+(VLOOKUP($G35,Coords[],4,FALSE)-VLOOKUP(Q$5,Coords[],4,FALSE))^2)))</f>
        <v>1000</v>
      </c>
      <c r="R35" s="10">
        <f>IF($G35=R$5,1000,IF(R$4=0,1000,SQRT((VLOOKUP($G35,Coords[],3,FALSE)-VLOOKUP(R$5,Coords[],3,FALSE))^2+(VLOOKUP($G35,Coords[],4,FALSE)-VLOOKUP(R$5,Coords[],4,FALSE))^2)))</f>
        <v>1000</v>
      </c>
      <c r="S35" s="10">
        <f>IF($G35=S$5,1000,IF(S$4=0,1000,SQRT((VLOOKUP($G35,Coords[],3,FALSE)-VLOOKUP(S$5,Coords[],3,FALSE))^2+(VLOOKUP($G35,Coords[],4,FALSE)-VLOOKUP(S$5,Coords[],4,FALSE))^2)))</f>
        <v>1000</v>
      </c>
      <c r="T35" s="10">
        <f>IF($G35=T$5,1000,IF(T$4=0,1000,SQRT((VLOOKUP($G35,Coords[],3,FALSE)-VLOOKUP(T$5,Coords[],3,FALSE))^2+(VLOOKUP($G35,Coords[],4,FALSE)-VLOOKUP(T$5,Coords[],4,FALSE))^2)))</f>
        <v>1000</v>
      </c>
      <c r="U35" s="10">
        <f>IF($G35=U$5,1000,IF(U$4=0,1000,SQRT((VLOOKUP($G35,Coords[],3,FALSE)-VLOOKUP(U$5,Coords[],3,FALSE))^2+(VLOOKUP($G35,Coords[],4,FALSE)-VLOOKUP(U$5,Coords[],4,FALSE))^2)))</f>
        <v>1000</v>
      </c>
      <c r="V35" s="10">
        <f>IF($G35=V$5,1000,IF(V$4=0,1000,SQRT((VLOOKUP($G35,Coords[],3,FALSE)-VLOOKUP(V$5,Coords[],3,FALSE))^2+(VLOOKUP($G35,Coords[],4,FALSE)-VLOOKUP(V$5,Coords[],4,FALSE))^2)))</f>
        <v>1000</v>
      </c>
      <c r="W35" s="10">
        <f>IF($G35=W$5,1000,IF(W$4=0,1000,SQRT((VLOOKUP($G35,Coords[],3,FALSE)-VLOOKUP(W$5,Coords[],3,FALSE))^2+(VLOOKUP($G35,Coords[],4,FALSE)-VLOOKUP(W$5,Coords[],4,FALSE))^2)))</f>
        <v>1000</v>
      </c>
      <c r="X35" s="10">
        <f>IF($G35=X$5,1000,IF(X$4=0,1000,SQRT((VLOOKUP($G35,Coords[],3,FALSE)-VLOOKUP(X$5,Coords[],3,FALSE))^2+(VLOOKUP($G35,Coords[],4,FALSE)-VLOOKUP(X$5,Coords[],4,FALSE))^2)))</f>
        <v>1000</v>
      </c>
      <c r="Y35" s="10">
        <f>IF($G35=Y$5,1000,IF(Y$4=0,1000,SQRT((VLOOKUP($G35,Coords[],3,FALSE)-VLOOKUP(Y$5,Coords[],3,FALSE))^2+(VLOOKUP($G35,Coords[],4,FALSE)-VLOOKUP(Y$5,Coords[],4,FALSE))^2)))</f>
        <v>1000</v>
      </c>
      <c r="Z35" s="10">
        <f>IF($G35=Z$5,1000,IF(Z$4=0,1000,SQRT((VLOOKUP($G35,Coords[],3,FALSE)-VLOOKUP(Z$5,Coords[],3,FALSE))^2+(VLOOKUP($G35,Coords[],4,FALSE)-VLOOKUP(Z$5,Coords[],4,FALSE))^2)))</f>
        <v>1000</v>
      </c>
      <c r="AA35" s="10">
        <f>IF($G35=AA$5,1000,IF(AA$4=0,1000,SQRT((VLOOKUP($G35,Coords[],3,FALSE)-VLOOKUP(AA$5,Coords[],3,FALSE))^2+(VLOOKUP($G35,Coords[],4,FALSE)-VLOOKUP(AA$5,Coords[],4,FALSE))^2)))</f>
        <v>31.016124838541646</v>
      </c>
      <c r="AB35" s="10">
        <f>IF($G35=AB$5,1000,IF(AB$4=0,1000,SQRT((VLOOKUP($G35,Coords[],3,FALSE)-VLOOKUP(AB$5,Coords[],3,FALSE))^2+(VLOOKUP($G35,Coords[],4,FALSE)-VLOOKUP(AB$5,Coords[],4,FALSE))^2)))</f>
        <v>1000</v>
      </c>
      <c r="AC35" s="10">
        <f>IF($G35=AC$5,1000,IF(AC$4=0,1000,SQRT((VLOOKUP($G35,Coords[],3,FALSE)-VLOOKUP(AC$5,Coords[],3,FALSE))^2+(VLOOKUP($G35,Coords[],4,FALSE)-VLOOKUP(AC$5,Coords[],4,FALSE))^2)))</f>
        <v>1000</v>
      </c>
      <c r="AD35" s="10">
        <f>IF($G35=AD$5,1000,IF(AD$4=0,1000,SQRT((VLOOKUP($G35,Coords[],3,FALSE)-VLOOKUP(AD$5,Coords[],3,FALSE))^2+(VLOOKUP($G35,Coords[],4,FALSE)-VLOOKUP(AD$5,Coords[],4,FALSE))^2)))</f>
        <v>1000</v>
      </c>
      <c r="AE35" s="10">
        <f>IF($G35=AE$5,1000,IF(AE$4=0,1000,SQRT((VLOOKUP($G35,Coords[],3,FALSE)-VLOOKUP(AE$5,Coords[],3,FALSE))^2+(VLOOKUP($G35,Coords[],4,FALSE)-VLOOKUP(AE$5,Coords[],4,FALSE))^2)))</f>
        <v>1000</v>
      </c>
      <c r="AF35" s="10">
        <f>IF($G35=AF$5,1000,IF(AF$4=0,1000,SQRT((VLOOKUP($G35,Coords[],3,FALSE)-VLOOKUP(AF$5,Coords[],3,FALSE))^2+(VLOOKUP($G35,Coords[],4,FALSE)-VLOOKUP(AF$5,Coords[],4,FALSE))^2)))</f>
        <v>1000</v>
      </c>
      <c r="AG35" s="10">
        <f>IF($G35=AG$5,1000,IF(AG$4=0,1000,SQRT((VLOOKUP($G35,Coords[],3,FALSE)-VLOOKUP(AG$5,Coords[],3,FALSE))^2+(VLOOKUP($G35,Coords[],4,FALSE)-VLOOKUP(AG$5,Coords[],4,FALSE))^2)))</f>
        <v>1000</v>
      </c>
      <c r="AH35" s="10">
        <f>IF($G35=AH$5,1000,IF(AH$4=0,1000,SQRT((VLOOKUP($G35,Coords[],3,FALSE)-VLOOKUP(AH$5,Coords[],3,FALSE))^2+(VLOOKUP($G35,Coords[],4,FALSE)-VLOOKUP(AH$5,Coords[],4,FALSE))^2)))</f>
        <v>1000</v>
      </c>
      <c r="AI35" s="10">
        <f>IF($G35=AI$5,1000,IF(AI$4=0,1000,SQRT((VLOOKUP($G35,Coords[],3,FALSE)-VLOOKUP(AI$5,Coords[],3,FALSE))^2+(VLOOKUP($G35,Coords[],4,FALSE)-VLOOKUP(AI$5,Coords[],4,FALSE))^2)))</f>
        <v>1000</v>
      </c>
      <c r="AJ35" s="10">
        <f>IF($G35=AJ$5,1000,IF(AJ$4=0,1000,SQRT((VLOOKUP($G35,Coords[],3,FALSE)-VLOOKUP(AJ$5,Coords[],3,FALSE))^2+(VLOOKUP($G35,Coords[],4,FALSE)-VLOOKUP(AJ$5,Coords[],4,FALSE))^2)))</f>
        <v>21</v>
      </c>
      <c r="AK35" s="10">
        <f>IF($G35=AK$5,1000,IF(AK$4=0,1000,SQRT((VLOOKUP($G35,Coords[],3,FALSE)-VLOOKUP(AK$5,Coords[],3,FALSE))^2+(VLOOKUP($G35,Coords[],4,FALSE)-VLOOKUP(AK$5,Coords[],4,FALSE))^2)))</f>
        <v>1000</v>
      </c>
      <c r="AL35" s="10">
        <f>IF($G35=AL$5,1000,IF(AL$4=0,1000,SQRT((VLOOKUP($G35,Coords[],3,FALSE)-VLOOKUP(AL$5,Coords[],3,FALSE))^2+(VLOOKUP($G35,Coords[],4,FALSE)-VLOOKUP(AL$5,Coords[],4,FALSE))^2)))</f>
        <v>1000</v>
      </c>
      <c r="AM35" s="10">
        <f>IF($G35=AM$5,1000,IF(AM$4=0,1000,SQRT((VLOOKUP($G35,Coords[],3,FALSE)-VLOOKUP(AM$5,Coords[],3,FALSE))^2+(VLOOKUP($G35,Coords[],4,FALSE)-VLOOKUP(AM$5,Coords[],4,FALSE))^2)))</f>
        <v>27.586228448267445</v>
      </c>
      <c r="AN35" s="10">
        <f>IF($G35=AN$5,1000,IF(AN$4=0,1000,SQRT((VLOOKUP($G35,Coords[],3,FALSE)-VLOOKUP(AN$5,Coords[],3,FALSE))^2+(VLOOKUP($G35,Coords[],4,FALSE)-VLOOKUP(AN$5,Coords[],4,FALSE))^2)))</f>
        <v>1000</v>
      </c>
      <c r="AO35" s="10">
        <f>IF($G35=AO$5,1000,IF(AO$4=0,1000,SQRT((VLOOKUP($G35,Coords[],3,FALSE)-VLOOKUP(AO$5,Coords[],3,FALSE))^2+(VLOOKUP($G35,Coords[],4,FALSE)-VLOOKUP(AO$5,Coords[],4,FALSE))^2)))</f>
        <v>1000</v>
      </c>
      <c r="AP35" s="10">
        <f>IF($G35=AP$5,1000,IF(AP$4=0,1000,SQRT((VLOOKUP($G35,Coords[],3,FALSE)-VLOOKUP(AP$5,Coords[],3,FALSE))^2+(VLOOKUP($G35,Coords[],4,FALSE)-VLOOKUP(AP$5,Coords[],4,FALSE))^2)))</f>
        <v>1000</v>
      </c>
      <c r="AQ35" s="10">
        <f>IF($G35=AQ$5,1000,IF(AQ$4=0,1000,SQRT((VLOOKUP($G35,Coords[],3,FALSE)-VLOOKUP(AQ$5,Coords[],3,FALSE))^2+(VLOOKUP($G35,Coords[],4,FALSE)-VLOOKUP(AQ$5,Coords[],4,FALSE))^2)))</f>
        <v>1000</v>
      </c>
      <c r="AR35" s="10">
        <f>IF($G35=AR$5,1000,IF(AR$4=0,1000,SQRT((VLOOKUP($G35,Coords[],3,FALSE)-VLOOKUP(AR$5,Coords[],3,FALSE))^2+(VLOOKUP($G35,Coords[],4,FALSE)-VLOOKUP(AR$5,Coords[],4,FALSE))^2)))</f>
        <v>1000</v>
      </c>
      <c r="AS35" s="10">
        <f>IF($G35=AS$5,1000,IF(AS$4=0,1000,SQRT((VLOOKUP($G35,Coords[],3,FALSE)-VLOOKUP(AS$5,Coords[],3,FALSE))^2+(VLOOKUP($G35,Coords[],4,FALSE)-VLOOKUP(AS$5,Coords[],4,FALSE))^2)))</f>
        <v>1000</v>
      </c>
      <c r="AT35" s="10">
        <f>IF($G35=AT$5,1000,IF(AT$4=0,1000,SQRT((VLOOKUP($G35,Coords[],3,FALSE)-VLOOKUP(AT$5,Coords[],3,FALSE))^2+(VLOOKUP($G35,Coords[],4,FALSE)-VLOOKUP(AT$5,Coords[],4,FALSE))^2)))</f>
        <v>1000</v>
      </c>
      <c r="AU35" s="10">
        <f>IF($G35=AU$5,1000,IF(AU$4=0,1000,SQRT((VLOOKUP($G35,Coords[],3,FALSE)-VLOOKUP(AU$5,Coords[],3,FALSE))^2+(VLOOKUP($G35,Coords[],4,FALSE)-VLOOKUP(AU$5,Coords[],4,FALSE))^2)))</f>
        <v>1000</v>
      </c>
      <c r="AV35" s="10">
        <f>IF($G35=AV$5,1000,IF(AV$4=0,1000,SQRT((VLOOKUP($G35,Coords[],3,FALSE)-VLOOKUP(AV$5,Coords[],3,FALSE))^2+(VLOOKUP($G35,Coords[],4,FALSE)-VLOOKUP(AV$5,Coords[],4,FALSE))^2)))</f>
        <v>1000</v>
      </c>
      <c r="AW35" s="10">
        <f>IF($G35=AW$5,1000,IF(AW$4=0,1000,SQRT((VLOOKUP($G35,Coords[],3,FALSE)-VLOOKUP(AW$5,Coords[],3,FALSE))^2+(VLOOKUP($G35,Coords[],4,FALSE)-VLOOKUP(AW$5,Coords[],4,FALSE))^2)))</f>
        <v>1000</v>
      </c>
      <c r="AX35" s="10">
        <f>IF($G35=AX$5,1000,IF(AX$4=0,1000,SQRT((VLOOKUP($G35,Coords[],3,FALSE)-VLOOKUP(AX$5,Coords[],3,FALSE))^2+(VLOOKUP($G35,Coords[],4,FALSE)-VLOOKUP(AX$5,Coords[],4,FALSE))^2)))</f>
        <v>1000</v>
      </c>
      <c r="AY35" s="10">
        <f>IF($G35=AY$5,1000,IF(AY$4=0,1000,SQRT((VLOOKUP($G35,Coords[],3,FALSE)-VLOOKUP(AY$5,Coords[],3,FALSE))^2+(VLOOKUP($G35,Coords[],4,FALSE)-VLOOKUP(AY$5,Coords[],4,FALSE))^2)))</f>
        <v>1000</v>
      </c>
      <c r="AZ35" s="10">
        <f>IF($G35=AZ$5,1000,IF(AZ$4=0,1000,SQRT((VLOOKUP($G35,Coords[],3,FALSE)-VLOOKUP(AZ$5,Coords[],3,FALSE))^2+(VLOOKUP($G35,Coords[],4,FALSE)-VLOOKUP(AZ$5,Coords[],4,FALSE))^2)))</f>
        <v>1000</v>
      </c>
      <c r="BA35" s="10">
        <f>IF($G35=BA$5,1000,IF(BA$4=0,1000,SQRT((VLOOKUP($G35,Coords[],3,FALSE)-VLOOKUP(BA$5,Coords[],3,FALSE))^2+(VLOOKUP($G35,Coords[],4,FALSE)-VLOOKUP(BA$5,Coords[],4,FALSE))^2)))</f>
        <v>1000</v>
      </c>
      <c r="BB35" s="10">
        <f>IF($G35=BB$5,1000,IF(BB$4=0,1000,SQRT((VLOOKUP($G35,Coords[],3,FALSE)-VLOOKUP(BB$5,Coords[],3,FALSE))^2+(VLOOKUP($G35,Coords[],4,FALSE)-VLOOKUP(BB$5,Coords[],4,FALSE))^2)))</f>
        <v>1000</v>
      </c>
      <c r="BC35" s="10">
        <f>IF($G35=BC$5,1000,IF(BC$4=0,1000,SQRT((VLOOKUP($G35,Coords[],3,FALSE)-VLOOKUP(BC$5,Coords[],3,FALSE))^2+(VLOOKUP($G35,Coords[],4,FALSE)-VLOOKUP(BC$5,Coords[],4,FALSE))^2)))</f>
        <v>1000</v>
      </c>
      <c r="BD35" s="10">
        <f>IF($G35=BD$5,1000,IF(BD$4=0,1000,SQRT((VLOOKUP($G35,Coords[],3,FALSE)-VLOOKUP(BD$5,Coords[],3,FALSE))^2+(VLOOKUP($G35,Coords[],4,FALSE)-VLOOKUP(BD$5,Coords[],4,FALSE))^2)))</f>
        <v>1000</v>
      </c>
      <c r="BE35" s="10">
        <f>IF($G35=BE$5,1000,IF(BE$4=0,1000,SQRT((VLOOKUP($G35,Coords[],3,FALSE)-VLOOKUP(BE$5,Coords[],3,FALSE))^2+(VLOOKUP($G35,Coords[],4,FALSE)-VLOOKUP(BE$5,Coords[],4,FALSE))^2)))</f>
        <v>1000</v>
      </c>
      <c r="BF35" s="10">
        <f>IF($G35=BF$5,1000,IF(BF$4=0,1000,SQRT((VLOOKUP($G35,Coords[],3,FALSE)-VLOOKUP(BF$5,Coords[],3,FALSE))^2+(VLOOKUP($G35,Coords[],4,FALSE)-VLOOKUP(BF$5,Coords[],4,FALSE))^2)))</f>
        <v>1000</v>
      </c>
      <c r="BG35" s="4">
        <v>30</v>
      </c>
      <c r="BI35" s="5">
        <f>IF(E35=1,0,VLOOKUP($G35,$G$6:$BF$57,HLOOKUP(MIN(H35:BF35),$H35:$BF$57,((COUNT($G$6:$G$56)+2)-$G35),FALSE),FALSE)*B35)</f>
        <v>399</v>
      </c>
      <c r="BJ35" s="9">
        <f>VLOOKUP($G35,$G$6:$BF$57,HLOOKUP(MIN(H35:BF35),$H35:$BF$57,((COUNT($G$6:$G$56)+2)-$G35),FALSE),FALSE)</f>
        <v>21</v>
      </c>
      <c r="BK35" s="7">
        <f>HLOOKUP(MIN(H35:BF35),$H35:$BF$57,((COUNT($G$6:$G$56)+2)-$G35),FALSE)</f>
        <v>30</v>
      </c>
      <c r="BL35">
        <f>BJ35*Coords[[#This Row],[Demand]]</f>
        <v>399</v>
      </c>
      <c r="BN35">
        <v>30</v>
      </c>
      <c r="BO35">
        <v>7779.2126269355431</v>
      </c>
      <c r="BP35">
        <v>8699.3010407157672</v>
      </c>
    </row>
    <row r="36" spans="1:68" x14ac:dyDescent="0.25">
      <c r="A36" s="8">
        <v>31</v>
      </c>
      <c r="B36" s="3">
        <v>22</v>
      </c>
      <c r="C36" s="3">
        <v>37</v>
      </c>
      <c r="D36" s="3">
        <v>69</v>
      </c>
      <c r="E36">
        <v>0</v>
      </c>
      <c r="G36" s="4">
        <v>31</v>
      </c>
      <c r="H36" s="10">
        <f>IF($G36=H$5,1000,IF(H$4=0,1000,SQRT((VLOOKUP($G36,Coords[],3,FALSE)-VLOOKUP(H$5,Coords[],3,FALSE))^2+(VLOOKUP($G36,Coords[],4,FALSE)-VLOOKUP(H$5,Coords[],4,FALSE))^2)))</f>
        <v>1000</v>
      </c>
      <c r="I36" s="10">
        <f>IF($G36=I$5,1000,IF(I$4=0,1000,SQRT((VLOOKUP($G36,Coords[],3,FALSE)-VLOOKUP(I$5,Coords[],3,FALSE))^2+(VLOOKUP($G36,Coords[],4,FALSE)-VLOOKUP(I$5,Coords[],4,FALSE))^2)))</f>
        <v>1000</v>
      </c>
      <c r="J36" s="10">
        <f>IF($G36=J$5,1000,IF(J$4=0,1000,SQRT((VLOOKUP($G36,Coords[],3,FALSE)-VLOOKUP(J$5,Coords[],3,FALSE))^2+(VLOOKUP($G36,Coords[],4,FALSE)-VLOOKUP(J$5,Coords[],4,FALSE))^2)))</f>
        <v>1000</v>
      </c>
      <c r="K36" s="10">
        <f>IF($G36=K$5,1000,IF(K$4=0,1000,SQRT((VLOOKUP($G36,Coords[],3,FALSE)-VLOOKUP(K$5,Coords[],3,FALSE))^2+(VLOOKUP($G36,Coords[],4,FALSE)-VLOOKUP(K$5,Coords[],4,FALSE))^2)))</f>
        <v>1000</v>
      </c>
      <c r="L36" s="10">
        <f>IF($G36=L$5,1000,IF(L$4=0,1000,SQRT((VLOOKUP($G36,Coords[],3,FALSE)-VLOOKUP(L$5,Coords[],3,FALSE))^2+(VLOOKUP($G36,Coords[],4,FALSE)-VLOOKUP(L$5,Coords[],4,FALSE))^2)))</f>
        <v>1000</v>
      </c>
      <c r="M36" s="10">
        <f>IF($G36=M$5,1000,IF(M$4=0,1000,SQRT((VLOOKUP($G36,Coords[],3,FALSE)-VLOOKUP(M$5,Coords[],3,FALSE))^2+(VLOOKUP($G36,Coords[],4,FALSE)-VLOOKUP(M$5,Coords[],4,FALSE))^2)))</f>
        <v>1000</v>
      </c>
      <c r="N36" s="10">
        <f>IF($G36=N$5,1000,IF(N$4=0,1000,SQRT((VLOOKUP($G36,Coords[],3,FALSE)-VLOOKUP(N$5,Coords[],3,FALSE))^2+(VLOOKUP($G36,Coords[],4,FALSE)-VLOOKUP(N$5,Coords[],4,FALSE))^2)))</f>
        <v>1000</v>
      </c>
      <c r="O36" s="10">
        <f>IF($G36=O$5,1000,IF(O$4=0,1000,SQRT((VLOOKUP($G36,Coords[],3,FALSE)-VLOOKUP(O$5,Coords[],3,FALSE))^2+(VLOOKUP($G36,Coords[],4,FALSE)-VLOOKUP(O$5,Coords[],4,FALSE))^2)))</f>
        <v>9.2195444572928871</v>
      </c>
      <c r="P36" s="10">
        <f>IF($G36=P$5,1000,IF(P$4=0,1000,SQRT((VLOOKUP($G36,Coords[],3,FALSE)-VLOOKUP(P$5,Coords[],3,FALSE))^2+(VLOOKUP($G36,Coords[],4,FALSE)-VLOOKUP(P$5,Coords[],4,FALSE))^2)))</f>
        <v>1000</v>
      </c>
      <c r="Q36" s="10">
        <f>IF($G36=Q$5,1000,IF(Q$4=0,1000,SQRT((VLOOKUP($G36,Coords[],3,FALSE)-VLOOKUP(Q$5,Coords[],3,FALSE))^2+(VLOOKUP($G36,Coords[],4,FALSE)-VLOOKUP(Q$5,Coords[],4,FALSE))^2)))</f>
        <v>1000</v>
      </c>
      <c r="R36" s="10">
        <f>IF($G36=R$5,1000,IF(R$4=0,1000,SQRT((VLOOKUP($G36,Coords[],3,FALSE)-VLOOKUP(R$5,Coords[],3,FALSE))^2+(VLOOKUP($G36,Coords[],4,FALSE)-VLOOKUP(R$5,Coords[],4,FALSE))^2)))</f>
        <v>1000</v>
      </c>
      <c r="S36" s="10">
        <f>IF($G36=S$5,1000,IF(S$4=0,1000,SQRT((VLOOKUP($G36,Coords[],3,FALSE)-VLOOKUP(S$5,Coords[],3,FALSE))^2+(VLOOKUP($G36,Coords[],4,FALSE)-VLOOKUP(S$5,Coords[],4,FALSE))^2)))</f>
        <v>1000</v>
      </c>
      <c r="T36" s="10">
        <f>IF($G36=T$5,1000,IF(T$4=0,1000,SQRT((VLOOKUP($G36,Coords[],3,FALSE)-VLOOKUP(T$5,Coords[],3,FALSE))^2+(VLOOKUP($G36,Coords[],4,FALSE)-VLOOKUP(T$5,Coords[],4,FALSE))^2)))</f>
        <v>1000</v>
      </c>
      <c r="U36" s="10">
        <f>IF($G36=U$5,1000,IF(U$4=0,1000,SQRT((VLOOKUP($G36,Coords[],3,FALSE)-VLOOKUP(U$5,Coords[],3,FALSE))^2+(VLOOKUP($G36,Coords[],4,FALSE)-VLOOKUP(U$5,Coords[],4,FALSE))^2)))</f>
        <v>1000</v>
      </c>
      <c r="V36" s="10">
        <f>IF($G36=V$5,1000,IF(V$4=0,1000,SQRT((VLOOKUP($G36,Coords[],3,FALSE)-VLOOKUP(V$5,Coords[],3,FALSE))^2+(VLOOKUP($G36,Coords[],4,FALSE)-VLOOKUP(V$5,Coords[],4,FALSE))^2)))</f>
        <v>1000</v>
      </c>
      <c r="W36" s="10">
        <f>IF($G36=W$5,1000,IF(W$4=0,1000,SQRT((VLOOKUP($G36,Coords[],3,FALSE)-VLOOKUP(W$5,Coords[],3,FALSE))^2+(VLOOKUP($G36,Coords[],4,FALSE)-VLOOKUP(W$5,Coords[],4,FALSE))^2)))</f>
        <v>1000</v>
      </c>
      <c r="X36" s="10">
        <f>IF($G36=X$5,1000,IF(X$4=0,1000,SQRT((VLOOKUP($G36,Coords[],3,FALSE)-VLOOKUP(X$5,Coords[],3,FALSE))^2+(VLOOKUP($G36,Coords[],4,FALSE)-VLOOKUP(X$5,Coords[],4,FALSE))^2)))</f>
        <v>1000</v>
      </c>
      <c r="Y36" s="10">
        <f>IF($G36=Y$5,1000,IF(Y$4=0,1000,SQRT((VLOOKUP($G36,Coords[],3,FALSE)-VLOOKUP(Y$5,Coords[],3,FALSE))^2+(VLOOKUP($G36,Coords[],4,FALSE)-VLOOKUP(Y$5,Coords[],4,FALSE))^2)))</f>
        <v>1000</v>
      </c>
      <c r="Z36" s="10">
        <f>IF($G36=Z$5,1000,IF(Z$4=0,1000,SQRT((VLOOKUP($G36,Coords[],3,FALSE)-VLOOKUP(Z$5,Coords[],3,FALSE))^2+(VLOOKUP($G36,Coords[],4,FALSE)-VLOOKUP(Z$5,Coords[],4,FALSE))^2)))</f>
        <v>1000</v>
      </c>
      <c r="AA36" s="10">
        <f>IF($G36=AA$5,1000,IF(AA$4=0,1000,SQRT((VLOOKUP($G36,Coords[],3,FALSE)-VLOOKUP(AA$5,Coords[],3,FALSE))^2+(VLOOKUP($G36,Coords[],4,FALSE)-VLOOKUP(AA$5,Coords[],4,FALSE))^2)))</f>
        <v>22.825424421026653</v>
      </c>
      <c r="AB36" s="10">
        <f>IF($G36=AB$5,1000,IF(AB$4=0,1000,SQRT((VLOOKUP($G36,Coords[],3,FALSE)-VLOOKUP(AB$5,Coords[],3,FALSE))^2+(VLOOKUP($G36,Coords[],4,FALSE)-VLOOKUP(AB$5,Coords[],4,FALSE))^2)))</f>
        <v>1000</v>
      </c>
      <c r="AC36" s="10">
        <f>IF($G36=AC$5,1000,IF(AC$4=0,1000,SQRT((VLOOKUP($G36,Coords[],3,FALSE)-VLOOKUP(AC$5,Coords[],3,FALSE))^2+(VLOOKUP($G36,Coords[],4,FALSE)-VLOOKUP(AC$5,Coords[],4,FALSE))^2)))</f>
        <v>1000</v>
      </c>
      <c r="AD36" s="10">
        <f>IF($G36=AD$5,1000,IF(AD$4=0,1000,SQRT((VLOOKUP($G36,Coords[],3,FALSE)-VLOOKUP(AD$5,Coords[],3,FALSE))^2+(VLOOKUP($G36,Coords[],4,FALSE)-VLOOKUP(AD$5,Coords[],4,FALSE))^2)))</f>
        <v>1000</v>
      </c>
      <c r="AE36" s="10">
        <f>IF($G36=AE$5,1000,IF(AE$4=0,1000,SQRT((VLOOKUP($G36,Coords[],3,FALSE)-VLOOKUP(AE$5,Coords[],3,FALSE))^2+(VLOOKUP($G36,Coords[],4,FALSE)-VLOOKUP(AE$5,Coords[],4,FALSE))^2)))</f>
        <v>1000</v>
      </c>
      <c r="AF36" s="10">
        <f>IF($G36=AF$5,1000,IF(AF$4=0,1000,SQRT((VLOOKUP($G36,Coords[],3,FALSE)-VLOOKUP(AF$5,Coords[],3,FALSE))^2+(VLOOKUP($G36,Coords[],4,FALSE)-VLOOKUP(AF$5,Coords[],4,FALSE))^2)))</f>
        <v>1000</v>
      </c>
      <c r="AG36" s="10">
        <f>IF($G36=AG$5,1000,IF(AG$4=0,1000,SQRT((VLOOKUP($G36,Coords[],3,FALSE)-VLOOKUP(AG$5,Coords[],3,FALSE))^2+(VLOOKUP($G36,Coords[],4,FALSE)-VLOOKUP(AG$5,Coords[],4,FALSE))^2)))</f>
        <v>1000</v>
      </c>
      <c r="AH36" s="10">
        <f>IF($G36=AH$5,1000,IF(AH$4=0,1000,SQRT((VLOOKUP($G36,Coords[],3,FALSE)-VLOOKUP(AH$5,Coords[],3,FALSE))^2+(VLOOKUP($G36,Coords[],4,FALSE)-VLOOKUP(AH$5,Coords[],4,FALSE))^2)))</f>
        <v>1000</v>
      </c>
      <c r="AI36" s="10">
        <f>IF($G36=AI$5,1000,IF(AI$4=0,1000,SQRT((VLOOKUP($G36,Coords[],3,FALSE)-VLOOKUP(AI$5,Coords[],3,FALSE))^2+(VLOOKUP($G36,Coords[],4,FALSE)-VLOOKUP(AI$5,Coords[],4,FALSE))^2)))</f>
        <v>1000</v>
      </c>
      <c r="AJ36" s="10">
        <f>IF($G36=AJ$5,1000,IF(AJ$4=0,1000,SQRT((VLOOKUP($G36,Coords[],3,FALSE)-VLOOKUP(AJ$5,Coords[],3,FALSE))^2+(VLOOKUP($G36,Coords[],4,FALSE)-VLOOKUP(AJ$5,Coords[],4,FALSE))^2)))</f>
        <v>29.698484809834994</v>
      </c>
      <c r="AK36" s="10">
        <f>IF($G36=AK$5,1000,IF(AK$4=0,1000,SQRT((VLOOKUP($G36,Coords[],3,FALSE)-VLOOKUP(AK$5,Coords[],3,FALSE))^2+(VLOOKUP($G36,Coords[],4,FALSE)-VLOOKUP(AK$5,Coords[],4,FALSE))^2)))</f>
        <v>1000</v>
      </c>
      <c r="AL36" s="10">
        <f>IF($G36=AL$5,1000,IF(AL$4=0,1000,SQRT((VLOOKUP($G36,Coords[],3,FALSE)-VLOOKUP(AL$5,Coords[],3,FALSE))^2+(VLOOKUP($G36,Coords[],4,FALSE)-VLOOKUP(AL$5,Coords[],4,FALSE))^2)))</f>
        <v>1000</v>
      </c>
      <c r="AM36" s="10">
        <f>IF($G36=AM$5,1000,IF(AM$4=0,1000,SQRT((VLOOKUP($G36,Coords[],3,FALSE)-VLOOKUP(AM$5,Coords[],3,FALSE))^2+(VLOOKUP($G36,Coords[],4,FALSE)-VLOOKUP(AM$5,Coords[],4,FALSE))^2)))</f>
        <v>23.021728866442675</v>
      </c>
      <c r="AN36" s="10">
        <f>IF($G36=AN$5,1000,IF(AN$4=0,1000,SQRT((VLOOKUP($G36,Coords[],3,FALSE)-VLOOKUP(AN$5,Coords[],3,FALSE))^2+(VLOOKUP($G36,Coords[],4,FALSE)-VLOOKUP(AN$5,Coords[],4,FALSE))^2)))</f>
        <v>1000</v>
      </c>
      <c r="AO36" s="10">
        <f>IF($G36=AO$5,1000,IF(AO$4=0,1000,SQRT((VLOOKUP($G36,Coords[],3,FALSE)-VLOOKUP(AO$5,Coords[],3,FALSE))^2+(VLOOKUP($G36,Coords[],4,FALSE)-VLOOKUP(AO$5,Coords[],4,FALSE))^2)))</f>
        <v>1000</v>
      </c>
      <c r="AP36" s="10">
        <f>IF($G36=AP$5,1000,IF(AP$4=0,1000,SQRT((VLOOKUP($G36,Coords[],3,FALSE)-VLOOKUP(AP$5,Coords[],3,FALSE))^2+(VLOOKUP($G36,Coords[],4,FALSE)-VLOOKUP(AP$5,Coords[],4,FALSE))^2)))</f>
        <v>1000</v>
      </c>
      <c r="AQ36" s="10">
        <f>IF($G36=AQ$5,1000,IF(AQ$4=0,1000,SQRT((VLOOKUP($G36,Coords[],3,FALSE)-VLOOKUP(AQ$5,Coords[],3,FALSE))^2+(VLOOKUP($G36,Coords[],4,FALSE)-VLOOKUP(AQ$5,Coords[],4,FALSE))^2)))</f>
        <v>1000</v>
      </c>
      <c r="AR36" s="10">
        <f>IF($G36=AR$5,1000,IF(AR$4=0,1000,SQRT((VLOOKUP($G36,Coords[],3,FALSE)-VLOOKUP(AR$5,Coords[],3,FALSE))^2+(VLOOKUP($G36,Coords[],4,FALSE)-VLOOKUP(AR$5,Coords[],4,FALSE))^2)))</f>
        <v>1000</v>
      </c>
      <c r="AS36" s="10">
        <f>IF($G36=AS$5,1000,IF(AS$4=0,1000,SQRT((VLOOKUP($G36,Coords[],3,FALSE)-VLOOKUP(AS$5,Coords[],3,FALSE))^2+(VLOOKUP($G36,Coords[],4,FALSE)-VLOOKUP(AS$5,Coords[],4,FALSE))^2)))</f>
        <v>1000</v>
      </c>
      <c r="AT36" s="10">
        <f>IF($G36=AT$5,1000,IF(AT$4=0,1000,SQRT((VLOOKUP($G36,Coords[],3,FALSE)-VLOOKUP(AT$5,Coords[],3,FALSE))^2+(VLOOKUP($G36,Coords[],4,FALSE)-VLOOKUP(AT$5,Coords[],4,FALSE))^2)))</f>
        <v>1000</v>
      </c>
      <c r="AU36" s="10">
        <f>IF($G36=AU$5,1000,IF(AU$4=0,1000,SQRT((VLOOKUP($G36,Coords[],3,FALSE)-VLOOKUP(AU$5,Coords[],3,FALSE))^2+(VLOOKUP($G36,Coords[],4,FALSE)-VLOOKUP(AU$5,Coords[],4,FALSE))^2)))</f>
        <v>1000</v>
      </c>
      <c r="AV36" s="10">
        <f>IF($G36=AV$5,1000,IF(AV$4=0,1000,SQRT((VLOOKUP($G36,Coords[],3,FALSE)-VLOOKUP(AV$5,Coords[],3,FALSE))^2+(VLOOKUP($G36,Coords[],4,FALSE)-VLOOKUP(AV$5,Coords[],4,FALSE))^2)))</f>
        <v>1000</v>
      </c>
      <c r="AW36" s="10">
        <f>IF($G36=AW$5,1000,IF(AW$4=0,1000,SQRT((VLOOKUP($G36,Coords[],3,FALSE)-VLOOKUP(AW$5,Coords[],3,FALSE))^2+(VLOOKUP($G36,Coords[],4,FALSE)-VLOOKUP(AW$5,Coords[],4,FALSE))^2)))</f>
        <v>1000</v>
      </c>
      <c r="AX36" s="10">
        <f>IF($G36=AX$5,1000,IF(AX$4=0,1000,SQRT((VLOOKUP($G36,Coords[],3,FALSE)-VLOOKUP(AX$5,Coords[],3,FALSE))^2+(VLOOKUP($G36,Coords[],4,FALSE)-VLOOKUP(AX$5,Coords[],4,FALSE))^2)))</f>
        <v>1000</v>
      </c>
      <c r="AY36" s="10">
        <f>IF($G36=AY$5,1000,IF(AY$4=0,1000,SQRT((VLOOKUP($G36,Coords[],3,FALSE)-VLOOKUP(AY$5,Coords[],3,FALSE))^2+(VLOOKUP($G36,Coords[],4,FALSE)-VLOOKUP(AY$5,Coords[],4,FALSE))^2)))</f>
        <v>1000</v>
      </c>
      <c r="AZ36" s="10">
        <f>IF($G36=AZ$5,1000,IF(AZ$4=0,1000,SQRT((VLOOKUP($G36,Coords[],3,FALSE)-VLOOKUP(AZ$5,Coords[],3,FALSE))^2+(VLOOKUP($G36,Coords[],4,FALSE)-VLOOKUP(AZ$5,Coords[],4,FALSE))^2)))</f>
        <v>1000</v>
      </c>
      <c r="BA36" s="10">
        <f>IF($G36=BA$5,1000,IF(BA$4=0,1000,SQRT((VLOOKUP($G36,Coords[],3,FALSE)-VLOOKUP(BA$5,Coords[],3,FALSE))^2+(VLOOKUP($G36,Coords[],4,FALSE)-VLOOKUP(BA$5,Coords[],4,FALSE))^2)))</f>
        <v>1000</v>
      </c>
      <c r="BB36" s="10">
        <f>IF($G36=BB$5,1000,IF(BB$4=0,1000,SQRT((VLOOKUP($G36,Coords[],3,FALSE)-VLOOKUP(BB$5,Coords[],3,FALSE))^2+(VLOOKUP($G36,Coords[],4,FALSE)-VLOOKUP(BB$5,Coords[],4,FALSE))^2)))</f>
        <v>1000</v>
      </c>
      <c r="BC36" s="10">
        <f>IF($G36=BC$5,1000,IF(BC$4=0,1000,SQRT((VLOOKUP($G36,Coords[],3,FALSE)-VLOOKUP(BC$5,Coords[],3,FALSE))^2+(VLOOKUP($G36,Coords[],4,FALSE)-VLOOKUP(BC$5,Coords[],4,FALSE))^2)))</f>
        <v>1000</v>
      </c>
      <c r="BD36" s="10">
        <f>IF($G36=BD$5,1000,IF(BD$4=0,1000,SQRT((VLOOKUP($G36,Coords[],3,FALSE)-VLOOKUP(BD$5,Coords[],3,FALSE))^2+(VLOOKUP($G36,Coords[],4,FALSE)-VLOOKUP(BD$5,Coords[],4,FALSE))^2)))</f>
        <v>1000</v>
      </c>
      <c r="BE36" s="10">
        <f>IF($G36=BE$5,1000,IF(BE$4=0,1000,SQRT((VLOOKUP($G36,Coords[],3,FALSE)-VLOOKUP(BE$5,Coords[],3,FALSE))^2+(VLOOKUP($G36,Coords[],4,FALSE)-VLOOKUP(BE$5,Coords[],4,FALSE))^2)))</f>
        <v>1000</v>
      </c>
      <c r="BF36" s="10">
        <f>IF($G36=BF$5,1000,IF(BF$4=0,1000,SQRT((VLOOKUP($G36,Coords[],3,FALSE)-VLOOKUP(BF$5,Coords[],3,FALSE))^2+(VLOOKUP($G36,Coords[],4,FALSE)-VLOOKUP(BF$5,Coords[],4,FALSE))^2)))</f>
        <v>1000</v>
      </c>
      <c r="BG36" s="4">
        <v>31</v>
      </c>
      <c r="BI36" s="5">
        <f>IF(E36=1,0,VLOOKUP($G36,$G$6:$BF$57,HLOOKUP(MIN(H36:BF36),$H36:$BF$57,((COUNT($G$6:$G$56)+2)-$G36),FALSE),FALSE)*B36)</f>
        <v>22000</v>
      </c>
      <c r="BJ36" s="9">
        <f>VLOOKUP($G36,$G$6:$BF$57,HLOOKUP(MIN(H36:BF36),$H36:$BF$57,((COUNT($G$6:$G$56)+2)-$G36),FALSE),FALSE)</f>
        <v>1000</v>
      </c>
      <c r="BK36" s="7">
        <f>HLOOKUP(MIN(H36:BF36),$H36:$BF$57,((COUNT($G$6:$G$56)+2)-$G36),FALSE)</f>
        <v>8</v>
      </c>
      <c r="BL36">
        <f>BJ36*Coords[[#This Row],[Demand]]</f>
        <v>22000</v>
      </c>
      <c r="BN36">
        <v>31</v>
      </c>
      <c r="BO36">
        <v>7779.2126269355431</v>
      </c>
      <c r="BP36">
        <v>239497.48416554715</v>
      </c>
    </row>
    <row r="37" spans="1:68" x14ac:dyDescent="0.25">
      <c r="A37" s="8">
        <v>32</v>
      </c>
      <c r="B37" s="3">
        <v>11</v>
      </c>
      <c r="C37" s="3">
        <v>38</v>
      </c>
      <c r="D37" s="3">
        <v>46</v>
      </c>
      <c r="E37">
        <v>1</v>
      </c>
      <c r="G37" s="4">
        <v>32</v>
      </c>
      <c r="H37" s="10">
        <f>IF($G37=H$5,1000,IF(H$4=0,1000,SQRT((VLOOKUP($G37,Coords[],3,FALSE)-VLOOKUP(H$5,Coords[],3,FALSE))^2+(VLOOKUP($G37,Coords[],4,FALSE)-VLOOKUP(H$5,Coords[],4,FALSE))^2)))</f>
        <v>1000</v>
      </c>
      <c r="I37" s="10">
        <f>IF($G37=I$5,1000,IF(I$4=0,1000,SQRT((VLOOKUP($G37,Coords[],3,FALSE)-VLOOKUP(I$5,Coords[],3,FALSE))^2+(VLOOKUP($G37,Coords[],4,FALSE)-VLOOKUP(I$5,Coords[],4,FALSE))^2)))</f>
        <v>1000</v>
      </c>
      <c r="J37" s="10">
        <f>IF($G37=J$5,1000,IF(J$4=0,1000,SQRT((VLOOKUP($G37,Coords[],3,FALSE)-VLOOKUP(J$5,Coords[],3,FALSE))^2+(VLOOKUP($G37,Coords[],4,FALSE)-VLOOKUP(J$5,Coords[],4,FALSE))^2)))</f>
        <v>1000</v>
      </c>
      <c r="K37" s="10">
        <f>IF($G37=K$5,1000,IF(K$4=0,1000,SQRT((VLOOKUP($G37,Coords[],3,FALSE)-VLOOKUP(K$5,Coords[],3,FALSE))^2+(VLOOKUP($G37,Coords[],4,FALSE)-VLOOKUP(K$5,Coords[],4,FALSE))^2)))</f>
        <v>1000</v>
      </c>
      <c r="L37" s="10">
        <f>IF($G37=L$5,1000,IF(L$4=0,1000,SQRT((VLOOKUP($G37,Coords[],3,FALSE)-VLOOKUP(L$5,Coords[],3,FALSE))^2+(VLOOKUP($G37,Coords[],4,FALSE)-VLOOKUP(L$5,Coords[],4,FALSE))^2)))</f>
        <v>1000</v>
      </c>
      <c r="M37" s="10">
        <f>IF($G37=M$5,1000,IF(M$4=0,1000,SQRT((VLOOKUP($G37,Coords[],3,FALSE)-VLOOKUP(M$5,Coords[],3,FALSE))^2+(VLOOKUP($G37,Coords[],4,FALSE)-VLOOKUP(M$5,Coords[],4,FALSE))^2)))</f>
        <v>1000</v>
      </c>
      <c r="N37" s="10">
        <f>IF($G37=N$5,1000,IF(N$4=0,1000,SQRT((VLOOKUP($G37,Coords[],3,FALSE)-VLOOKUP(N$5,Coords[],3,FALSE))^2+(VLOOKUP($G37,Coords[],4,FALSE)-VLOOKUP(N$5,Coords[],4,FALSE))^2)))</f>
        <v>1000</v>
      </c>
      <c r="O37" s="10">
        <f>IF($G37=O$5,1000,IF(O$4=0,1000,SQRT((VLOOKUP($G37,Coords[],3,FALSE)-VLOOKUP(O$5,Coords[],3,FALSE))^2+(VLOOKUP($G37,Coords[],4,FALSE)-VLOOKUP(O$5,Coords[],4,FALSE))^2)))</f>
        <v>17.464249196572979</v>
      </c>
      <c r="P37" s="10">
        <f>IF($G37=P$5,1000,IF(P$4=0,1000,SQRT((VLOOKUP($G37,Coords[],3,FALSE)-VLOOKUP(P$5,Coords[],3,FALSE))^2+(VLOOKUP($G37,Coords[],4,FALSE)-VLOOKUP(P$5,Coords[],4,FALSE))^2)))</f>
        <v>1000</v>
      </c>
      <c r="Q37" s="10">
        <f>IF($G37=Q$5,1000,IF(Q$4=0,1000,SQRT((VLOOKUP($G37,Coords[],3,FALSE)-VLOOKUP(Q$5,Coords[],3,FALSE))^2+(VLOOKUP($G37,Coords[],4,FALSE)-VLOOKUP(Q$5,Coords[],4,FALSE))^2)))</f>
        <v>1000</v>
      </c>
      <c r="R37" s="10">
        <f>IF($G37=R$5,1000,IF(R$4=0,1000,SQRT((VLOOKUP($G37,Coords[],3,FALSE)-VLOOKUP(R$5,Coords[],3,FALSE))^2+(VLOOKUP($G37,Coords[],4,FALSE)-VLOOKUP(R$5,Coords[],4,FALSE))^2)))</f>
        <v>1000</v>
      </c>
      <c r="S37" s="10">
        <f>IF($G37=S$5,1000,IF(S$4=0,1000,SQRT((VLOOKUP($G37,Coords[],3,FALSE)-VLOOKUP(S$5,Coords[],3,FALSE))^2+(VLOOKUP($G37,Coords[],4,FALSE)-VLOOKUP(S$5,Coords[],4,FALSE))^2)))</f>
        <v>1000</v>
      </c>
      <c r="T37" s="10">
        <f>IF($G37=T$5,1000,IF(T$4=0,1000,SQRT((VLOOKUP($G37,Coords[],3,FALSE)-VLOOKUP(T$5,Coords[],3,FALSE))^2+(VLOOKUP($G37,Coords[],4,FALSE)-VLOOKUP(T$5,Coords[],4,FALSE))^2)))</f>
        <v>1000</v>
      </c>
      <c r="U37" s="10">
        <f>IF($G37=U$5,1000,IF(U$4=0,1000,SQRT((VLOOKUP($G37,Coords[],3,FALSE)-VLOOKUP(U$5,Coords[],3,FALSE))^2+(VLOOKUP($G37,Coords[],4,FALSE)-VLOOKUP(U$5,Coords[],4,FALSE))^2)))</f>
        <v>1000</v>
      </c>
      <c r="V37" s="10">
        <f>IF($G37=V$5,1000,IF(V$4=0,1000,SQRT((VLOOKUP($G37,Coords[],3,FALSE)-VLOOKUP(V$5,Coords[],3,FALSE))^2+(VLOOKUP($G37,Coords[],4,FALSE)-VLOOKUP(V$5,Coords[],4,FALSE))^2)))</f>
        <v>1000</v>
      </c>
      <c r="W37" s="10">
        <f>IF($G37=W$5,1000,IF(W$4=0,1000,SQRT((VLOOKUP($G37,Coords[],3,FALSE)-VLOOKUP(W$5,Coords[],3,FALSE))^2+(VLOOKUP($G37,Coords[],4,FALSE)-VLOOKUP(W$5,Coords[],4,FALSE))^2)))</f>
        <v>1000</v>
      </c>
      <c r="X37" s="10">
        <f>IF($G37=X$5,1000,IF(X$4=0,1000,SQRT((VLOOKUP($G37,Coords[],3,FALSE)-VLOOKUP(X$5,Coords[],3,FALSE))^2+(VLOOKUP($G37,Coords[],4,FALSE)-VLOOKUP(X$5,Coords[],4,FALSE))^2)))</f>
        <v>1000</v>
      </c>
      <c r="Y37" s="10">
        <f>IF($G37=Y$5,1000,IF(Y$4=0,1000,SQRT((VLOOKUP($G37,Coords[],3,FALSE)-VLOOKUP(Y$5,Coords[],3,FALSE))^2+(VLOOKUP($G37,Coords[],4,FALSE)-VLOOKUP(Y$5,Coords[],4,FALSE))^2)))</f>
        <v>1000</v>
      </c>
      <c r="Z37" s="10">
        <f>IF($G37=Z$5,1000,IF(Z$4=0,1000,SQRT((VLOOKUP($G37,Coords[],3,FALSE)-VLOOKUP(Z$5,Coords[],3,FALSE))^2+(VLOOKUP($G37,Coords[],4,FALSE)-VLOOKUP(Z$5,Coords[],4,FALSE))^2)))</f>
        <v>1000</v>
      </c>
      <c r="AA37" s="10">
        <f>IF($G37=AA$5,1000,IF(AA$4=0,1000,SQRT((VLOOKUP($G37,Coords[],3,FALSE)-VLOOKUP(AA$5,Coords[],3,FALSE))^2+(VLOOKUP($G37,Coords[],4,FALSE)-VLOOKUP(AA$5,Coords[],4,FALSE))^2)))</f>
        <v>22.472205054244231</v>
      </c>
      <c r="AB37" s="10">
        <f>IF($G37=AB$5,1000,IF(AB$4=0,1000,SQRT((VLOOKUP($G37,Coords[],3,FALSE)-VLOOKUP(AB$5,Coords[],3,FALSE))^2+(VLOOKUP($G37,Coords[],4,FALSE)-VLOOKUP(AB$5,Coords[],4,FALSE))^2)))</f>
        <v>1000</v>
      </c>
      <c r="AC37" s="10">
        <f>IF($G37=AC$5,1000,IF(AC$4=0,1000,SQRT((VLOOKUP($G37,Coords[],3,FALSE)-VLOOKUP(AC$5,Coords[],3,FALSE))^2+(VLOOKUP($G37,Coords[],4,FALSE)-VLOOKUP(AC$5,Coords[],4,FALSE))^2)))</f>
        <v>1000</v>
      </c>
      <c r="AD37" s="10">
        <f>IF($G37=AD$5,1000,IF(AD$4=0,1000,SQRT((VLOOKUP($G37,Coords[],3,FALSE)-VLOOKUP(AD$5,Coords[],3,FALSE))^2+(VLOOKUP($G37,Coords[],4,FALSE)-VLOOKUP(AD$5,Coords[],4,FALSE))^2)))</f>
        <v>1000</v>
      </c>
      <c r="AE37" s="10">
        <f>IF($G37=AE$5,1000,IF(AE$4=0,1000,SQRT((VLOOKUP($G37,Coords[],3,FALSE)-VLOOKUP(AE$5,Coords[],3,FALSE))^2+(VLOOKUP($G37,Coords[],4,FALSE)-VLOOKUP(AE$5,Coords[],4,FALSE))^2)))</f>
        <v>1000</v>
      </c>
      <c r="AF37" s="10">
        <f>IF($G37=AF$5,1000,IF(AF$4=0,1000,SQRT((VLOOKUP($G37,Coords[],3,FALSE)-VLOOKUP(AF$5,Coords[],3,FALSE))^2+(VLOOKUP($G37,Coords[],4,FALSE)-VLOOKUP(AF$5,Coords[],4,FALSE))^2)))</f>
        <v>1000</v>
      </c>
      <c r="AG37" s="10">
        <f>IF($G37=AG$5,1000,IF(AG$4=0,1000,SQRT((VLOOKUP($G37,Coords[],3,FALSE)-VLOOKUP(AG$5,Coords[],3,FALSE))^2+(VLOOKUP($G37,Coords[],4,FALSE)-VLOOKUP(AG$5,Coords[],4,FALSE))^2)))</f>
        <v>1000</v>
      </c>
      <c r="AH37" s="10">
        <f>IF($G37=AH$5,1000,IF(AH$4=0,1000,SQRT((VLOOKUP($G37,Coords[],3,FALSE)-VLOOKUP(AH$5,Coords[],3,FALSE))^2+(VLOOKUP($G37,Coords[],4,FALSE)-VLOOKUP(AH$5,Coords[],4,FALSE))^2)))</f>
        <v>1000</v>
      </c>
      <c r="AI37" s="10">
        <f>IF($G37=AI$5,1000,IF(AI$4=0,1000,SQRT((VLOOKUP($G37,Coords[],3,FALSE)-VLOOKUP(AI$5,Coords[],3,FALSE))^2+(VLOOKUP($G37,Coords[],4,FALSE)-VLOOKUP(AI$5,Coords[],4,FALSE))^2)))</f>
        <v>1000</v>
      </c>
      <c r="AJ37" s="10">
        <f>IF($G37=AJ$5,1000,IF(AJ$4=0,1000,SQRT((VLOOKUP($G37,Coords[],3,FALSE)-VLOOKUP(AJ$5,Coords[],3,FALSE))^2+(VLOOKUP($G37,Coords[],4,FALSE)-VLOOKUP(AJ$5,Coords[],4,FALSE))^2)))</f>
        <v>20.09975124224178</v>
      </c>
      <c r="AK37" s="10">
        <f>IF($G37=AK$5,1000,IF(AK$4=0,1000,SQRT((VLOOKUP($G37,Coords[],3,FALSE)-VLOOKUP(AK$5,Coords[],3,FALSE))^2+(VLOOKUP($G37,Coords[],4,FALSE)-VLOOKUP(AK$5,Coords[],4,FALSE))^2)))</f>
        <v>1000</v>
      </c>
      <c r="AL37" s="10">
        <f>IF($G37=AL$5,1000,IF(AL$4=0,1000,SQRT((VLOOKUP($G37,Coords[],3,FALSE)-VLOOKUP(AL$5,Coords[],3,FALSE))^2+(VLOOKUP($G37,Coords[],4,FALSE)-VLOOKUP(AL$5,Coords[],4,FALSE))^2)))</f>
        <v>1000</v>
      </c>
      <c r="AM37" s="10">
        <f>IF($G37=AM$5,1000,IF(AM$4=0,1000,SQRT((VLOOKUP($G37,Coords[],3,FALSE)-VLOOKUP(AM$5,Coords[],3,FALSE))^2+(VLOOKUP($G37,Coords[],4,FALSE)-VLOOKUP(AM$5,Coords[],4,FALSE))^2)))</f>
        <v>1000</v>
      </c>
      <c r="AN37" s="10">
        <f>IF($G37=AN$5,1000,IF(AN$4=0,1000,SQRT((VLOOKUP($G37,Coords[],3,FALSE)-VLOOKUP(AN$5,Coords[],3,FALSE))^2+(VLOOKUP($G37,Coords[],4,FALSE)-VLOOKUP(AN$5,Coords[],4,FALSE))^2)))</f>
        <v>1000</v>
      </c>
      <c r="AO37" s="10">
        <f>IF($G37=AO$5,1000,IF(AO$4=0,1000,SQRT((VLOOKUP($G37,Coords[],3,FALSE)-VLOOKUP(AO$5,Coords[],3,FALSE))^2+(VLOOKUP($G37,Coords[],4,FALSE)-VLOOKUP(AO$5,Coords[],4,FALSE))^2)))</f>
        <v>1000</v>
      </c>
      <c r="AP37" s="10">
        <f>IF($G37=AP$5,1000,IF(AP$4=0,1000,SQRT((VLOOKUP($G37,Coords[],3,FALSE)-VLOOKUP(AP$5,Coords[],3,FALSE))^2+(VLOOKUP($G37,Coords[],4,FALSE)-VLOOKUP(AP$5,Coords[],4,FALSE))^2)))</f>
        <v>1000</v>
      </c>
      <c r="AQ37" s="10">
        <f>IF($G37=AQ$5,1000,IF(AQ$4=0,1000,SQRT((VLOOKUP($G37,Coords[],3,FALSE)-VLOOKUP(AQ$5,Coords[],3,FALSE))^2+(VLOOKUP($G37,Coords[],4,FALSE)-VLOOKUP(AQ$5,Coords[],4,FALSE))^2)))</f>
        <v>1000</v>
      </c>
      <c r="AR37" s="10">
        <f>IF($G37=AR$5,1000,IF(AR$4=0,1000,SQRT((VLOOKUP($G37,Coords[],3,FALSE)-VLOOKUP(AR$5,Coords[],3,FALSE))^2+(VLOOKUP($G37,Coords[],4,FALSE)-VLOOKUP(AR$5,Coords[],4,FALSE))^2)))</f>
        <v>1000</v>
      </c>
      <c r="AS37" s="10">
        <f>IF($G37=AS$5,1000,IF(AS$4=0,1000,SQRT((VLOOKUP($G37,Coords[],3,FALSE)-VLOOKUP(AS$5,Coords[],3,FALSE))^2+(VLOOKUP($G37,Coords[],4,FALSE)-VLOOKUP(AS$5,Coords[],4,FALSE))^2)))</f>
        <v>1000</v>
      </c>
      <c r="AT37" s="10">
        <f>IF($G37=AT$5,1000,IF(AT$4=0,1000,SQRT((VLOOKUP($G37,Coords[],3,FALSE)-VLOOKUP(AT$5,Coords[],3,FALSE))^2+(VLOOKUP($G37,Coords[],4,FALSE)-VLOOKUP(AT$5,Coords[],4,FALSE))^2)))</f>
        <v>1000</v>
      </c>
      <c r="AU37" s="10">
        <f>IF($G37=AU$5,1000,IF(AU$4=0,1000,SQRT((VLOOKUP($G37,Coords[],3,FALSE)-VLOOKUP(AU$5,Coords[],3,FALSE))^2+(VLOOKUP($G37,Coords[],4,FALSE)-VLOOKUP(AU$5,Coords[],4,FALSE))^2)))</f>
        <v>1000</v>
      </c>
      <c r="AV37" s="10">
        <f>IF($G37=AV$5,1000,IF(AV$4=0,1000,SQRT((VLOOKUP($G37,Coords[],3,FALSE)-VLOOKUP(AV$5,Coords[],3,FALSE))^2+(VLOOKUP($G37,Coords[],4,FALSE)-VLOOKUP(AV$5,Coords[],4,FALSE))^2)))</f>
        <v>1000</v>
      </c>
      <c r="AW37" s="10">
        <f>IF($G37=AW$5,1000,IF(AW$4=0,1000,SQRT((VLOOKUP($G37,Coords[],3,FALSE)-VLOOKUP(AW$5,Coords[],3,FALSE))^2+(VLOOKUP($G37,Coords[],4,FALSE)-VLOOKUP(AW$5,Coords[],4,FALSE))^2)))</f>
        <v>1000</v>
      </c>
      <c r="AX37" s="10">
        <f>IF($G37=AX$5,1000,IF(AX$4=0,1000,SQRT((VLOOKUP($G37,Coords[],3,FALSE)-VLOOKUP(AX$5,Coords[],3,FALSE))^2+(VLOOKUP($G37,Coords[],4,FALSE)-VLOOKUP(AX$5,Coords[],4,FALSE))^2)))</f>
        <v>1000</v>
      </c>
      <c r="AY37" s="10">
        <f>IF($G37=AY$5,1000,IF(AY$4=0,1000,SQRT((VLOOKUP($G37,Coords[],3,FALSE)-VLOOKUP(AY$5,Coords[],3,FALSE))^2+(VLOOKUP($G37,Coords[],4,FALSE)-VLOOKUP(AY$5,Coords[],4,FALSE))^2)))</f>
        <v>1000</v>
      </c>
      <c r="AZ37" s="10">
        <f>IF($G37=AZ$5,1000,IF(AZ$4=0,1000,SQRT((VLOOKUP($G37,Coords[],3,FALSE)-VLOOKUP(AZ$5,Coords[],3,FALSE))^2+(VLOOKUP($G37,Coords[],4,FALSE)-VLOOKUP(AZ$5,Coords[],4,FALSE))^2)))</f>
        <v>1000</v>
      </c>
      <c r="BA37" s="10">
        <f>IF($G37=BA$5,1000,IF(BA$4=0,1000,SQRT((VLOOKUP($G37,Coords[],3,FALSE)-VLOOKUP(BA$5,Coords[],3,FALSE))^2+(VLOOKUP($G37,Coords[],4,FALSE)-VLOOKUP(BA$5,Coords[],4,FALSE))^2)))</f>
        <v>1000</v>
      </c>
      <c r="BB37" s="10">
        <f>IF($G37=BB$5,1000,IF(BB$4=0,1000,SQRT((VLOOKUP($G37,Coords[],3,FALSE)-VLOOKUP(BB$5,Coords[],3,FALSE))^2+(VLOOKUP($G37,Coords[],4,FALSE)-VLOOKUP(BB$5,Coords[],4,FALSE))^2)))</f>
        <v>1000</v>
      </c>
      <c r="BC37" s="10">
        <f>IF($G37=BC$5,1000,IF(BC$4=0,1000,SQRT((VLOOKUP($G37,Coords[],3,FALSE)-VLOOKUP(BC$5,Coords[],3,FALSE))^2+(VLOOKUP($G37,Coords[],4,FALSE)-VLOOKUP(BC$5,Coords[],4,FALSE))^2)))</f>
        <v>1000</v>
      </c>
      <c r="BD37" s="10">
        <f>IF($G37=BD$5,1000,IF(BD$4=0,1000,SQRT((VLOOKUP($G37,Coords[],3,FALSE)-VLOOKUP(BD$5,Coords[],3,FALSE))^2+(VLOOKUP($G37,Coords[],4,FALSE)-VLOOKUP(BD$5,Coords[],4,FALSE))^2)))</f>
        <v>1000</v>
      </c>
      <c r="BE37" s="10">
        <f>IF($G37=BE$5,1000,IF(BE$4=0,1000,SQRT((VLOOKUP($G37,Coords[],3,FALSE)-VLOOKUP(BE$5,Coords[],3,FALSE))^2+(VLOOKUP($G37,Coords[],4,FALSE)-VLOOKUP(BE$5,Coords[],4,FALSE))^2)))</f>
        <v>1000</v>
      </c>
      <c r="BF37" s="10">
        <f>IF($G37=BF$5,1000,IF(BF$4=0,1000,SQRT((VLOOKUP($G37,Coords[],3,FALSE)-VLOOKUP(BF$5,Coords[],3,FALSE))^2+(VLOOKUP($G37,Coords[],4,FALSE)-VLOOKUP(BF$5,Coords[],4,FALSE))^2)))</f>
        <v>1000</v>
      </c>
      <c r="BG37" s="4">
        <v>32</v>
      </c>
      <c r="BI37" s="5">
        <f>IF(E37=1,0,VLOOKUP($G37,$G$6:$BF$57,HLOOKUP(MIN(H37:BF37),$H37:$BF$57,((COUNT($G$6:$G$56)+2)-$G37),FALSE),FALSE)*B37)</f>
        <v>0</v>
      </c>
      <c r="BJ37" s="9">
        <f>VLOOKUP($G37,$G$6:$BF$57,HLOOKUP(MIN(H37:BF37),$H37:$BF$57,((COUNT($G$6:$G$56)+2)-$G37),FALSE),FALSE)</f>
        <v>1000</v>
      </c>
      <c r="BK37" s="7">
        <f>HLOOKUP(MIN(H37:BF37),$H37:$BF$57,((COUNT($G$6:$G$56)+2)-$G37),FALSE)</f>
        <v>8</v>
      </c>
      <c r="BL37">
        <f>BJ37*Coords[[#This Row],[Demand]]</f>
        <v>11000</v>
      </c>
      <c r="BN37">
        <v>32</v>
      </c>
      <c r="BO37">
        <v>7779.2126269355431</v>
      </c>
      <c r="BP37">
        <v>8908.3423641810641</v>
      </c>
    </row>
    <row r="38" spans="1:68" x14ac:dyDescent="0.25">
      <c r="A38" s="8">
        <v>33</v>
      </c>
      <c r="B38" s="3">
        <v>23</v>
      </c>
      <c r="C38" s="3">
        <v>46</v>
      </c>
      <c r="D38" s="3">
        <v>10</v>
      </c>
      <c r="E38">
        <v>0</v>
      </c>
      <c r="G38" s="4">
        <v>33</v>
      </c>
      <c r="H38" s="10">
        <f>IF($G38=H$5,1000,IF(H$4=0,1000,SQRT((VLOOKUP($G38,Coords[],3,FALSE)-VLOOKUP(H$5,Coords[],3,FALSE))^2+(VLOOKUP($G38,Coords[],4,FALSE)-VLOOKUP(H$5,Coords[],4,FALSE))^2)))</f>
        <v>1000</v>
      </c>
      <c r="I38" s="10">
        <f>IF($G38=I$5,1000,IF(I$4=0,1000,SQRT((VLOOKUP($G38,Coords[],3,FALSE)-VLOOKUP(I$5,Coords[],3,FALSE))^2+(VLOOKUP($G38,Coords[],4,FALSE)-VLOOKUP(I$5,Coords[],4,FALSE))^2)))</f>
        <v>1000</v>
      </c>
      <c r="J38" s="10">
        <f>IF($G38=J$5,1000,IF(J$4=0,1000,SQRT((VLOOKUP($G38,Coords[],3,FALSE)-VLOOKUP(J$5,Coords[],3,FALSE))^2+(VLOOKUP($G38,Coords[],4,FALSE)-VLOOKUP(J$5,Coords[],4,FALSE))^2)))</f>
        <v>1000</v>
      </c>
      <c r="K38" s="10">
        <f>IF($G38=K$5,1000,IF(K$4=0,1000,SQRT((VLOOKUP($G38,Coords[],3,FALSE)-VLOOKUP(K$5,Coords[],3,FALSE))^2+(VLOOKUP($G38,Coords[],4,FALSE)-VLOOKUP(K$5,Coords[],4,FALSE))^2)))</f>
        <v>1000</v>
      </c>
      <c r="L38" s="10">
        <f>IF($G38=L$5,1000,IF(L$4=0,1000,SQRT((VLOOKUP($G38,Coords[],3,FALSE)-VLOOKUP(L$5,Coords[],3,FALSE))^2+(VLOOKUP($G38,Coords[],4,FALSE)-VLOOKUP(L$5,Coords[],4,FALSE))^2)))</f>
        <v>1000</v>
      </c>
      <c r="M38" s="10">
        <f>IF($G38=M$5,1000,IF(M$4=0,1000,SQRT((VLOOKUP($G38,Coords[],3,FALSE)-VLOOKUP(M$5,Coords[],3,FALSE))^2+(VLOOKUP($G38,Coords[],4,FALSE)-VLOOKUP(M$5,Coords[],4,FALSE))^2)))</f>
        <v>1000</v>
      </c>
      <c r="N38" s="10">
        <f>IF($G38=N$5,1000,IF(N$4=0,1000,SQRT((VLOOKUP($G38,Coords[],3,FALSE)-VLOOKUP(N$5,Coords[],3,FALSE))^2+(VLOOKUP($G38,Coords[],4,FALSE)-VLOOKUP(N$5,Coords[],4,FALSE))^2)))</f>
        <v>1000</v>
      </c>
      <c r="O38" s="10">
        <f>IF($G38=O$5,1000,IF(O$4=0,1000,SQRT((VLOOKUP($G38,Coords[],3,FALSE)-VLOOKUP(O$5,Coords[],3,FALSE))^2+(VLOOKUP($G38,Coords[],4,FALSE)-VLOOKUP(O$5,Coords[],4,FALSE))^2)))</f>
        <v>54.120236510939236</v>
      </c>
      <c r="P38" s="10">
        <f>IF($G38=P$5,1000,IF(P$4=0,1000,SQRT((VLOOKUP($G38,Coords[],3,FALSE)-VLOOKUP(P$5,Coords[],3,FALSE))^2+(VLOOKUP($G38,Coords[],4,FALSE)-VLOOKUP(P$5,Coords[],4,FALSE))^2)))</f>
        <v>1000</v>
      </c>
      <c r="Q38" s="10">
        <f>IF($G38=Q$5,1000,IF(Q$4=0,1000,SQRT((VLOOKUP($G38,Coords[],3,FALSE)-VLOOKUP(Q$5,Coords[],3,FALSE))^2+(VLOOKUP($G38,Coords[],4,FALSE)-VLOOKUP(Q$5,Coords[],4,FALSE))^2)))</f>
        <v>1000</v>
      </c>
      <c r="R38" s="10">
        <f>IF($G38=R$5,1000,IF(R$4=0,1000,SQRT((VLOOKUP($G38,Coords[],3,FALSE)-VLOOKUP(R$5,Coords[],3,FALSE))^2+(VLOOKUP($G38,Coords[],4,FALSE)-VLOOKUP(R$5,Coords[],4,FALSE))^2)))</f>
        <v>1000</v>
      </c>
      <c r="S38" s="10">
        <f>IF($G38=S$5,1000,IF(S$4=0,1000,SQRT((VLOOKUP($G38,Coords[],3,FALSE)-VLOOKUP(S$5,Coords[],3,FALSE))^2+(VLOOKUP($G38,Coords[],4,FALSE)-VLOOKUP(S$5,Coords[],4,FALSE))^2)))</f>
        <v>1000</v>
      </c>
      <c r="T38" s="10">
        <f>IF($G38=T$5,1000,IF(T$4=0,1000,SQRT((VLOOKUP($G38,Coords[],3,FALSE)-VLOOKUP(T$5,Coords[],3,FALSE))^2+(VLOOKUP($G38,Coords[],4,FALSE)-VLOOKUP(T$5,Coords[],4,FALSE))^2)))</f>
        <v>1000</v>
      </c>
      <c r="U38" s="10">
        <f>IF($G38=U$5,1000,IF(U$4=0,1000,SQRT((VLOOKUP($G38,Coords[],3,FALSE)-VLOOKUP(U$5,Coords[],3,FALSE))^2+(VLOOKUP($G38,Coords[],4,FALSE)-VLOOKUP(U$5,Coords[],4,FALSE))^2)))</f>
        <v>1000</v>
      </c>
      <c r="V38" s="10">
        <f>IF($G38=V$5,1000,IF(V$4=0,1000,SQRT((VLOOKUP($G38,Coords[],3,FALSE)-VLOOKUP(V$5,Coords[],3,FALSE))^2+(VLOOKUP($G38,Coords[],4,FALSE)-VLOOKUP(V$5,Coords[],4,FALSE))^2)))</f>
        <v>1000</v>
      </c>
      <c r="W38" s="10">
        <f>IF($G38=W$5,1000,IF(W$4=0,1000,SQRT((VLOOKUP($G38,Coords[],3,FALSE)-VLOOKUP(W$5,Coords[],3,FALSE))^2+(VLOOKUP($G38,Coords[],4,FALSE)-VLOOKUP(W$5,Coords[],4,FALSE))^2)))</f>
        <v>1000</v>
      </c>
      <c r="X38" s="10">
        <f>IF($G38=X$5,1000,IF(X$4=0,1000,SQRT((VLOOKUP($G38,Coords[],3,FALSE)-VLOOKUP(X$5,Coords[],3,FALSE))^2+(VLOOKUP($G38,Coords[],4,FALSE)-VLOOKUP(X$5,Coords[],4,FALSE))^2)))</f>
        <v>1000</v>
      </c>
      <c r="Y38" s="10">
        <f>IF($G38=Y$5,1000,IF(Y$4=0,1000,SQRT((VLOOKUP($G38,Coords[],3,FALSE)-VLOOKUP(Y$5,Coords[],3,FALSE))^2+(VLOOKUP($G38,Coords[],4,FALSE)-VLOOKUP(Y$5,Coords[],4,FALSE))^2)))</f>
        <v>1000</v>
      </c>
      <c r="Z38" s="10">
        <f>IF($G38=Z$5,1000,IF(Z$4=0,1000,SQRT((VLOOKUP($G38,Coords[],3,FALSE)-VLOOKUP(Z$5,Coords[],3,FALSE))^2+(VLOOKUP($G38,Coords[],4,FALSE)-VLOOKUP(Z$5,Coords[],4,FALSE))^2)))</f>
        <v>1000</v>
      </c>
      <c r="AA38" s="10">
        <f>IF($G38=AA$5,1000,IF(AA$4=0,1000,SQRT((VLOOKUP($G38,Coords[],3,FALSE)-VLOOKUP(AA$5,Coords[],3,FALSE))^2+(VLOOKUP($G38,Coords[],4,FALSE)-VLOOKUP(AA$5,Coords[],4,FALSE))^2)))</f>
        <v>49.244289008980523</v>
      </c>
      <c r="AB38" s="10">
        <f>IF($G38=AB$5,1000,IF(AB$4=0,1000,SQRT((VLOOKUP($G38,Coords[],3,FALSE)-VLOOKUP(AB$5,Coords[],3,FALSE))^2+(VLOOKUP($G38,Coords[],4,FALSE)-VLOOKUP(AB$5,Coords[],4,FALSE))^2)))</f>
        <v>1000</v>
      </c>
      <c r="AC38" s="10">
        <f>IF($G38=AC$5,1000,IF(AC$4=0,1000,SQRT((VLOOKUP($G38,Coords[],3,FALSE)-VLOOKUP(AC$5,Coords[],3,FALSE))^2+(VLOOKUP($G38,Coords[],4,FALSE)-VLOOKUP(AC$5,Coords[],4,FALSE))^2)))</f>
        <v>1000</v>
      </c>
      <c r="AD38" s="10">
        <f>IF($G38=AD$5,1000,IF(AD$4=0,1000,SQRT((VLOOKUP($G38,Coords[],3,FALSE)-VLOOKUP(AD$5,Coords[],3,FALSE))^2+(VLOOKUP($G38,Coords[],4,FALSE)-VLOOKUP(AD$5,Coords[],4,FALSE))^2)))</f>
        <v>1000</v>
      </c>
      <c r="AE38" s="10">
        <f>IF($G38=AE$5,1000,IF(AE$4=0,1000,SQRT((VLOOKUP($G38,Coords[],3,FALSE)-VLOOKUP(AE$5,Coords[],3,FALSE))^2+(VLOOKUP($G38,Coords[],4,FALSE)-VLOOKUP(AE$5,Coords[],4,FALSE))^2)))</f>
        <v>1000</v>
      </c>
      <c r="AF38" s="10">
        <f>IF($G38=AF$5,1000,IF(AF$4=0,1000,SQRT((VLOOKUP($G38,Coords[],3,FALSE)-VLOOKUP(AF$5,Coords[],3,FALSE))^2+(VLOOKUP($G38,Coords[],4,FALSE)-VLOOKUP(AF$5,Coords[],4,FALSE))^2)))</f>
        <v>1000</v>
      </c>
      <c r="AG38" s="10">
        <f>IF($G38=AG$5,1000,IF(AG$4=0,1000,SQRT((VLOOKUP($G38,Coords[],3,FALSE)-VLOOKUP(AG$5,Coords[],3,FALSE))^2+(VLOOKUP($G38,Coords[],4,FALSE)-VLOOKUP(AG$5,Coords[],4,FALSE))^2)))</f>
        <v>1000</v>
      </c>
      <c r="AH38" s="10">
        <f>IF($G38=AH$5,1000,IF(AH$4=0,1000,SQRT((VLOOKUP($G38,Coords[],3,FALSE)-VLOOKUP(AH$5,Coords[],3,FALSE))^2+(VLOOKUP($G38,Coords[],4,FALSE)-VLOOKUP(AH$5,Coords[],4,FALSE))^2)))</f>
        <v>1000</v>
      </c>
      <c r="AI38" s="10">
        <f>IF($G38=AI$5,1000,IF(AI$4=0,1000,SQRT((VLOOKUP($G38,Coords[],3,FALSE)-VLOOKUP(AI$5,Coords[],3,FALSE))^2+(VLOOKUP($G38,Coords[],4,FALSE)-VLOOKUP(AI$5,Coords[],4,FALSE))^2)))</f>
        <v>1000</v>
      </c>
      <c r="AJ38" s="10">
        <f>IF($G38=AJ$5,1000,IF(AJ$4=0,1000,SQRT((VLOOKUP($G38,Coords[],3,FALSE)-VLOOKUP(AJ$5,Coords[],3,FALSE))^2+(VLOOKUP($G38,Coords[],4,FALSE)-VLOOKUP(AJ$5,Coords[],4,FALSE))^2)))</f>
        <v>39.849717690342551</v>
      </c>
      <c r="AK38" s="10">
        <f>IF($G38=AK$5,1000,IF(AK$4=0,1000,SQRT((VLOOKUP($G38,Coords[],3,FALSE)-VLOOKUP(AK$5,Coords[],3,FALSE))^2+(VLOOKUP($G38,Coords[],4,FALSE)-VLOOKUP(AK$5,Coords[],4,FALSE))^2)))</f>
        <v>1000</v>
      </c>
      <c r="AL38" s="10">
        <f>IF($G38=AL$5,1000,IF(AL$4=0,1000,SQRT((VLOOKUP($G38,Coords[],3,FALSE)-VLOOKUP(AL$5,Coords[],3,FALSE))^2+(VLOOKUP($G38,Coords[],4,FALSE)-VLOOKUP(AL$5,Coords[],4,FALSE))^2)))</f>
        <v>1000</v>
      </c>
      <c r="AM38" s="10">
        <f>IF($G38=AM$5,1000,IF(AM$4=0,1000,SQRT((VLOOKUP($G38,Coords[],3,FALSE)-VLOOKUP(AM$5,Coords[],3,FALSE))^2+(VLOOKUP($G38,Coords[],4,FALSE)-VLOOKUP(AM$5,Coords[],4,FALSE))^2)))</f>
        <v>36.878177829171548</v>
      </c>
      <c r="AN38" s="10">
        <f>IF($G38=AN$5,1000,IF(AN$4=0,1000,SQRT((VLOOKUP($G38,Coords[],3,FALSE)-VLOOKUP(AN$5,Coords[],3,FALSE))^2+(VLOOKUP($G38,Coords[],4,FALSE)-VLOOKUP(AN$5,Coords[],4,FALSE))^2)))</f>
        <v>1000</v>
      </c>
      <c r="AO38" s="10">
        <f>IF($G38=AO$5,1000,IF(AO$4=0,1000,SQRT((VLOOKUP($G38,Coords[],3,FALSE)-VLOOKUP(AO$5,Coords[],3,FALSE))^2+(VLOOKUP($G38,Coords[],4,FALSE)-VLOOKUP(AO$5,Coords[],4,FALSE))^2)))</f>
        <v>1000</v>
      </c>
      <c r="AP38" s="10">
        <f>IF($G38=AP$5,1000,IF(AP$4=0,1000,SQRT((VLOOKUP($G38,Coords[],3,FALSE)-VLOOKUP(AP$5,Coords[],3,FALSE))^2+(VLOOKUP($G38,Coords[],4,FALSE)-VLOOKUP(AP$5,Coords[],4,FALSE))^2)))</f>
        <v>1000</v>
      </c>
      <c r="AQ38" s="10">
        <f>IF($G38=AQ$5,1000,IF(AQ$4=0,1000,SQRT((VLOOKUP($G38,Coords[],3,FALSE)-VLOOKUP(AQ$5,Coords[],3,FALSE))^2+(VLOOKUP($G38,Coords[],4,FALSE)-VLOOKUP(AQ$5,Coords[],4,FALSE))^2)))</f>
        <v>1000</v>
      </c>
      <c r="AR38" s="10">
        <f>IF($G38=AR$5,1000,IF(AR$4=0,1000,SQRT((VLOOKUP($G38,Coords[],3,FALSE)-VLOOKUP(AR$5,Coords[],3,FALSE))^2+(VLOOKUP($G38,Coords[],4,FALSE)-VLOOKUP(AR$5,Coords[],4,FALSE))^2)))</f>
        <v>1000</v>
      </c>
      <c r="AS38" s="10">
        <f>IF($G38=AS$5,1000,IF(AS$4=0,1000,SQRT((VLOOKUP($G38,Coords[],3,FALSE)-VLOOKUP(AS$5,Coords[],3,FALSE))^2+(VLOOKUP($G38,Coords[],4,FALSE)-VLOOKUP(AS$5,Coords[],4,FALSE))^2)))</f>
        <v>1000</v>
      </c>
      <c r="AT38" s="10">
        <f>IF($G38=AT$5,1000,IF(AT$4=0,1000,SQRT((VLOOKUP($G38,Coords[],3,FALSE)-VLOOKUP(AT$5,Coords[],3,FALSE))^2+(VLOOKUP($G38,Coords[],4,FALSE)-VLOOKUP(AT$5,Coords[],4,FALSE))^2)))</f>
        <v>1000</v>
      </c>
      <c r="AU38" s="10">
        <f>IF($G38=AU$5,1000,IF(AU$4=0,1000,SQRT((VLOOKUP($G38,Coords[],3,FALSE)-VLOOKUP(AU$5,Coords[],3,FALSE))^2+(VLOOKUP($G38,Coords[],4,FALSE)-VLOOKUP(AU$5,Coords[],4,FALSE))^2)))</f>
        <v>1000</v>
      </c>
      <c r="AV38" s="10">
        <f>IF($G38=AV$5,1000,IF(AV$4=0,1000,SQRT((VLOOKUP($G38,Coords[],3,FALSE)-VLOOKUP(AV$5,Coords[],3,FALSE))^2+(VLOOKUP($G38,Coords[],4,FALSE)-VLOOKUP(AV$5,Coords[],4,FALSE))^2)))</f>
        <v>1000</v>
      </c>
      <c r="AW38" s="10">
        <f>IF($G38=AW$5,1000,IF(AW$4=0,1000,SQRT((VLOOKUP($G38,Coords[],3,FALSE)-VLOOKUP(AW$5,Coords[],3,FALSE))^2+(VLOOKUP($G38,Coords[],4,FALSE)-VLOOKUP(AW$5,Coords[],4,FALSE))^2)))</f>
        <v>1000</v>
      </c>
      <c r="AX38" s="10">
        <f>IF($G38=AX$5,1000,IF(AX$4=0,1000,SQRT((VLOOKUP($G38,Coords[],3,FALSE)-VLOOKUP(AX$5,Coords[],3,FALSE))^2+(VLOOKUP($G38,Coords[],4,FALSE)-VLOOKUP(AX$5,Coords[],4,FALSE))^2)))</f>
        <v>1000</v>
      </c>
      <c r="AY38" s="10">
        <f>IF($G38=AY$5,1000,IF(AY$4=0,1000,SQRT((VLOOKUP($G38,Coords[],3,FALSE)-VLOOKUP(AY$5,Coords[],3,FALSE))^2+(VLOOKUP($G38,Coords[],4,FALSE)-VLOOKUP(AY$5,Coords[],4,FALSE))^2)))</f>
        <v>1000</v>
      </c>
      <c r="AZ38" s="10">
        <f>IF($G38=AZ$5,1000,IF(AZ$4=0,1000,SQRT((VLOOKUP($G38,Coords[],3,FALSE)-VLOOKUP(AZ$5,Coords[],3,FALSE))^2+(VLOOKUP($G38,Coords[],4,FALSE)-VLOOKUP(AZ$5,Coords[],4,FALSE))^2)))</f>
        <v>1000</v>
      </c>
      <c r="BA38" s="10">
        <f>IF($G38=BA$5,1000,IF(BA$4=0,1000,SQRT((VLOOKUP($G38,Coords[],3,FALSE)-VLOOKUP(BA$5,Coords[],3,FALSE))^2+(VLOOKUP($G38,Coords[],4,FALSE)-VLOOKUP(BA$5,Coords[],4,FALSE))^2)))</f>
        <v>1000</v>
      </c>
      <c r="BB38" s="10">
        <f>IF($G38=BB$5,1000,IF(BB$4=0,1000,SQRT((VLOOKUP($G38,Coords[],3,FALSE)-VLOOKUP(BB$5,Coords[],3,FALSE))^2+(VLOOKUP($G38,Coords[],4,FALSE)-VLOOKUP(BB$5,Coords[],4,FALSE))^2)))</f>
        <v>1000</v>
      </c>
      <c r="BC38" s="10">
        <f>IF($G38=BC$5,1000,IF(BC$4=0,1000,SQRT((VLOOKUP($G38,Coords[],3,FALSE)-VLOOKUP(BC$5,Coords[],3,FALSE))^2+(VLOOKUP($G38,Coords[],4,FALSE)-VLOOKUP(BC$5,Coords[],4,FALSE))^2)))</f>
        <v>1000</v>
      </c>
      <c r="BD38" s="10">
        <f>IF($G38=BD$5,1000,IF(BD$4=0,1000,SQRT((VLOOKUP($G38,Coords[],3,FALSE)-VLOOKUP(BD$5,Coords[],3,FALSE))^2+(VLOOKUP($G38,Coords[],4,FALSE)-VLOOKUP(BD$5,Coords[],4,FALSE))^2)))</f>
        <v>1000</v>
      </c>
      <c r="BE38" s="10">
        <f>IF($G38=BE$5,1000,IF(BE$4=0,1000,SQRT((VLOOKUP($G38,Coords[],3,FALSE)-VLOOKUP(BE$5,Coords[],3,FALSE))^2+(VLOOKUP($G38,Coords[],4,FALSE)-VLOOKUP(BE$5,Coords[],4,FALSE))^2)))</f>
        <v>1000</v>
      </c>
      <c r="BF38" s="10">
        <f>IF($G38=BF$5,1000,IF(BF$4=0,1000,SQRT((VLOOKUP($G38,Coords[],3,FALSE)-VLOOKUP(BF$5,Coords[],3,FALSE))^2+(VLOOKUP($G38,Coords[],4,FALSE)-VLOOKUP(BF$5,Coords[],4,FALSE))^2)))</f>
        <v>1000</v>
      </c>
      <c r="BG38" s="4">
        <v>33</v>
      </c>
      <c r="BI38" s="5">
        <f>IF(E38=1,0,VLOOKUP($G38,$G$6:$BF$57,HLOOKUP(MIN(H38:BF38),$H38:$BF$57,((COUNT($G$6:$G$56)+2)-$G38),FALSE),FALSE)*B38)</f>
        <v>848.19809007094557</v>
      </c>
      <c r="BJ38" s="9">
        <f>VLOOKUP($G38,$G$6:$BF$57,HLOOKUP(MIN(H38:BF38),$H38:$BF$57,((COUNT($G$6:$G$56)+2)-$G38),FALSE),FALSE)</f>
        <v>36.878177829171548</v>
      </c>
      <c r="BK38" s="7">
        <f>HLOOKUP(MIN(H38:BF38),$H38:$BF$57,((COUNT($G$6:$G$56)+2)-$G38),FALSE)</f>
        <v>33</v>
      </c>
      <c r="BL38">
        <f>BJ38*Coords[[#This Row],[Demand]]</f>
        <v>848.19809007094557</v>
      </c>
      <c r="BN38">
        <v>33</v>
      </c>
      <c r="BO38">
        <v>7779.2126269355431</v>
      </c>
      <c r="BP38">
        <v>8096.9787123005608</v>
      </c>
    </row>
    <row r="39" spans="1:68" x14ac:dyDescent="0.25">
      <c r="A39" s="8">
        <v>34</v>
      </c>
      <c r="B39" s="3">
        <v>13</v>
      </c>
      <c r="C39" s="3">
        <v>61</v>
      </c>
      <c r="D39" s="3">
        <v>33</v>
      </c>
      <c r="E39">
        <v>0</v>
      </c>
      <c r="G39" s="4">
        <v>34</v>
      </c>
      <c r="H39" s="10">
        <f>IF($G39=H$5,1000,IF(H$4=0,1000,SQRT((VLOOKUP($G39,Coords[],3,FALSE)-VLOOKUP(H$5,Coords[],3,FALSE))^2+(VLOOKUP($G39,Coords[],4,FALSE)-VLOOKUP(H$5,Coords[],4,FALSE))^2)))</f>
        <v>1000</v>
      </c>
      <c r="I39" s="10">
        <f>IF($G39=I$5,1000,IF(I$4=0,1000,SQRT((VLOOKUP($G39,Coords[],3,FALSE)-VLOOKUP(I$5,Coords[],3,FALSE))^2+(VLOOKUP($G39,Coords[],4,FALSE)-VLOOKUP(I$5,Coords[],4,FALSE))^2)))</f>
        <v>1000</v>
      </c>
      <c r="J39" s="10">
        <f>IF($G39=J$5,1000,IF(J$4=0,1000,SQRT((VLOOKUP($G39,Coords[],3,FALSE)-VLOOKUP(J$5,Coords[],3,FALSE))^2+(VLOOKUP($G39,Coords[],4,FALSE)-VLOOKUP(J$5,Coords[],4,FALSE))^2)))</f>
        <v>1000</v>
      </c>
      <c r="K39" s="10">
        <f>IF($G39=K$5,1000,IF(K$4=0,1000,SQRT((VLOOKUP($G39,Coords[],3,FALSE)-VLOOKUP(K$5,Coords[],3,FALSE))^2+(VLOOKUP($G39,Coords[],4,FALSE)-VLOOKUP(K$5,Coords[],4,FALSE))^2)))</f>
        <v>1000</v>
      </c>
      <c r="L39" s="10">
        <f>IF($G39=L$5,1000,IF(L$4=0,1000,SQRT((VLOOKUP($G39,Coords[],3,FALSE)-VLOOKUP(L$5,Coords[],3,FALSE))^2+(VLOOKUP($G39,Coords[],4,FALSE)-VLOOKUP(L$5,Coords[],4,FALSE))^2)))</f>
        <v>1000</v>
      </c>
      <c r="M39" s="10">
        <f>IF($G39=M$5,1000,IF(M$4=0,1000,SQRT((VLOOKUP($G39,Coords[],3,FALSE)-VLOOKUP(M$5,Coords[],3,FALSE))^2+(VLOOKUP($G39,Coords[],4,FALSE)-VLOOKUP(M$5,Coords[],4,FALSE))^2)))</f>
        <v>1000</v>
      </c>
      <c r="N39" s="10">
        <f>IF($G39=N$5,1000,IF(N$4=0,1000,SQRT((VLOOKUP($G39,Coords[],3,FALSE)-VLOOKUP(N$5,Coords[],3,FALSE))^2+(VLOOKUP($G39,Coords[],4,FALSE)-VLOOKUP(N$5,Coords[],4,FALSE))^2)))</f>
        <v>1000</v>
      </c>
      <c r="O39" s="10">
        <f>IF($G39=O$5,1000,IF(O$4=0,1000,SQRT((VLOOKUP($G39,Coords[],3,FALSE)-VLOOKUP(O$5,Coords[],3,FALSE))^2+(VLOOKUP($G39,Coords[],4,FALSE)-VLOOKUP(O$5,Coords[],4,FALSE))^2)))</f>
        <v>41.725292090050132</v>
      </c>
      <c r="P39" s="10">
        <f>IF($G39=P$5,1000,IF(P$4=0,1000,SQRT((VLOOKUP($G39,Coords[],3,FALSE)-VLOOKUP(P$5,Coords[],3,FALSE))^2+(VLOOKUP($G39,Coords[],4,FALSE)-VLOOKUP(P$5,Coords[],4,FALSE))^2)))</f>
        <v>1000</v>
      </c>
      <c r="Q39" s="10">
        <f>IF($G39=Q$5,1000,IF(Q$4=0,1000,SQRT((VLOOKUP($G39,Coords[],3,FALSE)-VLOOKUP(Q$5,Coords[],3,FALSE))^2+(VLOOKUP($G39,Coords[],4,FALSE)-VLOOKUP(Q$5,Coords[],4,FALSE))^2)))</f>
        <v>1000</v>
      </c>
      <c r="R39" s="10">
        <f>IF($G39=R$5,1000,IF(R$4=0,1000,SQRT((VLOOKUP($G39,Coords[],3,FALSE)-VLOOKUP(R$5,Coords[],3,FALSE))^2+(VLOOKUP($G39,Coords[],4,FALSE)-VLOOKUP(R$5,Coords[],4,FALSE))^2)))</f>
        <v>1000</v>
      </c>
      <c r="S39" s="10">
        <f>IF($G39=S$5,1000,IF(S$4=0,1000,SQRT((VLOOKUP($G39,Coords[],3,FALSE)-VLOOKUP(S$5,Coords[],3,FALSE))^2+(VLOOKUP($G39,Coords[],4,FALSE)-VLOOKUP(S$5,Coords[],4,FALSE))^2)))</f>
        <v>1000</v>
      </c>
      <c r="T39" s="10">
        <f>IF($G39=T$5,1000,IF(T$4=0,1000,SQRT((VLOOKUP($G39,Coords[],3,FALSE)-VLOOKUP(T$5,Coords[],3,FALSE))^2+(VLOOKUP($G39,Coords[],4,FALSE)-VLOOKUP(T$5,Coords[],4,FALSE))^2)))</f>
        <v>1000</v>
      </c>
      <c r="U39" s="10">
        <f>IF($G39=U$5,1000,IF(U$4=0,1000,SQRT((VLOOKUP($G39,Coords[],3,FALSE)-VLOOKUP(U$5,Coords[],3,FALSE))^2+(VLOOKUP($G39,Coords[],4,FALSE)-VLOOKUP(U$5,Coords[],4,FALSE))^2)))</f>
        <v>1000</v>
      </c>
      <c r="V39" s="10">
        <f>IF($G39=V$5,1000,IF(V$4=0,1000,SQRT((VLOOKUP($G39,Coords[],3,FALSE)-VLOOKUP(V$5,Coords[],3,FALSE))^2+(VLOOKUP($G39,Coords[],4,FALSE)-VLOOKUP(V$5,Coords[],4,FALSE))^2)))</f>
        <v>1000</v>
      </c>
      <c r="W39" s="10">
        <f>IF($G39=W$5,1000,IF(W$4=0,1000,SQRT((VLOOKUP($G39,Coords[],3,FALSE)-VLOOKUP(W$5,Coords[],3,FALSE))^2+(VLOOKUP($G39,Coords[],4,FALSE)-VLOOKUP(W$5,Coords[],4,FALSE))^2)))</f>
        <v>1000</v>
      </c>
      <c r="X39" s="10">
        <f>IF($G39=X$5,1000,IF(X$4=0,1000,SQRT((VLOOKUP($G39,Coords[],3,FALSE)-VLOOKUP(X$5,Coords[],3,FALSE))^2+(VLOOKUP($G39,Coords[],4,FALSE)-VLOOKUP(X$5,Coords[],4,FALSE))^2)))</f>
        <v>1000</v>
      </c>
      <c r="Y39" s="10">
        <f>IF($G39=Y$5,1000,IF(Y$4=0,1000,SQRT((VLOOKUP($G39,Coords[],3,FALSE)-VLOOKUP(Y$5,Coords[],3,FALSE))^2+(VLOOKUP($G39,Coords[],4,FALSE)-VLOOKUP(Y$5,Coords[],4,FALSE))^2)))</f>
        <v>1000</v>
      </c>
      <c r="Z39" s="10">
        <f>IF($G39=Z$5,1000,IF(Z$4=0,1000,SQRT((VLOOKUP($G39,Coords[],3,FALSE)-VLOOKUP(Z$5,Coords[],3,FALSE))^2+(VLOOKUP($G39,Coords[],4,FALSE)-VLOOKUP(Z$5,Coords[],4,FALSE))^2)))</f>
        <v>1000</v>
      </c>
      <c r="AA39" s="10">
        <f>IF($G39=AA$5,1000,IF(AA$4=0,1000,SQRT((VLOOKUP($G39,Coords[],3,FALSE)-VLOOKUP(AA$5,Coords[],3,FALSE))^2+(VLOOKUP($G39,Coords[],4,FALSE)-VLOOKUP(AA$5,Coords[],4,FALSE))^2)))</f>
        <v>25.317977802344327</v>
      </c>
      <c r="AB39" s="10">
        <f>IF($G39=AB$5,1000,IF(AB$4=0,1000,SQRT((VLOOKUP($G39,Coords[],3,FALSE)-VLOOKUP(AB$5,Coords[],3,FALSE))^2+(VLOOKUP($G39,Coords[],4,FALSE)-VLOOKUP(AB$5,Coords[],4,FALSE))^2)))</f>
        <v>1000</v>
      </c>
      <c r="AC39" s="10">
        <f>IF($G39=AC$5,1000,IF(AC$4=0,1000,SQRT((VLOOKUP($G39,Coords[],3,FALSE)-VLOOKUP(AC$5,Coords[],3,FALSE))^2+(VLOOKUP($G39,Coords[],4,FALSE)-VLOOKUP(AC$5,Coords[],4,FALSE))^2)))</f>
        <v>1000</v>
      </c>
      <c r="AD39" s="10">
        <f>IF($G39=AD$5,1000,IF(AD$4=0,1000,SQRT((VLOOKUP($G39,Coords[],3,FALSE)-VLOOKUP(AD$5,Coords[],3,FALSE))^2+(VLOOKUP($G39,Coords[],4,FALSE)-VLOOKUP(AD$5,Coords[],4,FALSE))^2)))</f>
        <v>1000</v>
      </c>
      <c r="AE39" s="10">
        <f>IF($G39=AE$5,1000,IF(AE$4=0,1000,SQRT((VLOOKUP($G39,Coords[],3,FALSE)-VLOOKUP(AE$5,Coords[],3,FALSE))^2+(VLOOKUP($G39,Coords[],4,FALSE)-VLOOKUP(AE$5,Coords[],4,FALSE))^2)))</f>
        <v>1000</v>
      </c>
      <c r="AF39" s="10">
        <f>IF($G39=AF$5,1000,IF(AF$4=0,1000,SQRT((VLOOKUP($G39,Coords[],3,FALSE)-VLOOKUP(AF$5,Coords[],3,FALSE))^2+(VLOOKUP($G39,Coords[],4,FALSE)-VLOOKUP(AF$5,Coords[],4,FALSE))^2)))</f>
        <v>1000</v>
      </c>
      <c r="AG39" s="10">
        <f>IF($G39=AG$5,1000,IF(AG$4=0,1000,SQRT((VLOOKUP($G39,Coords[],3,FALSE)-VLOOKUP(AG$5,Coords[],3,FALSE))^2+(VLOOKUP($G39,Coords[],4,FALSE)-VLOOKUP(AG$5,Coords[],4,FALSE))^2)))</f>
        <v>1000</v>
      </c>
      <c r="AH39" s="10">
        <f>IF($G39=AH$5,1000,IF(AH$4=0,1000,SQRT((VLOOKUP($G39,Coords[],3,FALSE)-VLOOKUP(AH$5,Coords[],3,FALSE))^2+(VLOOKUP($G39,Coords[],4,FALSE)-VLOOKUP(AH$5,Coords[],4,FALSE))^2)))</f>
        <v>1000</v>
      </c>
      <c r="AI39" s="10">
        <f>IF($G39=AI$5,1000,IF(AI$4=0,1000,SQRT((VLOOKUP($G39,Coords[],3,FALSE)-VLOOKUP(AI$5,Coords[],3,FALSE))^2+(VLOOKUP($G39,Coords[],4,FALSE)-VLOOKUP(AI$5,Coords[],4,FALSE))^2)))</f>
        <v>1000</v>
      </c>
      <c r="AJ39" s="10">
        <f>IF($G39=AJ$5,1000,IF(AJ$4=0,1000,SQRT((VLOOKUP($G39,Coords[],3,FALSE)-VLOOKUP(AJ$5,Coords[],3,FALSE))^2+(VLOOKUP($G39,Coords[],4,FALSE)-VLOOKUP(AJ$5,Coords[],4,FALSE))^2)))</f>
        <v>15.297058540778355</v>
      </c>
      <c r="AK39" s="10">
        <f>IF($G39=AK$5,1000,IF(AK$4=0,1000,SQRT((VLOOKUP($G39,Coords[],3,FALSE)-VLOOKUP(AK$5,Coords[],3,FALSE))^2+(VLOOKUP($G39,Coords[],4,FALSE)-VLOOKUP(AK$5,Coords[],4,FALSE))^2)))</f>
        <v>1000</v>
      </c>
      <c r="AL39" s="10">
        <f>IF($G39=AL$5,1000,IF(AL$4=0,1000,SQRT((VLOOKUP($G39,Coords[],3,FALSE)-VLOOKUP(AL$5,Coords[],3,FALSE))^2+(VLOOKUP($G39,Coords[],4,FALSE)-VLOOKUP(AL$5,Coords[],4,FALSE))^2)))</f>
        <v>1000</v>
      </c>
      <c r="AM39" s="10">
        <f>IF($G39=AM$5,1000,IF(AM$4=0,1000,SQRT((VLOOKUP($G39,Coords[],3,FALSE)-VLOOKUP(AM$5,Coords[],3,FALSE))^2+(VLOOKUP($G39,Coords[],4,FALSE)-VLOOKUP(AM$5,Coords[],4,FALSE))^2)))</f>
        <v>26.419689627245813</v>
      </c>
      <c r="AN39" s="10">
        <f>IF($G39=AN$5,1000,IF(AN$4=0,1000,SQRT((VLOOKUP($G39,Coords[],3,FALSE)-VLOOKUP(AN$5,Coords[],3,FALSE))^2+(VLOOKUP($G39,Coords[],4,FALSE)-VLOOKUP(AN$5,Coords[],4,FALSE))^2)))</f>
        <v>1000</v>
      </c>
      <c r="AO39" s="10">
        <f>IF($G39=AO$5,1000,IF(AO$4=0,1000,SQRT((VLOOKUP($G39,Coords[],3,FALSE)-VLOOKUP(AO$5,Coords[],3,FALSE))^2+(VLOOKUP($G39,Coords[],4,FALSE)-VLOOKUP(AO$5,Coords[],4,FALSE))^2)))</f>
        <v>1000</v>
      </c>
      <c r="AP39" s="10">
        <f>IF($G39=AP$5,1000,IF(AP$4=0,1000,SQRT((VLOOKUP($G39,Coords[],3,FALSE)-VLOOKUP(AP$5,Coords[],3,FALSE))^2+(VLOOKUP($G39,Coords[],4,FALSE)-VLOOKUP(AP$5,Coords[],4,FALSE))^2)))</f>
        <v>1000</v>
      </c>
      <c r="AQ39" s="10">
        <f>IF($G39=AQ$5,1000,IF(AQ$4=0,1000,SQRT((VLOOKUP($G39,Coords[],3,FALSE)-VLOOKUP(AQ$5,Coords[],3,FALSE))^2+(VLOOKUP($G39,Coords[],4,FALSE)-VLOOKUP(AQ$5,Coords[],4,FALSE))^2)))</f>
        <v>1000</v>
      </c>
      <c r="AR39" s="10">
        <f>IF($G39=AR$5,1000,IF(AR$4=0,1000,SQRT((VLOOKUP($G39,Coords[],3,FALSE)-VLOOKUP(AR$5,Coords[],3,FALSE))^2+(VLOOKUP($G39,Coords[],4,FALSE)-VLOOKUP(AR$5,Coords[],4,FALSE))^2)))</f>
        <v>1000</v>
      </c>
      <c r="AS39" s="10">
        <f>IF($G39=AS$5,1000,IF(AS$4=0,1000,SQRT((VLOOKUP($G39,Coords[],3,FALSE)-VLOOKUP(AS$5,Coords[],3,FALSE))^2+(VLOOKUP($G39,Coords[],4,FALSE)-VLOOKUP(AS$5,Coords[],4,FALSE))^2)))</f>
        <v>1000</v>
      </c>
      <c r="AT39" s="10">
        <f>IF($G39=AT$5,1000,IF(AT$4=0,1000,SQRT((VLOOKUP($G39,Coords[],3,FALSE)-VLOOKUP(AT$5,Coords[],3,FALSE))^2+(VLOOKUP($G39,Coords[],4,FALSE)-VLOOKUP(AT$5,Coords[],4,FALSE))^2)))</f>
        <v>1000</v>
      </c>
      <c r="AU39" s="10">
        <f>IF($G39=AU$5,1000,IF(AU$4=0,1000,SQRT((VLOOKUP($G39,Coords[],3,FALSE)-VLOOKUP(AU$5,Coords[],3,FALSE))^2+(VLOOKUP($G39,Coords[],4,FALSE)-VLOOKUP(AU$5,Coords[],4,FALSE))^2)))</f>
        <v>1000</v>
      </c>
      <c r="AV39" s="10">
        <f>IF($G39=AV$5,1000,IF(AV$4=0,1000,SQRT((VLOOKUP($G39,Coords[],3,FALSE)-VLOOKUP(AV$5,Coords[],3,FALSE))^2+(VLOOKUP($G39,Coords[],4,FALSE)-VLOOKUP(AV$5,Coords[],4,FALSE))^2)))</f>
        <v>1000</v>
      </c>
      <c r="AW39" s="10">
        <f>IF($G39=AW$5,1000,IF(AW$4=0,1000,SQRT((VLOOKUP($G39,Coords[],3,FALSE)-VLOOKUP(AW$5,Coords[],3,FALSE))^2+(VLOOKUP($G39,Coords[],4,FALSE)-VLOOKUP(AW$5,Coords[],4,FALSE))^2)))</f>
        <v>1000</v>
      </c>
      <c r="AX39" s="10">
        <f>IF($G39=AX$5,1000,IF(AX$4=0,1000,SQRT((VLOOKUP($G39,Coords[],3,FALSE)-VLOOKUP(AX$5,Coords[],3,FALSE))^2+(VLOOKUP($G39,Coords[],4,FALSE)-VLOOKUP(AX$5,Coords[],4,FALSE))^2)))</f>
        <v>1000</v>
      </c>
      <c r="AY39" s="10">
        <f>IF($G39=AY$5,1000,IF(AY$4=0,1000,SQRT((VLOOKUP($G39,Coords[],3,FALSE)-VLOOKUP(AY$5,Coords[],3,FALSE))^2+(VLOOKUP($G39,Coords[],4,FALSE)-VLOOKUP(AY$5,Coords[],4,FALSE))^2)))</f>
        <v>1000</v>
      </c>
      <c r="AZ39" s="10">
        <f>IF($G39=AZ$5,1000,IF(AZ$4=0,1000,SQRT((VLOOKUP($G39,Coords[],3,FALSE)-VLOOKUP(AZ$5,Coords[],3,FALSE))^2+(VLOOKUP($G39,Coords[],4,FALSE)-VLOOKUP(AZ$5,Coords[],4,FALSE))^2)))</f>
        <v>1000</v>
      </c>
      <c r="BA39" s="10">
        <f>IF($G39=BA$5,1000,IF(BA$4=0,1000,SQRT((VLOOKUP($G39,Coords[],3,FALSE)-VLOOKUP(BA$5,Coords[],3,FALSE))^2+(VLOOKUP($G39,Coords[],4,FALSE)-VLOOKUP(BA$5,Coords[],4,FALSE))^2)))</f>
        <v>1000</v>
      </c>
      <c r="BB39" s="10">
        <f>IF($G39=BB$5,1000,IF(BB$4=0,1000,SQRT((VLOOKUP($G39,Coords[],3,FALSE)-VLOOKUP(BB$5,Coords[],3,FALSE))^2+(VLOOKUP($G39,Coords[],4,FALSE)-VLOOKUP(BB$5,Coords[],4,FALSE))^2)))</f>
        <v>1000</v>
      </c>
      <c r="BC39" s="10">
        <f>IF($G39=BC$5,1000,IF(BC$4=0,1000,SQRT((VLOOKUP($G39,Coords[],3,FALSE)-VLOOKUP(BC$5,Coords[],3,FALSE))^2+(VLOOKUP($G39,Coords[],4,FALSE)-VLOOKUP(BC$5,Coords[],4,FALSE))^2)))</f>
        <v>1000</v>
      </c>
      <c r="BD39" s="10">
        <f>IF($G39=BD$5,1000,IF(BD$4=0,1000,SQRT((VLOOKUP($G39,Coords[],3,FALSE)-VLOOKUP(BD$5,Coords[],3,FALSE))^2+(VLOOKUP($G39,Coords[],4,FALSE)-VLOOKUP(BD$5,Coords[],4,FALSE))^2)))</f>
        <v>1000</v>
      </c>
      <c r="BE39" s="10">
        <f>IF($G39=BE$5,1000,IF(BE$4=0,1000,SQRT((VLOOKUP($G39,Coords[],3,FALSE)-VLOOKUP(BE$5,Coords[],3,FALSE))^2+(VLOOKUP($G39,Coords[],4,FALSE)-VLOOKUP(BE$5,Coords[],4,FALSE))^2)))</f>
        <v>1000</v>
      </c>
      <c r="BF39" s="10">
        <f>IF($G39=BF$5,1000,IF(BF$4=0,1000,SQRT((VLOOKUP($G39,Coords[],3,FALSE)-VLOOKUP(BF$5,Coords[],3,FALSE))^2+(VLOOKUP($G39,Coords[],4,FALSE)-VLOOKUP(BF$5,Coords[],4,FALSE))^2)))</f>
        <v>1000</v>
      </c>
      <c r="BG39" s="4">
        <v>34</v>
      </c>
      <c r="BI39" s="5">
        <f>IF(E39=1,0,VLOOKUP($G39,$G$6:$BF$57,HLOOKUP(MIN(H39:BF39),$H39:$BF$57,((COUNT($G$6:$G$56)+2)-$G39),FALSE),FALSE)*B39)</f>
        <v>198.86176103011863</v>
      </c>
      <c r="BJ39" s="9">
        <f>VLOOKUP($G39,$G$6:$BF$57,HLOOKUP(MIN(H39:BF39),$H39:$BF$57,((COUNT($G$6:$G$56)+2)-$G39),FALSE),FALSE)</f>
        <v>15.297058540778355</v>
      </c>
      <c r="BK39" s="7">
        <f>HLOOKUP(MIN(H39:BF39),$H39:$BF$57,((COUNT($G$6:$G$56)+2)-$G39),FALSE)</f>
        <v>30</v>
      </c>
      <c r="BL39">
        <f>BJ39*Coords[[#This Row],[Demand]]</f>
        <v>198.86176103011863</v>
      </c>
      <c r="BN39">
        <v>34</v>
      </c>
      <c r="BO39">
        <v>7779.2126269355431</v>
      </c>
      <c r="BP39">
        <v>10736.71893802152</v>
      </c>
    </row>
    <row r="40" spans="1:68" x14ac:dyDescent="0.25">
      <c r="A40" s="8">
        <v>35</v>
      </c>
      <c r="B40" s="3">
        <v>16</v>
      </c>
      <c r="C40" s="3">
        <v>62</v>
      </c>
      <c r="D40" s="3">
        <v>63</v>
      </c>
      <c r="E40">
        <v>0</v>
      </c>
      <c r="G40" s="4">
        <v>35</v>
      </c>
      <c r="H40" s="10">
        <f>IF($G40=H$5,1000,IF(H$4=0,1000,SQRT((VLOOKUP($G40,Coords[],3,FALSE)-VLOOKUP(H$5,Coords[],3,FALSE))^2+(VLOOKUP($G40,Coords[],4,FALSE)-VLOOKUP(H$5,Coords[],4,FALSE))^2)))</f>
        <v>1000</v>
      </c>
      <c r="I40" s="10">
        <f>IF($G40=I$5,1000,IF(I$4=0,1000,SQRT((VLOOKUP($G40,Coords[],3,FALSE)-VLOOKUP(I$5,Coords[],3,FALSE))^2+(VLOOKUP($G40,Coords[],4,FALSE)-VLOOKUP(I$5,Coords[],4,FALSE))^2)))</f>
        <v>1000</v>
      </c>
      <c r="J40" s="10">
        <f>IF($G40=J$5,1000,IF(J$4=0,1000,SQRT((VLOOKUP($G40,Coords[],3,FALSE)-VLOOKUP(J$5,Coords[],3,FALSE))^2+(VLOOKUP($G40,Coords[],4,FALSE)-VLOOKUP(J$5,Coords[],4,FALSE))^2)))</f>
        <v>1000</v>
      </c>
      <c r="K40" s="10">
        <f>IF($G40=K$5,1000,IF(K$4=0,1000,SQRT((VLOOKUP($G40,Coords[],3,FALSE)-VLOOKUP(K$5,Coords[],3,FALSE))^2+(VLOOKUP($G40,Coords[],4,FALSE)-VLOOKUP(K$5,Coords[],4,FALSE))^2)))</f>
        <v>1000</v>
      </c>
      <c r="L40" s="10">
        <f>IF($G40=L$5,1000,IF(L$4=0,1000,SQRT((VLOOKUP($G40,Coords[],3,FALSE)-VLOOKUP(L$5,Coords[],3,FALSE))^2+(VLOOKUP($G40,Coords[],4,FALSE)-VLOOKUP(L$5,Coords[],4,FALSE))^2)))</f>
        <v>1000</v>
      </c>
      <c r="M40" s="10">
        <f>IF($G40=M$5,1000,IF(M$4=0,1000,SQRT((VLOOKUP($G40,Coords[],3,FALSE)-VLOOKUP(M$5,Coords[],3,FALSE))^2+(VLOOKUP($G40,Coords[],4,FALSE)-VLOOKUP(M$5,Coords[],4,FALSE))^2)))</f>
        <v>1000</v>
      </c>
      <c r="N40" s="10">
        <f>IF($G40=N$5,1000,IF(N$4=0,1000,SQRT((VLOOKUP($G40,Coords[],3,FALSE)-VLOOKUP(N$5,Coords[],3,FALSE))^2+(VLOOKUP($G40,Coords[],4,FALSE)-VLOOKUP(N$5,Coords[],4,FALSE))^2)))</f>
        <v>1000</v>
      </c>
      <c r="O40" s="10">
        <f>IF($G40=O$5,1000,IF(O$4=0,1000,SQRT((VLOOKUP($G40,Coords[],3,FALSE)-VLOOKUP(O$5,Coords[],3,FALSE))^2+(VLOOKUP($G40,Coords[],4,FALSE)-VLOOKUP(O$5,Coords[],4,FALSE))^2)))</f>
        <v>31.016124838541646</v>
      </c>
      <c r="P40" s="10">
        <f>IF($G40=P$5,1000,IF(P$4=0,1000,SQRT((VLOOKUP($G40,Coords[],3,FALSE)-VLOOKUP(P$5,Coords[],3,FALSE))^2+(VLOOKUP($G40,Coords[],4,FALSE)-VLOOKUP(P$5,Coords[],4,FALSE))^2)))</f>
        <v>1000</v>
      </c>
      <c r="Q40" s="10">
        <f>IF($G40=Q$5,1000,IF(Q$4=0,1000,SQRT((VLOOKUP($G40,Coords[],3,FALSE)-VLOOKUP(Q$5,Coords[],3,FALSE))^2+(VLOOKUP($G40,Coords[],4,FALSE)-VLOOKUP(Q$5,Coords[],4,FALSE))^2)))</f>
        <v>1000</v>
      </c>
      <c r="R40" s="10">
        <f>IF($G40=R$5,1000,IF(R$4=0,1000,SQRT((VLOOKUP($G40,Coords[],3,FALSE)-VLOOKUP(R$5,Coords[],3,FALSE))^2+(VLOOKUP($G40,Coords[],4,FALSE)-VLOOKUP(R$5,Coords[],4,FALSE))^2)))</f>
        <v>1000</v>
      </c>
      <c r="S40" s="10">
        <f>IF($G40=S$5,1000,IF(S$4=0,1000,SQRT((VLOOKUP($G40,Coords[],3,FALSE)-VLOOKUP(S$5,Coords[],3,FALSE))^2+(VLOOKUP($G40,Coords[],4,FALSE)-VLOOKUP(S$5,Coords[],4,FALSE))^2)))</f>
        <v>1000</v>
      </c>
      <c r="T40" s="10">
        <f>IF($G40=T$5,1000,IF(T$4=0,1000,SQRT((VLOOKUP($G40,Coords[],3,FALSE)-VLOOKUP(T$5,Coords[],3,FALSE))^2+(VLOOKUP($G40,Coords[],4,FALSE)-VLOOKUP(T$5,Coords[],4,FALSE))^2)))</f>
        <v>1000</v>
      </c>
      <c r="U40" s="10">
        <f>IF($G40=U$5,1000,IF(U$4=0,1000,SQRT((VLOOKUP($G40,Coords[],3,FALSE)-VLOOKUP(U$5,Coords[],3,FALSE))^2+(VLOOKUP($G40,Coords[],4,FALSE)-VLOOKUP(U$5,Coords[],4,FALSE))^2)))</f>
        <v>1000</v>
      </c>
      <c r="V40" s="10">
        <f>IF($G40=V$5,1000,IF(V$4=0,1000,SQRT((VLOOKUP($G40,Coords[],3,FALSE)-VLOOKUP(V$5,Coords[],3,FALSE))^2+(VLOOKUP($G40,Coords[],4,FALSE)-VLOOKUP(V$5,Coords[],4,FALSE))^2)))</f>
        <v>1000</v>
      </c>
      <c r="W40" s="10">
        <f>IF($G40=W$5,1000,IF(W$4=0,1000,SQRT((VLOOKUP($G40,Coords[],3,FALSE)-VLOOKUP(W$5,Coords[],3,FALSE))^2+(VLOOKUP($G40,Coords[],4,FALSE)-VLOOKUP(W$5,Coords[],4,FALSE))^2)))</f>
        <v>1000</v>
      </c>
      <c r="X40" s="10">
        <f>IF($G40=X$5,1000,IF(X$4=0,1000,SQRT((VLOOKUP($G40,Coords[],3,FALSE)-VLOOKUP(X$5,Coords[],3,FALSE))^2+(VLOOKUP($G40,Coords[],4,FALSE)-VLOOKUP(X$5,Coords[],4,FALSE))^2)))</f>
        <v>1000</v>
      </c>
      <c r="Y40" s="10">
        <f>IF($G40=Y$5,1000,IF(Y$4=0,1000,SQRT((VLOOKUP($G40,Coords[],3,FALSE)-VLOOKUP(Y$5,Coords[],3,FALSE))^2+(VLOOKUP($G40,Coords[],4,FALSE)-VLOOKUP(Y$5,Coords[],4,FALSE))^2)))</f>
        <v>1000</v>
      </c>
      <c r="Z40" s="10">
        <f>IF($G40=Z$5,1000,IF(Z$4=0,1000,SQRT((VLOOKUP($G40,Coords[],3,FALSE)-VLOOKUP(Z$5,Coords[],3,FALSE))^2+(VLOOKUP($G40,Coords[],4,FALSE)-VLOOKUP(Z$5,Coords[],4,FALSE))^2)))</f>
        <v>1000</v>
      </c>
      <c r="AA40" s="10">
        <f>IF($G40=AA$5,1000,IF(AA$4=0,1000,SQRT((VLOOKUP($G40,Coords[],3,FALSE)-VLOOKUP(AA$5,Coords[],3,FALSE))^2+(VLOOKUP($G40,Coords[],4,FALSE)-VLOOKUP(AA$5,Coords[],4,FALSE))^2)))</f>
        <v>7.0710678118654755</v>
      </c>
      <c r="AB40" s="10">
        <f>IF($G40=AB$5,1000,IF(AB$4=0,1000,SQRT((VLOOKUP($G40,Coords[],3,FALSE)-VLOOKUP(AB$5,Coords[],3,FALSE))^2+(VLOOKUP($G40,Coords[],4,FALSE)-VLOOKUP(AB$5,Coords[],4,FALSE))^2)))</f>
        <v>1000</v>
      </c>
      <c r="AC40" s="10">
        <f>IF($G40=AC$5,1000,IF(AC$4=0,1000,SQRT((VLOOKUP($G40,Coords[],3,FALSE)-VLOOKUP(AC$5,Coords[],3,FALSE))^2+(VLOOKUP($G40,Coords[],4,FALSE)-VLOOKUP(AC$5,Coords[],4,FALSE))^2)))</f>
        <v>1000</v>
      </c>
      <c r="AD40" s="10">
        <f>IF($G40=AD$5,1000,IF(AD$4=0,1000,SQRT((VLOOKUP($G40,Coords[],3,FALSE)-VLOOKUP(AD$5,Coords[],3,FALSE))^2+(VLOOKUP($G40,Coords[],4,FALSE)-VLOOKUP(AD$5,Coords[],4,FALSE))^2)))</f>
        <v>1000</v>
      </c>
      <c r="AE40" s="10">
        <f>IF($G40=AE$5,1000,IF(AE$4=0,1000,SQRT((VLOOKUP($G40,Coords[],3,FALSE)-VLOOKUP(AE$5,Coords[],3,FALSE))^2+(VLOOKUP($G40,Coords[],4,FALSE)-VLOOKUP(AE$5,Coords[],4,FALSE))^2)))</f>
        <v>1000</v>
      </c>
      <c r="AF40" s="10">
        <f>IF($G40=AF$5,1000,IF(AF$4=0,1000,SQRT((VLOOKUP($G40,Coords[],3,FALSE)-VLOOKUP(AF$5,Coords[],3,FALSE))^2+(VLOOKUP($G40,Coords[],4,FALSE)-VLOOKUP(AF$5,Coords[],4,FALSE))^2)))</f>
        <v>1000</v>
      </c>
      <c r="AG40" s="10">
        <f>IF($G40=AG$5,1000,IF(AG$4=0,1000,SQRT((VLOOKUP($G40,Coords[],3,FALSE)-VLOOKUP(AG$5,Coords[],3,FALSE))^2+(VLOOKUP($G40,Coords[],4,FALSE)-VLOOKUP(AG$5,Coords[],4,FALSE))^2)))</f>
        <v>1000</v>
      </c>
      <c r="AH40" s="10">
        <f>IF($G40=AH$5,1000,IF(AH$4=0,1000,SQRT((VLOOKUP($G40,Coords[],3,FALSE)-VLOOKUP(AH$5,Coords[],3,FALSE))^2+(VLOOKUP($G40,Coords[],4,FALSE)-VLOOKUP(AH$5,Coords[],4,FALSE))^2)))</f>
        <v>1000</v>
      </c>
      <c r="AI40" s="10">
        <f>IF($G40=AI$5,1000,IF(AI$4=0,1000,SQRT((VLOOKUP($G40,Coords[],3,FALSE)-VLOOKUP(AI$5,Coords[],3,FALSE))^2+(VLOOKUP($G40,Coords[],4,FALSE)-VLOOKUP(AI$5,Coords[],4,FALSE))^2)))</f>
        <v>1000</v>
      </c>
      <c r="AJ40" s="10">
        <f>IF($G40=AJ$5,1000,IF(AJ$4=0,1000,SQRT((VLOOKUP($G40,Coords[],3,FALSE)-VLOOKUP(AJ$5,Coords[],3,FALSE))^2+(VLOOKUP($G40,Coords[],4,FALSE)-VLOOKUP(AJ$5,Coords[],4,FALSE))^2)))</f>
        <v>15.524174696260024</v>
      </c>
      <c r="AK40" s="10">
        <f>IF($G40=AK$5,1000,IF(AK$4=0,1000,SQRT((VLOOKUP($G40,Coords[],3,FALSE)-VLOOKUP(AK$5,Coords[],3,FALSE))^2+(VLOOKUP($G40,Coords[],4,FALSE)-VLOOKUP(AK$5,Coords[],4,FALSE))^2)))</f>
        <v>1000</v>
      </c>
      <c r="AL40" s="10">
        <f>IF($G40=AL$5,1000,IF(AL$4=0,1000,SQRT((VLOOKUP($G40,Coords[],3,FALSE)-VLOOKUP(AL$5,Coords[],3,FALSE))^2+(VLOOKUP($G40,Coords[],4,FALSE)-VLOOKUP(AL$5,Coords[],4,FALSE))^2)))</f>
        <v>1000</v>
      </c>
      <c r="AM40" s="10">
        <f>IF($G40=AM$5,1000,IF(AM$4=0,1000,SQRT((VLOOKUP($G40,Coords[],3,FALSE)-VLOOKUP(AM$5,Coords[],3,FALSE))^2+(VLOOKUP($G40,Coords[],4,FALSE)-VLOOKUP(AM$5,Coords[],4,FALSE))^2)))</f>
        <v>29.410882339705484</v>
      </c>
      <c r="AN40" s="10">
        <f>IF($G40=AN$5,1000,IF(AN$4=0,1000,SQRT((VLOOKUP($G40,Coords[],3,FALSE)-VLOOKUP(AN$5,Coords[],3,FALSE))^2+(VLOOKUP($G40,Coords[],4,FALSE)-VLOOKUP(AN$5,Coords[],4,FALSE))^2)))</f>
        <v>1000</v>
      </c>
      <c r="AO40" s="10">
        <f>IF($G40=AO$5,1000,IF(AO$4=0,1000,SQRT((VLOOKUP($G40,Coords[],3,FALSE)-VLOOKUP(AO$5,Coords[],3,FALSE))^2+(VLOOKUP($G40,Coords[],4,FALSE)-VLOOKUP(AO$5,Coords[],4,FALSE))^2)))</f>
        <v>1000</v>
      </c>
      <c r="AP40" s="10">
        <f>IF($G40=AP$5,1000,IF(AP$4=0,1000,SQRT((VLOOKUP($G40,Coords[],3,FALSE)-VLOOKUP(AP$5,Coords[],3,FALSE))^2+(VLOOKUP($G40,Coords[],4,FALSE)-VLOOKUP(AP$5,Coords[],4,FALSE))^2)))</f>
        <v>1000</v>
      </c>
      <c r="AQ40" s="10">
        <f>IF($G40=AQ$5,1000,IF(AQ$4=0,1000,SQRT((VLOOKUP($G40,Coords[],3,FALSE)-VLOOKUP(AQ$5,Coords[],3,FALSE))^2+(VLOOKUP($G40,Coords[],4,FALSE)-VLOOKUP(AQ$5,Coords[],4,FALSE))^2)))</f>
        <v>1000</v>
      </c>
      <c r="AR40" s="10">
        <f>IF($G40=AR$5,1000,IF(AR$4=0,1000,SQRT((VLOOKUP($G40,Coords[],3,FALSE)-VLOOKUP(AR$5,Coords[],3,FALSE))^2+(VLOOKUP($G40,Coords[],4,FALSE)-VLOOKUP(AR$5,Coords[],4,FALSE))^2)))</f>
        <v>1000</v>
      </c>
      <c r="AS40" s="10">
        <f>IF($G40=AS$5,1000,IF(AS$4=0,1000,SQRT((VLOOKUP($G40,Coords[],3,FALSE)-VLOOKUP(AS$5,Coords[],3,FALSE))^2+(VLOOKUP($G40,Coords[],4,FALSE)-VLOOKUP(AS$5,Coords[],4,FALSE))^2)))</f>
        <v>1000</v>
      </c>
      <c r="AT40" s="10">
        <f>IF($G40=AT$5,1000,IF(AT$4=0,1000,SQRT((VLOOKUP($G40,Coords[],3,FALSE)-VLOOKUP(AT$5,Coords[],3,FALSE))^2+(VLOOKUP($G40,Coords[],4,FALSE)-VLOOKUP(AT$5,Coords[],4,FALSE))^2)))</f>
        <v>1000</v>
      </c>
      <c r="AU40" s="10">
        <f>IF($G40=AU$5,1000,IF(AU$4=0,1000,SQRT((VLOOKUP($G40,Coords[],3,FALSE)-VLOOKUP(AU$5,Coords[],3,FALSE))^2+(VLOOKUP($G40,Coords[],4,FALSE)-VLOOKUP(AU$5,Coords[],4,FALSE))^2)))</f>
        <v>1000</v>
      </c>
      <c r="AV40" s="10">
        <f>IF($G40=AV$5,1000,IF(AV$4=0,1000,SQRT((VLOOKUP($G40,Coords[],3,FALSE)-VLOOKUP(AV$5,Coords[],3,FALSE))^2+(VLOOKUP($G40,Coords[],4,FALSE)-VLOOKUP(AV$5,Coords[],4,FALSE))^2)))</f>
        <v>1000</v>
      </c>
      <c r="AW40" s="10">
        <f>IF($G40=AW$5,1000,IF(AW$4=0,1000,SQRT((VLOOKUP($G40,Coords[],3,FALSE)-VLOOKUP(AW$5,Coords[],3,FALSE))^2+(VLOOKUP($G40,Coords[],4,FALSE)-VLOOKUP(AW$5,Coords[],4,FALSE))^2)))</f>
        <v>1000</v>
      </c>
      <c r="AX40" s="10">
        <f>IF($G40=AX$5,1000,IF(AX$4=0,1000,SQRT((VLOOKUP($G40,Coords[],3,FALSE)-VLOOKUP(AX$5,Coords[],3,FALSE))^2+(VLOOKUP($G40,Coords[],4,FALSE)-VLOOKUP(AX$5,Coords[],4,FALSE))^2)))</f>
        <v>1000</v>
      </c>
      <c r="AY40" s="10">
        <f>IF($G40=AY$5,1000,IF(AY$4=0,1000,SQRT((VLOOKUP($G40,Coords[],3,FALSE)-VLOOKUP(AY$5,Coords[],3,FALSE))^2+(VLOOKUP($G40,Coords[],4,FALSE)-VLOOKUP(AY$5,Coords[],4,FALSE))^2)))</f>
        <v>1000</v>
      </c>
      <c r="AZ40" s="10">
        <f>IF($G40=AZ$5,1000,IF(AZ$4=0,1000,SQRT((VLOOKUP($G40,Coords[],3,FALSE)-VLOOKUP(AZ$5,Coords[],3,FALSE))^2+(VLOOKUP($G40,Coords[],4,FALSE)-VLOOKUP(AZ$5,Coords[],4,FALSE))^2)))</f>
        <v>1000</v>
      </c>
      <c r="BA40" s="10">
        <f>IF($G40=BA$5,1000,IF(BA$4=0,1000,SQRT((VLOOKUP($G40,Coords[],3,FALSE)-VLOOKUP(BA$5,Coords[],3,FALSE))^2+(VLOOKUP($G40,Coords[],4,FALSE)-VLOOKUP(BA$5,Coords[],4,FALSE))^2)))</f>
        <v>1000</v>
      </c>
      <c r="BB40" s="10">
        <f>IF($G40=BB$5,1000,IF(BB$4=0,1000,SQRT((VLOOKUP($G40,Coords[],3,FALSE)-VLOOKUP(BB$5,Coords[],3,FALSE))^2+(VLOOKUP($G40,Coords[],4,FALSE)-VLOOKUP(BB$5,Coords[],4,FALSE))^2)))</f>
        <v>1000</v>
      </c>
      <c r="BC40" s="10">
        <f>IF($G40=BC$5,1000,IF(BC$4=0,1000,SQRT((VLOOKUP($G40,Coords[],3,FALSE)-VLOOKUP(BC$5,Coords[],3,FALSE))^2+(VLOOKUP($G40,Coords[],4,FALSE)-VLOOKUP(BC$5,Coords[],4,FALSE))^2)))</f>
        <v>1000</v>
      </c>
      <c r="BD40" s="10">
        <f>IF($G40=BD$5,1000,IF(BD$4=0,1000,SQRT((VLOOKUP($G40,Coords[],3,FALSE)-VLOOKUP(BD$5,Coords[],3,FALSE))^2+(VLOOKUP($G40,Coords[],4,FALSE)-VLOOKUP(BD$5,Coords[],4,FALSE))^2)))</f>
        <v>1000</v>
      </c>
      <c r="BE40" s="10">
        <f>IF($G40=BE$5,1000,IF(BE$4=0,1000,SQRT((VLOOKUP($G40,Coords[],3,FALSE)-VLOOKUP(BE$5,Coords[],3,FALSE))^2+(VLOOKUP($G40,Coords[],4,FALSE)-VLOOKUP(BE$5,Coords[],4,FALSE))^2)))</f>
        <v>1000</v>
      </c>
      <c r="BF40" s="10">
        <f>IF($G40=BF$5,1000,IF(BF$4=0,1000,SQRT((VLOOKUP($G40,Coords[],3,FALSE)-VLOOKUP(BF$5,Coords[],3,FALSE))^2+(VLOOKUP($G40,Coords[],4,FALSE)-VLOOKUP(BF$5,Coords[],4,FALSE))^2)))</f>
        <v>1000</v>
      </c>
      <c r="BG40" s="4">
        <v>35</v>
      </c>
      <c r="BI40" s="5">
        <f>IF(E40=1,0,VLOOKUP($G40,$G$6:$BF$57,HLOOKUP(MIN(H40:BF40),$H40:$BF$57,((COUNT($G$6:$G$56)+2)-$G40),FALSE),FALSE)*B40)</f>
        <v>113.13708498984761</v>
      </c>
      <c r="BJ40" s="9">
        <f>VLOOKUP($G40,$G$6:$BF$57,HLOOKUP(MIN(H40:BF40),$H40:$BF$57,((COUNT($G$6:$G$56)+2)-$G40),FALSE),FALSE)</f>
        <v>7.0710678118654755</v>
      </c>
      <c r="BK40" s="7">
        <f>HLOOKUP(MIN(H40:BF40),$H40:$BF$57,((COUNT($G$6:$G$56)+2)-$G40),FALSE)</f>
        <v>21</v>
      </c>
      <c r="BL40">
        <f>BJ40*Coords[[#This Row],[Demand]]</f>
        <v>113.13708498984761</v>
      </c>
      <c r="BN40">
        <v>35</v>
      </c>
      <c r="BO40">
        <v>7779.2126269355431</v>
      </c>
      <c r="BP40">
        <v>11709.69377159758</v>
      </c>
    </row>
    <row r="41" spans="1:68" x14ac:dyDescent="0.25">
      <c r="A41" s="8">
        <v>36</v>
      </c>
      <c r="B41" s="3">
        <v>9</v>
      </c>
      <c r="C41" s="3">
        <v>63</v>
      </c>
      <c r="D41" s="3">
        <v>69</v>
      </c>
      <c r="E41">
        <v>0</v>
      </c>
      <c r="G41" s="4">
        <v>36</v>
      </c>
      <c r="H41" s="10">
        <f>IF($G41=H$5,1000,IF(H$4=0,1000,SQRT((VLOOKUP($G41,Coords[],3,FALSE)-VLOOKUP(H$5,Coords[],3,FALSE))^2+(VLOOKUP($G41,Coords[],4,FALSE)-VLOOKUP(H$5,Coords[],4,FALSE))^2)))</f>
        <v>1000</v>
      </c>
      <c r="I41" s="10">
        <f>IF($G41=I$5,1000,IF(I$4=0,1000,SQRT((VLOOKUP($G41,Coords[],3,FALSE)-VLOOKUP(I$5,Coords[],3,FALSE))^2+(VLOOKUP($G41,Coords[],4,FALSE)-VLOOKUP(I$5,Coords[],4,FALSE))^2)))</f>
        <v>1000</v>
      </c>
      <c r="J41" s="10">
        <f>IF($G41=J$5,1000,IF(J$4=0,1000,SQRT((VLOOKUP($G41,Coords[],3,FALSE)-VLOOKUP(J$5,Coords[],3,FALSE))^2+(VLOOKUP($G41,Coords[],4,FALSE)-VLOOKUP(J$5,Coords[],4,FALSE))^2)))</f>
        <v>1000</v>
      </c>
      <c r="K41" s="10">
        <f>IF($G41=K$5,1000,IF(K$4=0,1000,SQRT((VLOOKUP($G41,Coords[],3,FALSE)-VLOOKUP(K$5,Coords[],3,FALSE))^2+(VLOOKUP($G41,Coords[],4,FALSE)-VLOOKUP(K$5,Coords[],4,FALSE))^2)))</f>
        <v>1000</v>
      </c>
      <c r="L41" s="10">
        <f>IF($G41=L$5,1000,IF(L$4=0,1000,SQRT((VLOOKUP($G41,Coords[],3,FALSE)-VLOOKUP(L$5,Coords[],3,FALSE))^2+(VLOOKUP($G41,Coords[],4,FALSE)-VLOOKUP(L$5,Coords[],4,FALSE))^2)))</f>
        <v>1000</v>
      </c>
      <c r="M41" s="10">
        <f>IF($G41=M$5,1000,IF(M$4=0,1000,SQRT((VLOOKUP($G41,Coords[],3,FALSE)-VLOOKUP(M$5,Coords[],3,FALSE))^2+(VLOOKUP($G41,Coords[],4,FALSE)-VLOOKUP(M$5,Coords[],4,FALSE))^2)))</f>
        <v>1000</v>
      </c>
      <c r="N41" s="10">
        <f>IF($G41=N$5,1000,IF(N$4=0,1000,SQRT((VLOOKUP($G41,Coords[],3,FALSE)-VLOOKUP(N$5,Coords[],3,FALSE))^2+(VLOOKUP($G41,Coords[],4,FALSE)-VLOOKUP(N$5,Coords[],4,FALSE))^2)))</f>
        <v>1000</v>
      </c>
      <c r="O41" s="10">
        <f>IF($G41=O$5,1000,IF(O$4=0,1000,SQRT((VLOOKUP($G41,Coords[],3,FALSE)-VLOOKUP(O$5,Coords[],3,FALSE))^2+(VLOOKUP($G41,Coords[],4,FALSE)-VLOOKUP(O$5,Coords[],4,FALSE))^2)))</f>
        <v>32.756678708318397</v>
      </c>
      <c r="P41" s="10">
        <f>IF($G41=P$5,1000,IF(P$4=0,1000,SQRT((VLOOKUP($G41,Coords[],3,FALSE)-VLOOKUP(P$5,Coords[],3,FALSE))^2+(VLOOKUP($G41,Coords[],4,FALSE)-VLOOKUP(P$5,Coords[],4,FALSE))^2)))</f>
        <v>1000</v>
      </c>
      <c r="Q41" s="10">
        <f>IF($G41=Q$5,1000,IF(Q$4=0,1000,SQRT((VLOOKUP($G41,Coords[],3,FALSE)-VLOOKUP(Q$5,Coords[],3,FALSE))^2+(VLOOKUP($G41,Coords[],4,FALSE)-VLOOKUP(Q$5,Coords[],4,FALSE))^2)))</f>
        <v>1000</v>
      </c>
      <c r="R41" s="10">
        <f>IF($G41=R$5,1000,IF(R$4=0,1000,SQRT((VLOOKUP($G41,Coords[],3,FALSE)-VLOOKUP(R$5,Coords[],3,FALSE))^2+(VLOOKUP($G41,Coords[],4,FALSE)-VLOOKUP(R$5,Coords[],4,FALSE))^2)))</f>
        <v>1000</v>
      </c>
      <c r="S41" s="10">
        <f>IF($G41=S$5,1000,IF(S$4=0,1000,SQRT((VLOOKUP($G41,Coords[],3,FALSE)-VLOOKUP(S$5,Coords[],3,FALSE))^2+(VLOOKUP($G41,Coords[],4,FALSE)-VLOOKUP(S$5,Coords[],4,FALSE))^2)))</f>
        <v>1000</v>
      </c>
      <c r="T41" s="10">
        <f>IF($G41=T$5,1000,IF(T$4=0,1000,SQRT((VLOOKUP($G41,Coords[],3,FALSE)-VLOOKUP(T$5,Coords[],3,FALSE))^2+(VLOOKUP($G41,Coords[],4,FALSE)-VLOOKUP(T$5,Coords[],4,FALSE))^2)))</f>
        <v>1000</v>
      </c>
      <c r="U41" s="10">
        <f>IF($G41=U$5,1000,IF(U$4=0,1000,SQRT((VLOOKUP($G41,Coords[],3,FALSE)-VLOOKUP(U$5,Coords[],3,FALSE))^2+(VLOOKUP($G41,Coords[],4,FALSE)-VLOOKUP(U$5,Coords[],4,FALSE))^2)))</f>
        <v>1000</v>
      </c>
      <c r="V41" s="10">
        <f>IF($G41=V$5,1000,IF(V$4=0,1000,SQRT((VLOOKUP($G41,Coords[],3,FALSE)-VLOOKUP(V$5,Coords[],3,FALSE))^2+(VLOOKUP($G41,Coords[],4,FALSE)-VLOOKUP(V$5,Coords[],4,FALSE))^2)))</f>
        <v>1000</v>
      </c>
      <c r="W41" s="10">
        <f>IF($G41=W$5,1000,IF(W$4=0,1000,SQRT((VLOOKUP($G41,Coords[],3,FALSE)-VLOOKUP(W$5,Coords[],3,FALSE))^2+(VLOOKUP($G41,Coords[],4,FALSE)-VLOOKUP(W$5,Coords[],4,FALSE))^2)))</f>
        <v>1000</v>
      </c>
      <c r="X41" s="10">
        <f>IF($G41=X$5,1000,IF(X$4=0,1000,SQRT((VLOOKUP($G41,Coords[],3,FALSE)-VLOOKUP(X$5,Coords[],3,FALSE))^2+(VLOOKUP($G41,Coords[],4,FALSE)-VLOOKUP(X$5,Coords[],4,FALSE))^2)))</f>
        <v>1000</v>
      </c>
      <c r="Y41" s="10">
        <f>IF($G41=Y$5,1000,IF(Y$4=0,1000,SQRT((VLOOKUP($G41,Coords[],3,FALSE)-VLOOKUP(Y$5,Coords[],3,FALSE))^2+(VLOOKUP($G41,Coords[],4,FALSE)-VLOOKUP(Y$5,Coords[],4,FALSE))^2)))</f>
        <v>1000</v>
      </c>
      <c r="Z41" s="10">
        <f>IF($G41=Z$5,1000,IF(Z$4=0,1000,SQRT((VLOOKUP($G41,Coords[],3,FALSE)-VLOOKUP(Z$5,Coords[],3,FALSE))^2+(VLOOKUP($G41,Coords[],4,FALSE)-VLOOKUP(Z$5,Coords[],4,FALSE))^2)))</f>
        <v>1000</v>
      </c>
      <c r="AA41" s="10">
        <f>IF($G41=AA$5,1000,IF(AA$4=0,1000,SQRT((VLOOKUP($G41,Coords[],3,FALSE)-VLOOKUP(AA$5,Coords[],3,FALSE))^2+(VLOOKUP($G41,Coords[],4,FALSE)-VLOOKUP(AA$5,Coords[],4,FALSE))^2)))</f>
        <v>12.529964086141668</v>
      </c>
      <c r="AB41" s="10">
        <f>IF($G41=AB$5,1000,IF(AB$4=0,1000,SQRT((VLOOKUP($G41,Coords[],3,FALSE)-VLOOKUP(AB$5,Coords[],3,FALSE))^2+(VLOOKUP($G41,Coords[],4,FALSE)-VLOOKUP(AB$5,Coords[],4,FALSE))^2)))</f>
        <v>1000</v>
      </c>
      <c r="AC41" s="10">
        <f>IF($G41=AC$5,1000,IF(AC$4=0,1000,SQRT((VLOOKUP($G41,Coords[],3,FALSE)-VLOOKUP(AC$5,Coords[],3,FALSE))^2+(VLOOKUP($G41,Coords[],4,FALSE)-VLOOKUP(AC$5,Coords[],4,FALSE))^2)))</f>
        <v>1000</v>
      </c>
      <c r="AD41" s="10">
        <f>IF($G41=AD$5,1000,IF(AD$4=0,1000,SQRT((VLOOKUP($G41,Coords[],3,FALSE)-VLOOKUP(AD$5,Coords[],3,FALSE))^2+(VLOOKUP($G41,Coords[],4,FALSE)-VLOOKUP(AD$5,Coords[],4,FALSE))^2)))</f>
        <v>1000</v>
      </c>
      <c r="AE41" s="10">
        <f>IF($G41=AE$5,1000,IF(AE$4=0,1000,SQRT((VLOOKUP($G41,Coords[],3,FALSE)-VLOOKUP(AE$5,Coords[],3,FALSE))^2+(VLOOKUP($G41,Coords[],4,FALSE)-VLOOKUP(AE$5,Coords[],4,FALSE))^2)))</f>
        <v>1000</v>
      </c>
      <c r="AF41" s="10">
        <f>IF($G41=AF$5,1000,IF(AF$4=0,1000,SQRT((VLOOKUP($G41,Coords[],3,FALSE)-VLOOKUP(AF$5,Coords[],3,FALSE))^2+(VLOOKUP($G41,Coords[],4,FALSE)-VLOOKUP(AF$5,Coords[],4,FALSE))^2)))</f>
        <v>1000</v>
      </c>
      <c r="AG41" s="10">
        <f>IF($G41=AG$5,1000,IF(AG$4=0,1000,SQRT((VLOOKUP($G41,Coords[],3,FALSE)-VLOOKUP(AG$5,Coords[],3,FALSE))^2+(VLOOKUP($G41,Coords[],4,FALSE)-VLOOKUP(AG$5,Coords[],4,FALSE))^2)))</f>
        <v>1000</v>
      </c>
      <c r="AH41" s="10">
        <f>IF($G41=AH$5,1000,IF(AH$4=0,1000,SQRT((VLOOKUP($G41,Coords[],3,FALSE)-VLOOKUP(AH$5,Coords[],3,FALSE))^2+(VLOOKUP($G41,Coords[],4,FALSE)-VLOOKUP(AH$5,Coords[],4,FALSE))^2)))</f>
        <v>1000</v>
      </c>
      <c r="AI41" s="10">
        <f>IF($G41=AI$5,1000,IF(AI$4=0,1000,SQRT((VLOOKUP($G41,Coords[],3,FALSE)-VLOOKUP(AI$5,Coords[],3,FALSE))^2+(VLOOKUP($G41,Coords[],4,FALSE)-VLOOKUP(AI$5,Coords[],4,FALSE))^2)))</f>
        <v>1000</v>
      </c>
      <c r="AJ41" s="10">
        <f>IF($G41=AJ$5,1000,IF(AJ$4=0,1000,SQRT((VLOOKUP($G41,Coords[],3,FALSE)-VLOOKUP(AJ$5,Coords[],3,FALSE))^2+(VLOOKUP($G41,Coords[],4,FALSE)-VLOOKUP(AJ$5,Coords[],4,FALSE))^2)))</f>
        <v>21.587033144922902</v>
      </c>
      <c r="AK41" s="10">
        <f>IF($G41=AK$5,1000,IF(AK$4=0,1000,SQRT((VLOOKUP($G41,Coords[],3,FALSE)-VLOOKUP(AK$5,Coords[],3,FALSE))^2+(VLOOKUP($G41,Coords[],4,FALSE)-VLOOKUP(AK$5,Coords[],4,FALSE))^2)))</f>
        <v>1000</v>
      </c>
      <c r="AL41" s="10">
        <f>IF($G41=AL$5,1000,IF(AL$4=0,1000,SQRT((VLOOKUP($G41,Coords[],3,FALSE)-VLOOKUP(AL$5,Coords[],3,FALSE))^2+(VLOOKUP($G41,Coords[],4,FALSE)-VLOOKUP(AL$5,Coords[],4,FALSE))^2)))</f>
        <v>1000</v>
      </c>
      <c r="AM41" s="10">
        <f>IF($G41=AM$5,1000,IF(AM$4=0,1000,SQRT((VLOOKUP($G41,Coords[],3,FALSE)-VLOOKUP(AM$5,Coords[],3,FALSE))^2+(VLOOKUP($G41,Coords[],4,FALSE)-VLOOKUP(AM$5,Coords[],4,FALSE))^2)))</f>
        <v>33.97057550292606</v>
      </c>
      <c r="AN41" s="10">
        <f>IF($G41=AN$5,1000,IF(AN$4=0,1000,SQRT((VLOOKUP($G41,Coords[],3,FALSE)-VLOOKUP(AN$5,Coords[],3,FALSE))^2+(VLOOKUP($G41,Coords[],4,FALSE)-VLOOKUP(AN$5,Coords[],4,FALSE))^2)))</f>
        <v>1000</v>
      </c>
      <c r="AO41" s="10">
        <f>IF($G41=AO$5,1000,IF(AO$4=0,1000,SQRT((VLOOKUP($G41,Coords[],3,FALSE)-VLOOKUP(AO$5,Coords[],3,FALSE))^2+(VLOOKUP($G41,Coords[],4,FALSE)-VLOOKUP(AO$5,Coords[],4,FALSE))^2)))</f>
        <v>1000</v>
      </c>
      <c r="AP41" s="10">
        <f>IF($G41=AP$5,1000,IF(AP$4=0,1000,SQRT((VLOOKUP($G41,Coords[],3,FALSE)-VLOOKUP(AP$5,Coords[],3,FALSE))^2+(VLOOKUP($G41,Coords[],4,FALSE)-VLOOKUP(AP$5,Coords[],4,FALSE))^2)))</f>
        <v>1000</v>
      </c>
      <c r="AQ41" s="10">
        <f>IF($G41=AQ$5,1000,IF(AQ$4=0,1000,SQRT((VLOOKUP($G41,Coords[],3,FALSE)-VLOOKUP(AQ$5,Coords[],3,FALSE))^2+(VLOOKUP($G41,Coords[],4,FALSE)-VLOOKUP(AQ$5,Coords[],4,FALSE))^2)))</f>
        <v>1000</v>
      </c>
      <c r="AR41" s="10">
        <f>IF($G41=AR$5,1000,IF(AR$4=0,1000,SQRT((VLOOKUP($G41,Coords[],3,FALSE)-VLOOKUP(AR$5,Coords[],3,FALSE))^2+(VLOOKUP($G41,Coords[],4,FALSE)-VLOOKUP(AR$5,Coords[],4,FALSE))^2)))</f>
        <v>1000</v>
      </c>
      <c r="AS41" s="10">
        <f>IF($G41=AS$5,1000,IF(AS$4=0,1000,SQRT((VLOOKUP($G41,Coords[],3,FALSE)-VLOOKUP(AS$5,Coords[],3,FALSE))^2+(VLOOKUP($G41,Coords[],4,FALSE)-VLOOKUP(AS$5,Coords[],4,FALSE))^2)))</f>
        <v>1000</v>
      </c>
      <c r="AT41" s="10">
        <f>IF($G41=AT$5,1000,IF(AT$4=0,1000,SQRT((VLOOKUP($G41,Coords[],3,FALSE)-VLOOKUP(AT$5,Coords[],3,FALSE))^2+(VLOOKUP($G41,Coords[],4,FALSE)-VLOOKUP(AT$5,Coords[],4,FALSE))^2)))</f>
        <v>1000</v>
      </c>
      <c r="AU41" s="10">
        <f>IF($G41=AU$5,1000,IF(AU$4=0,1000,SQRT((VLOOKUP($G41,Coords[],3,FALSE)-VLOOKUP(AU$5,Coords[],3,FALSE))^2+(VLOOKUP($G41,Coords[],4,FALSE)-VLOOKUP(AU$5,Coords[],4,FALSE))^2)))</f>
        <v>1000</v>
      </c>
      <c r="AV41" s="10">
        <f>IF($G41=AV$5,1000,IF(AV$4=0,1000,SQRT((VLOOKUP($G41,Coords[],3,FALSE)-VLOOKUP(AV$5,Coords[],3,FALSE))^2+(VLOOKUP($G41,Coords[],4,FALSE)-VLOOKUP(AV$5,Coords[],4,FALSE))^2)))</f>
        <v>1000</v>
      </c>
      <c r="AW41" s="10">
        <f>IF($G41=AW$5,1000,IF(AW$4=0,1000,SQRT((VLOOKUP($G41,Coords[],3,FALSE)-VLOOKUP(AW$5,Coords[],3,FALSE))^2+(VLOOKUP($G41,Coords[],4,FALSE)-VLOOKUP(AW$5,Coords[],4,FALSE))^2)))</f>
        <v>1000</v>
      </c>
      <c r="AX41" s="10">
        <f>IF($G41=AX$5,1000,IF(AX$4=0,1000,SQRT((VLOOKUP($G41,Coords[],3,FALSE)-VLOOKUP(AX$5,Coords[],3,FALSE))^2+(VLOOKUP($G41,Coords[],4,FALSE)-VLOOKUP(AX$5,Coords[],4,FALSE))^2)))</f>
        <v>1000</v>
      </c>
      <c r="AY41" s="10">
        <f>IF($G41=AY$5,1000,IF(AY$4=0,1000,SQRT((VLOOKUP($G41,Coords[],3,FALSE)-VLOOKUP(AY$5,Coords[],3,FALSE))^2+(VLOOKUP($G41,Coords[],4,FALSE)-VLOOKUP(AY$5,Coords[],4,FALSE))^2)))</f>
        <v>1000</v>
      </c>
      <c r="AZ41" s="10">
        <f>IF($G41=AZ$5,1000,IF(AZ$4=0,1000,SQRT((VLOOKUP($G41,Coords[],3,FALSE)-VLOOKUP(AZ$5,Coords[],3,FALSE))^2+(VLOOKUP($G41,Coords[],4,FALSE)-VLOOKUP(AZ$5,Coords[],4,FALSE))^2)))</f>
        <v>1000</v>
      </c>
      <c r="BA41" s="10">
        <f>IF($G41=BA$5,1000,IF(BA$4=0,1000,SQRT((VLOOKUP($G41,Coords[],3,FALSE)-VLOOKUP(BA$5,Coords[],3,FALSE))^2+(VLOOKUP($G41,Coords[],4,FALSE)-VLOOKUP(BA$5,Coords[],4,FALSE))^2)))</f>
        <v>1000</v>
      </c>
      <c r="BB41" s="10">
        <f>IF($G41=BB$5,1000,IF(BB$4=0,1000,SQRT((VLOOKUP($G41,Coords[],3,FALSE)-VLOOKUP(BB$5,Coords[],3,FALSE))^2+(VLOOKUP($G41,Coords[],4,FALSE)-VLOOKUP(BB$5,Coords[],4,FALSE))^2)))</f>
        <v>1000</v>
      </c>
      <c r="BC41" s="10">
        <f>IF($G41=BC$5,1000,IF(BC$4=0,1000,SQRT((VLOOKUP($G41,Coords[],3,FALSE)-VLOOKUP(BC$5,Coords[],3,FALSE))^2+(VLOOKUP($G41,Coords[],4,FALSE)-VLOOKUP(BC$5,Coords[],4,FALSE))^2)))</f>
        <v>1000</v>
      </c>
      <c r="BD41" s="10">
        <f>IF($G41=BD$5,1000,IF(BD$4=0,1000,SQRT((VLOOKUP($G41,Coords[],3,FALSE)-VLOOKUP(BD$5,Coords[],3,FALSE))^2+(VLOOKUP($G41,Coords[],4,FALSE)-VLOOKUP(BD$5,Coords[],4,FALSE))^2)))</f>
        <v>1000</v>
      </c>
      <c r="BE41" s="10">
        <f>IF($G41=BE$5,1000,IF(BE$4=0,1000,SQRT((VLOOKUP($G41,Coords[],3,FALSE)-VLOOKUP(BE$5,Coords[],3,FALSE))^2+(VLOOKUP($G41,Coords[],4,FALSE)-VLOOKUP(BE$5,Coords[],4,FALSE))^2)))</f>
        <v>1000</v>
      </c>
      <c r="BF41" s="10">
        <f>IF($G41=BF$5,1000,IF(BF$4=0,1000,SQRT((VLOOKUP($G41,Coords[],3,FALSE)-VLOOKUP(BF$5,Coords[],3,FALSE))^2+(VLOOKUP($G41,Coords[],4,FALSE)-VLOOKUP(BF$5,Coords[],4,FALSE))^2)))</f>
        <v>1000</v>
      </c>
      <c r="BG41" s="4">
        <v>36</v>
      </c>
      <c r="BI41" s="5">
        <f>IF(E41=1,0,VLOOKUP($G41,$G$6:$BF$57,HLOOKUP(MIN(H41:BF41),$H41:$BF$57,((COUNT($G$6:$G$56)+2)-$G41),FALSE),FALSE)*B41)</f>
        <v>112.769676775275</v>
      </c>
      <c r="BJ41" s="9">
        <f>VLOOKUP($G41,$G$6:$BF$57,HLOOKUP(MIN(H41:BF41),$H41:$BF$57,((COUNT($G$6:$G$56)+2)-$G41),FALSE),FALSE)</f>
        <v>12.529964086141668</v>
      </c>
      <c r="BK41" s="7">
        <f>HLOOKUP(MIN(H41:BF41),$H41:$BF$57,((COUNT($G$6:$G$56)+2)-$G41),FALSE)</f>
        <v>21</v>
      </c>
      <c r="BL41">
        <f>BJ41*Coords[[#This Row],[Demand]]</f>
        <v>112.769676775275</v>
      </c>
      <c r="BN41">
        <v>36</v>
      </c>
      <c r="BO41">
        <v>7779.2126269355431</v>
      </c>
      <c r="BP41">
        <v>11720.887399540847</v>
      </c>
    </row>
    <row r="42" spans="1:68" x14ac:dyDescent="0.25">
      <c r="A42" s="8">
        <v>37</v>
      </c>
      <c r="B42" s="3">
        <v>12</v>
      </c>
      <c r="C42" s="3">
        <v>32</v>
      </c>
      <c r="D42" s="3">
        <v>22</v>
      </c>
      <c r="E42">
        <v>0</v>
      </c>
      <c r="G42" s="4">
        <v>37</v>
      </c>
      <c r="H42" s="10">
        <f>IF($G42=H$5,1000,IF(H$4=0,1000,SQRT((VLOOKUP($G42,Coords[],3,FALSE)-VLOOKUP(H$5,Coords[],3,FALSE))^2+(VLOOKUP($G42,Coords[],4,FALSE)-VLOOKUP(H$5,Coords[],4,FALSE))^2)))</f>
        <v>1000</v>
      </c>
      <c r="I42" s="10">
        <f>IF($G42=I$5,1000,IF(I$4=0,1000,SQRT((VLOOKUP($G42,Coords[],3,FALSE)-VLOOKUP(I$5,Coords[],3,FALSE))^2+(VLOOKUP($G42,Coords[],4,FALSE)-VLOOKUP(I$5,Coords[],4,FALSE))^2)))</f>
        <v>1000</v>
      </c>
      <c r="J42" s="10">
        <f>IF($G42=J$5,1000,IF(J$4=0,1000,SQRT((VLOOKUP($G42,Coords[],3,FALSE)-VLOOKUP(J$5,Coords[],3,FALSE))^2+(VLOOKUP($G42,Coords[],4,FALSE)-VLOOKUP(J$5,Coords[],4,FALSE))^2)))</f>
        <v>1000</v>
      </c>
      <c r="K42" s="10">
        <f>IF($G42=K$5,1000,IF(K$4=0,1000,SQRT((VLOOKUP($G42,Coords[],3,FALSE)-VLOOKUP(K$5,Coords[],3,FALSE))^2+(VLOOKUP($G42,Coords[],4,FALSE)-VLOOKUP(K$5,Coords[],4,FALSE))^2)))</f>
        <v>1000</v>
      </c>
      <c r="L42" s="10">
        <f>IF($G42=L$5,1000,IF(L$4=0,1000,SQRT((VLOOKUP($G42,Coords[],3,FALSE)-VLOOKUP(L$5,Coords[],3,FALSE))^2+(VLOOKUP($G42,Coords[],4,FALSE)-VLOOKUP(L$5,Coords[],4,FALSE))^2)))</f>
        <v>1000</v>
      </c>
      <c r="M42" s="10">
        <f>IF($G42=M$5,1000,IF(M$4=0,1000,SQRT((VLOOKUP($G42,Coords[],3,FALSE)-VLOOKUP(M$5,Coords[],3,FALSE))^2+(VLOOKUP($G42,Coords[],4,FALSE)-VLOOKUP(M$5,Coords[],4,FALSE))^2)))</f>
        <v>1000</v>
      </c>
      <c r="N42" s="10">
        <f>IF($G42=N$5,1000,IF(N$4=0,1000,SQRT((VLOOKUP($G42,Coords[],3,FALSE)-VLOOKUP(N$5,Coords[],3,FALSE))^2+(VLOOKUP($G42,Coords[],4,FALSE)-VLOOKUP(N$5,Coords[],4,FALSE))^2)))</f>
        <v>1000</v>
      </c>
      <c r="O42" s="10">
        <f>IF($G42=O$5,1000,IF(O$4=0,1000,SQRT((VLOOKUP($G42,Coords[],3,FALSE)-VLOOKUP(O$5,Coords[],3,FALSE))^2+(VLOOKUP($G42,Coords[],4,FALSE)-VLOOKUP(O$5,Coords[],4,FALSE))^2)))</f>
        <v>40.01249804748511</v>
      </c>
      <c r="P42" s="10">
        <f>IF($G42=P$5,1000,IF(P$4=0,1000,SQRT((VLOOKUP($G42,Coords[],3,FALSE)-VLOOKUP(P$5,Coords[],3,FALSE))^2+(VLOOKUP($G42,Coords[],4,FALSE)-VLOOKUP(P$5,Coords[],4,FALSE))^2)))</f>
        <v>1000</v>
      </c>
      <c r="Q42" s="10">
        <f>IF($G42=Q$5,1000,IF(Q$4=0,1000,SQRT((VLOOKUP($G42,Coords[],3,FALSE)-VLOOKUP(Q$5,Coords[],3,FALSE))^2+(VLOOKUP($G42,Coords[],4,FALSE)-VLOOKUP(Q$5,Coords[],4,FALSE))^2)))</f>
        <v>1000</v>
      </c>
      <c r="R42" s="10">
        <f>IF($G42=R$5,1000,IF(R$4=0,1000,SQRT((VLOOKUP($G42,Coords[],3,FALSE)-VLOOKUP(R$5,Coords[],3,FALSE))^2+(VLOOKUP($G42,Coords[],4,FALSE)-VLOOKUP(R$5,Coords[],4,FALSE))^2)))</f>
        <v>1000</v>
      </c>
      <c r="S42" s="10">
        <f>IF($G42=S$5,1000,IF(S$4=0,1000,SQRT((VLOOKUP($G42,Coords[],3,FALSE)-VLOOKUP(S$5,Coords[],3,FALSE))^2+(VLOOKUP($G42,Coords[],4,FALSE)-VLOOKUP(S$5,Coords[],4,FALSE))^2)))</f>
        <v>1000</v>
      </c>
      <c r="T42" s="10">
        <f>IF($G42=T$5,1000,IF(T$4=0,1000,SQRT((VLOOKUP($G42,Coords[],3,FALSE)-VLOOKUP(T$5,Coords[],3,FALSE))^2+(VLOOKUP($G42,Coords[],4,FALSE)-VLOOKUP(T$5,Coords[],4,FALSE))^2)))</f>
        <v>1000</v>
      </c>
      <c r="U42" s="10">
        <f>IF($G42=U$5,1000,IF(U$4=0,1000,SQRT((VLOOKUP($G42,Coords[],3,FALSE)-VLOOKUP(U$5,Coords[],3,FALSE))^2+(VLOOKUP($G42,Coords[],4,FALSE)-VLOOKUP(U$5,Coords[],4,FALSE))^2)))</f>
        <v>1000</v>
      </c>
      <c r="V42" s="10">
        <f>IF($G42=V$5,1000,IF(V$4=0,1000,SQRT((VLOOKUP($G42,Coords[],3,FALSE)-VLOOKUP(V$5,Coords[],3,FALSE))^2+(VLOOKUP($G42,Coords[],4,FALSE)-VLOOKUP(V$5,Coords[],4,FALSE))^2)))</f>
        <v>1000</v>
      </c>
      <c r="W42" s="10">
        <f>IF($G42=W$5,1000,IF(W$4=0,1000,SQRT((VLOOKUP($G42,Coords[],3,FALSE)-VLOOKUP(W$5,Coords[],3,FALSE))^2+(VLOOKUP($G42,Coords[],4,FALSE)-VLOOKUP(W$5,Coords[],4,FALSE))^2)))</f>
        <v>1000</v>
      </c>
      <c r="X42" s="10">
        <f>IF($G42=X$5,1000,IF(X$4=0,1000,SQRT((VLOOKUP($G42,Coords[],3,FALSE)-VLOOKUP(X$5,Coords[],3,FALSE))^2+(VLOOKUP($G42,Coords[],4,FALSE)-VLOOKUP(X$5,Coords[],4,FALSE))^2)))</f>
        <v>1000</v>
      </c>
      <c r="Y42" s="10">
        <f>IF($G42=Y$5,1000,IF(Y$4=0,1000,SQRT((VLOOKUP($G42,Coords[],3,FALSE)-VLOOKUP(Y$5,Coords[],3,FALSE))^2+(VLOOKUP($G42,Coords[],4,FALSE)-VLOOKUP(Y$5,Coords[],4,FALSE))^2)))</f>
        <v>1000</v>
      </c>
      <c r="Z42" s="10">
        <f>IF($G42=Z$5,1000,IF(Z$4=0,1000,SQRT((VLOOKUP($G42,Coords[],3,FALSE)-VLOOKUP(Z$5,Coords[],3,FALSE))^2+(VLOOKUP($G42,Coords[],4,FALSE)-VLOOKUP(Z$5,Coords[],4,FALSE))^2)))</f>
        <v>1000</v>
      </c>
      <c r="AA42" s="10">
        <f>IF($G42=AA$5,1000,IF(AA$4=0,1000,SQRT((VLOOKUP($G42,Coords[],3,FALSE)-VLOOKUP(AA$5,Coords[],3,FALSE))^2+(VLOOKUP($G42,Coords[],4,FALSE)-VLOOKUP(AA$5,Coords[],4,FALSE))^2)))</f>
        <v>43.829214001622255</v>
      </c>
      <c r="AB42" s="10">
        <f>IF($G42=AB$5,1000,IF(AB$4=0,1000,SQRT((VLOOKUP($G42,Coords[],3,FALSE)-VLOOKUP(AB$5,Coords[],3,FALSE))^2+(VLOOKUP($G42,Coords[],4,FALSE)-VLOOKUP(AB$5,Coords[],4,FALSE))^2)))</f>
        <v>1000</v>
      </c>
      <c r="AC42" s="10">
        <f>IF($G42=AC$5,1000,IF(AC$4=0,1000,SQRT((VLOOKUP($G42,Coords[],3,FALSE)-VLOOKUP(AC$5,Coords[],3,FALSE))^2+(VLOOKUP($G42,Coords[],4,FALSE)-VLOOKUP(AC$5,Coords[],4,FALSE))^2)))</f>
        <v>1000</v>
      </c>
      <c r="AD42" s="10">
        <f>IF($G42=AD$5,1000,IF(AD$4=0,1000,SQRT((VLOOKUP($G42,Coords[],3,FALSE)-VLOOKUP(AD$5,Coords[],3,FALSE))^2+(VLOOKUP($G42,Coords[],4,FALSE)-VLOOKUP(AD$5,Coords[],4,FALSE))^2)))</f>
        <v>1000</v>
      </c>
      <c r="AE42" s="10">
        <f>IF($G42=AE$5,1000,IF(AE$4=0,1000,SQRT((VLOOKUP($G42,Coords[],3,FALSE)-VLOOKUP(AE$5,Coords[],3,FALSE))^2+(VLOOKUP($G42,Coords[],4,FALSE)-VLOOKUP(AE$5,Coords[],4,FALSE))^2)))</f>
        <v>1000</v>
      </c>
      <c r="AF42" s="10">
        <f>IF($G42=AF$5,1000,IF(AF$4=0,1000,SQRT((VLOOKUP($G42,Coords[],3,FALSE)-VLOOKUP(AF$5,Coords[],3,FALSE))^2+(VLOOKUP($G42,Coords[],4,FALSE)-VLOOKUP(AF$5,Coords[],4,FALSE))^2)))</f>
        <v>1000</v>
      </c>
      <c r="AG42" s="10">
        <f>IF($G42=AG$5,1000,IF(AG$4=0,1000,SQRT((VLOOKUP($G42,Coords[],3,FALSE)-VLOOKUP(AG$5,Coords[],3,FALSE))^2+(VLOOKUP($G42,Coords[],4,FALSE)-VLOOKUP(AG$5,Coords[],4,FALSE))^2)))</f>
        <v>1000</v>
      </c>
      <c r="AH42" s="10">
        <f>IF($G42=AH$5,1000,IF(AH$4=0,1000,SQRT((VLOOKUP($G42,Coords[],3,FALSE)-VLOOKUP(AH$5,Coords[],3,FALSE))^2+(VLOOKUP($G42,Coords[],4,FALSE)-VLOOKUP(AH$5,Coords[],4,FALSE))^2)))</f>
        <v>1000</v>
      </c>
      <c r="AI42" s="10">
        <f>IF($G42=AI$5,1000,IF(AI$4=0,1000,SQRT((VLOOKUP($G42,Coords[],3,FALSE)-VLOOKUP(AI$5,Coords[],3,FALSE))^2+(VLOOKUP($G42,Coords[],4,FALSE)-VLOOKUP(AI$5,Coords[],4,FALSE))^2)))</f>
        <v>1000</v>
      </c>
      <c r="AJ42" s="10">
        <f>IF($G42=AJ$5,1000,IF(AJ$4=0,1000,SQRT((VLOOKUP($G42,Coords[],3,FALSE)-VLOOKUP(AJ$5,Coords[],3,FALSE))^2+(VLOOKUP($G42,Coords[],4,FALSE)-VLOOKUP(AJ$5,Coords[],4,FALSE))^2)))</f>
        <v>36.76955262170047</v>
      </c>
      <c r="AK42" s="10">
        <f>IF($G42=AK$5,1000,IF(AK$4=0,1000,SQRT((VLOOKUP($G42,Coords[],3,FALSE)-VLOOKUP(AK$5,Coords[],3,FALSE))^2+(VLOOKUP($G42,Coords[],4,FALSE)-VLOOKUP(AK$5,Coords[],4,FALSE))^2)))</f>
        <v>1000</v>
      </c>
      <c r="AL42" s="10">
        <f>IF($G42=AL$5,1000,IF(AL$4=0,1000,SQRT((VLOOKUP($G42,Coords[],3,FALSE)-VLOOKUP(AL$5,Coords[],3,FALSE))^2+(VLOOKUP($G42,Coords[],4,FALSE)-VLOOKUP(AL$5,Coords[],4,FALSE))^2)))</f>
        <v>1000</v>
      </c>
      <c r="AM42" s="10">
        <f>IF($G42=AM$5,1000,IF(AM$4=0,1000,SQRT((VLOOKUP($G42,Coords[],3,FALSE)-VLOOKUP(AM$5,Coords[],3,FALSE))^2+(VLOOKUP($G42,Coords[],4,FALSE)-VLOOKUP(AM$5,Coords[],4,FALSE))^2)))</f>
        <v>24.738633753705962</v>
      </c>
      <c r="AN42" s="10">
        <f>IF($G42=AN$5,1000,IF(AN$4=0,1000,SQRT((VLOOKUP($G42,Coords[],3,FALSE)-VLOOKUP(AN$5,Coords[],3,FALSE))^2+(VLOOKUP($G42,Coords[],4,FALSE)-VLOOKUP(AN$5,Coords[],4,FALSE))^2)))</f>
        <v>1000</v>
      </c>
      <c r="AO42" s="10">
        <f>IF($G42=AO$5,1000,IF(AO$4=0,1000,SQRT((VLOOKUP($G42,Coords[],3,FALSE)-VLOOKUP(AO$5,Coords[],3,FALSE))^2+(VLOOKUP($G42,Coords[],4,FALSE)-VLOOKUP(AO$5,Coords[],4,FALSE))^2)))</f>
        <v>1000</v>
      </c>
      <c r="AP42" s="10">
        <f>IF($G42=AP$5,1000,IF(AP$4=0,1000,SQRT((VLOOKUP($G42,Coords[],3,FALSE)-VLOOKUP(AP$5,Coords[],3,FALSE))^2+(VLOOKUP($G42,Coords[],4,FALSE)-VLOOKUP(AP$5,Coords[],4,FALSE))^2)))</f>
        <v>1000</v>
      </c>
      <c r="AQ42" s="10">
        <f>IF($G42=AQ$5,1000,IF(AQ$4=0,1000,SQRT((VLOOKUP($G42,Coords[],3,FALSE)-VLOOKUP(AQ$5,Coords[],3,FALSE))^2+(VLOOKUP($G42,Coords[],4,FALSE)-VLOOKUP(AQ$5,Coords[],4,FALSE))^2)))</f>
        <v>1000</v>
      </c>
      <c r="AR42" s="10">
        <f>IF($G42=AR$5,1000,IF(AR$4=0,1000,SQRT((VLOOKUP($G42,Coords[],3,FALSE)-VLOOKUP(AR$5,Coords[],3,FALSE))^2+(VLOOKUP($G42,Coords[],4,FALSE)-VLOOKUP(AR$5,Coords[],4,FALSE))^2)))</f>
        <v>1000</v>
      </c>
      <c r="AS42" s="10">
        <f>IF($G42=AS$5,1000,IF(AS$4=0,1000,SQRT((VLOOKUP($G42,Coords[],3,FALSE)-VLOOKUP(AS$5,Coords[],3,FALSE))^2+(VLOOKUP($G42,Coords[],4,FALSE)-VLOOKUP(AS$5,Coords[],4,FALSE))^2)))</f>
        <v>1000</v>
      </c>
      <c r="AT42" s="10">
        <f>IF($G42=AT$5,1000,IF(AT$4=0,1000,SQRT((VLOOKUP($G42,Coords[],3,FALSE)-VLOOKUP(AT$5,Coords[],3,FALSE))^2+(VLOOKUP($G42,Coords[],4,FALSE)-VLOOKUP(AT$5,Coords[],4,FALSE))^2)))</f>
        <v>1000</v>
      </c>
      <c r="AU42" s="10">
        <f>IF($G42=AU$5,1000,IF(AU$4=0,1000,SQRT((VLOOKUP($G42,Coords[],3,FALSE)-VLOOKUP(AU$5,Coords[],3,FALSE))^2+(VLOOKUP($G42,Coords[],4,FALSE)-VLOOKUP(AU$5,Coords[],4,FALSE))^2)))</f>
        <v>1000</v>
      </c>
      <c r="AV42" s="10">
        <f>IF($G42=AV$5,1000,IF(AV$4=0,1000,SQRT((VLOOKUP($G42,Coords[],3,FALSE)-VLOOKUP(AV$5,Coords[],3,FALSE))^2+(VLOOKUP($G42,Coords[],4,FALSE)-VLOOKUP(AV$5,Coords[],4,FALSE))^2)))</f>
        <v>1000</v>
      </c>
      <c r="AW42" s="10">
        <f>IF($G42=AW$5,1000,IF(AW$4=0,1000,SQRT((VLOOKUP($G42,Coords[],3,FALSE)-VLOOKUP(AW$5,Coords[],3,FALSE))^2+(VLOOKUP($G42,Coords[],4,FALSE)-VLOOKUP(AW$5,Coords[],4,FALSE))^2)))</f>
        <v>1000</v>
      </c>
      <c r="AX42" s="10">
        <f>IF($G42=AX$5,1000,IF(AX$4=0,1000,SQRT((VLOOKUP($G42,Coords[],3,FALSE)-VLOOKUP(AX$5,Coords[],3,FALSE))^2+(VLOOKUP($G42,Coords[],4,FALSE)-VLOOKUP(AX$5,Coords[],4,FALSE))^2)))</f>
        <v>1000</v>
      </c>
      <c r="AY42" s="10">
        <f>IF($G42=AY$5,1000,IF(AY$4=0,1000,SQRT((VLOOKUP($G42,Coords[],3,FALSE)-VLOOKUP(AY$5,Coords[],3,FALSE))^2+(VLOOKUP($G42,Coords[],4,FALSE)-VLOOKUP(AY$5,Coords[],4,FALSE))^2)))</f>
        <v>1000</v>
      </c>
      <c r="AZ42" s="10">
        <f>IF($G42=AZ$5,1000,IF(AZ$4=0,1000,SQRT((VLOOKUP($G42,Coords[],3,FALSE)-VLOOKUP(AZ$5,Coords[],3,FALSE))^2+(VLOOKUP($G42,Coords[],4,FALSE)-VLOOKUP(AZ$5,Coords[],4,FALSE))^2)))</f>
        <v>1000</v>
      </c>
      <c r="BA42" s="10">
        <f>IF($G42=BA$5,1000,IF(BA$4=0,1000,SQRT((VLOOKUP($G42,Coords[],3,FALSE)-VLOOKUP(BA$5,Coords[],3,FALSE))^2+(VLOOKUP($G42,Coords[],4,FALSE)-VLOOKUP(BA$5,Coords[],4,FALSE))^2)))</f>
        <v>1000</v>
      </c>
      <c r="BB42" s="10">
        <f>IF($G42=BB$5,1000,IF(BB$4=0,1000,SQRT((VLOOKUP($G42,Coords[],3,FALSE)-VLOOKUP(BB$5,Coords[],3,FALSE))^2+(VLOOKUP($G42,Coords[],4,FALSE)-VLOOKUP(BB$5,Coords[],4,FALSE))^2)))</f>
        <v>1000</v>
      </c>
      <c r="BC42" s="10">
        <f>IF($G42=BC$5,1000,IF(BC$4=0,1000,SQRT((VLOOKUP($G42,Coords[],3,FALSE)-VLOOKUP(BC$5,Coords[],3,FALSE))^2+(VLOOKUP($G42,Coords[],4,FALSE)-VLOOKUP(BC$5,Coords[],4,FALSE))^2)))</f>
        <v>1000</v>
      </c>
      <c r="BD42" s="10">
        <f>IF($G42=BD$5,1000,IF(BD$4=0,1000,SQRT((VLOOKUP($G42,Coords[],3,FALSE)-VLOOKUP(BD$5,Coords[],3,FALSE))^2+(VLOOKUP($G42,Coords[],4,FALSE)-VLOOKUP(BD$5,Coords[],4,FALSE))^2)))</f>
        <v>1000</v>
      </c>
      <c r="BE42" s="10">
        <f>IF($G42=BE$5,1000,IF(BE$4=0,1000,SQRT((VLOOKUP($G42,Coords[],3,FALSE)-VLOOKUP(BE$5,Coords[],3,FALSE))^2+(VLOOKUP($G42,Coords[],4,FALSE)-VLOOKUP(BE$5,Coords[],4,FALSE))^2)))</f>
        <v>1000</v>
      </c>
      <c r="BF42" s="10">
        <f>IF($G42=BF$5,1000,IF(BF$4=0,1000,SQRT((VLOOKUP($G42,Coords[],3,FALSE)-VLOOKUP(BF$5,Coords[],3,FALSE))^2+(VLOOKUP($G42,Coords[],4,FALSE)-VLOOKUP(BF$5,Coords[],4,FALSE))^2)))</f>
        <v>1000</v>
      </c>
      <c r="BG42" s="4">
        <v>37</v>
      </c>
      <c r="BI42" s="5">
        <f>IF(E42=1,0,VLOOKUP($G42,$G$6:$BF$57,HLOOKUP(MIN(H42:BF42),$H42:$BF$57,((COUNT($G$6:$G$56)+2)-$G42),FALSE),FALSE)*B42)</f>
        <v>296.86360504447157</v>
      </c>
      <c r="BJ42" s="9">
        <f>VLOOKUP($G42,$G$6:$BF$57,HLOOKUP(MIN(H42:BF42),$H42:$BF$57,((COUNT($G$6:$G$56)+2)-$G42),FALSE),FALSE)</f>
        <v>24.738633753705962</v>
      </c>
      <c r="BK42" s="7">
        <f>HLOOKUP(MIN(H42:BF42),$H42:$BF$57,((COUNT($G$6:$G$56)+2)-$G42),FALSE)</f>
        <v>33</v>
      </c>
      <c r="BL42">
        <f>BJ42*Coords[[#This Row],[Demand]]</f>
        <v>296.86360504447157</v>
      </c>
      <c r="BN42">
        <v>37</v>
      </c>
      <c r="BO42">
        <v>7779.2126269355431</v>
      </c>
      <c r="BP42">
        <v>10885.689614857485</v>
      </c>
    </row>
    <row r="43" spans="1:68" x14ac:dyDescent="0.25">
      <c r="A43" s="8">
        <v>38</v>
      </c>
      <c r="B43" s="3">
        <v>15</v>
      </c>
      <c r="C43" s="3">
        <v>45</v>
      </c>
      <c r="D43" s="3">
        <v>35</v>
      </c>
      <c r="E43">
        <v>0</v>
      </c>
      <c r="G43" s="4">
        <v>38</v>
      </c>
      <c r="H43" s="10">
        <f>IF($G43=H$5,1000,IF(H$4=0,1000,SQRT((VLOOKUP($G43,Coords[],3,FALSE)-VLOOKUP(H$5,Coords[],3,FALSE))^2+(VLOOKUP($G43,Coords[],4,FALSE)-VLOOKUP(H$5,Coords[],4,FALSE))^2)))</f>
        <v>1000</v>
      </c>
      <c r="I43" s="10">
        <f>IF($G43=I$5,1000,IF(I$4=0,1000,SQRT((VLOOKUP($G43,Coords[],3,FALSE)-VLOOKUP(I$5,Coords[],3,FALSE))^2+(VLOOKUP($G43,Coords[],4,FALSE)-VLOOKUP(I$5,Coords[],4,FALSE))^2)))</f>
        <v>1000</v>
      </c>
      <c r="J43" s="10">
        <f>IF($G43=J$5,1000,IF(J$4=0,1000,SQRT((VLOOKUP($G43,Coords[],3,FALSE)-VLOOKUP(J$5,Coords[],3,FALSE))^2+(VLOOKUP($G43,Coords[],4,FALSE)-VLOOKUP(J$5,Coords[],4,FALSE))^2)))</f>
        <v>1000</v>
      </c>
      <c r="K43" s="10">
        <f>IF($G43=K$5,1000,IF(K$4=0,1000,SQRT((VLOOKUP($G43,Coords[],3,FALSE)-VLOOKUP(K$5,Coords[],3,FALSE))^2+(VLOOKUP($G43,Coords[],4,FALSE)-VLOOKUP(K$5,Coords[],4,FALSE))^2)))</f>
        <v>1000</v>
      </c>
      <c r="L43" s="10">
        <f>IF($G43=L$5,1000,IF(L$4=0,1000,SQRT((VLOOKUP($G43,Coords[],3,FALSE)-VLOOKUP(L$5,Coords[],3,FALSE))^2+(VLOOKUP($G43,Coords[],4,FALSE)-VLOOKUP(L$5,Coords[],4,FALSE))^2)))</f>
        <v>1000</v>
      </c>
      <c r="M43" s="10">
        <f>IF($G43=M$5,1000,IF(M$4=0,1000,SQRT((VLOOKUP($G43,Coords[],3,FALSE)-VLOOKUP(M$5,Coords[],3,FALSE))^2+(VLOOKUP($G43,Coords[],4,FALSE)-VLOOKUP(M$5,Coords[],4,FALSE))^2)))</f>
        <v>1000</v>
      </c>
      <c r="N43" s="10">
        <f>IF($G43=N$5,1000,IF(N$4=0,1000,SQRT((VLOOKUP($G43,Coords[],3,FALSE)-VLOOKUP(N$5,Coords[],3,FALSE))^2+(VLOOKUP($G43,Coords[],4,FALSE)-VLOOKUP(N$5,Coords[],4,FALSE))^2)))</f>
        <v>1000</v>
      </c>
      <c r="O43" s="10">
        <f>IF($G43=O$5,1000,IF(O$4=0,1000,SQRT((VLOOKUP($G43,Coords[],3,FALSE)-VLOOKUP(O$5,Coords[],3,FALSE))^2+(VLOOKUP($G43,Coords[],4,FALSE)-VLOOKUP(O$5,Coords[],4,FALSE))^2)))</f>
        <v>30.413812651491099</v>
      </c>
      <c r="P43" s="10">
        <f>IF($G43=P$5,1000,IF(P$4=0,1000,SQRT((VLOOKUP($G43,Coords[],3,FALSE)-VLOOKUP(P$5,Coords[],3,FALSE))^2+(VLOOKUP($G43,Coords[],4,FALSE)-VLOOKUP(P$5,Coords[],4,FALSE))^2)))</f>
        <v>1000</v>
      </c>
      <c r="Q43" s="10">
        <f>IF($G43=Q$5,1000,IF(Q$4=0,1000,SQRT((VLOOKUP($G43,Coords[],3,FALSE)-VLOOKUP(Q$5,Coords[],3,FALSE))^2+(VLOOKUP($G43,Coords[],4,FALSE)-VLOOKUP(Q$5,Coords[],4,FALSE))^2)))</f>
        <v>1000</v>
      </c>
      <c r="R43" s="10">
        <f>IF($G43=R$5,1000,IF(R$4=0,1000,SQRT((VLOOKUP($G43,Coords[],3,FALSE)-VLOOKUP(R$5,Coords[],3,FALSE))^2+(VLOOKUP($G43,Coords[],4,FALSE)-VLOOKUP(R$5,Coords[],4,FALSE))^2)))</f>
        <v>1000</v>
      </c>
      <c r="S43" s="10">
        <f>IF($G43=S$5,1000,IF(S$4=0,1000,SQRT((VLOOKUP($G43,Coords[],3,FALSE)-VLOOKUP(S$5,Coords[],3,FALSE))^2+(VLOOKUP($G43,Coords[],4,FALSE)-VLOOKUP(S$5,Coords[],4,FALSE))^2)))</f>
        <v>1000</v>
      </c>
      <c r="T43" s="10">
        <f>IF($G43=T$5,1000,IF(T$4=0,1000,SQRT((VLOOKUP($G43,Coords[],3,FALSE)-VLOOKUP(T$5,Coords[],3,FALSE))^2+(VLOOKUP($G43,Coords[],4,FALSE)-VLOOKUP(T$5,Coords[],4,FALSE))^2)))</f>
        <v>1000</v>
      </c>
      <c r="U43" s="10">
        <f>IF($G43=U$5,1000,IF(U$4=0,1000,SQRT((VLOOKUP($G43,Coords[],3,FALSE)-VLOOKUP(U$5,Coords[],3,FALSE))^2+(VLOOKUP($G43,Coords[],4,FALSE)-VLOOKUP(U$5,Coords[],4,FALSE))^2)))</f>
        <v>1000</v>
      </c>
      <c r="V43" s="10">
        <f>IF($G43=V$5,1000,IF(V$4=0,1000,SQRT((VLOOKUP($G43,Coords[],3,FALSE)-VLOOKUP(V$5,Coords[],3,FALSE))^2+(VLOOKUP($G43,Coords[],4,FALSE)-VLOOKUP(V$5,Coords[],4,FALSE))^2)))</f>
        <v>1000</v>
      </c>
      <c r="W43" s="10">
        <f>IF($G43=W$5,1000,IF(W$4=0,1000,SQRT((VLOOKUP($G43,Coords[],3,FALSE)-VLOOKUP(W$5,Coords[],3,FALSE))^2+(VLOOKUP($G43,Coords[],4,FALSE)-VLOOKUP(W$5,Coords[],4,FALSE))^2)))</f>
        <v>1000</v>
      </c>
      <c r="X43" s="10">
        <f>IF($G43=X$5,1000,IF(X$4=0,1000,SQRT((VLOOKUP($G43,Coords[],3,FALSE)-VLOOKUP(X$5,Coords[],3,FALSE))^2+(VLOOKUP($G43,Coords[],4,FALSE)-VLOOKUP(X$5,Coords[],4,FALSE))^2)))</f>
        <v>1000</v>
      </c>
      <c r="Y43" s="10">
        <f>IF($G43=Y$5,1000,IF(Y$4=0,1000,SQRT((VLOOKUP($G43,Coords[],3,FALSE)-VLOOKUP(Y$5,Coords[],3,FALSE))^2+(VLOOKUP($G43,Coords[],4,FALSE)-VLOOKUP(Y$5,Coords[],4,FALSE))^2)))</f>
        <v>1000</v>
      </c>
      <c r="Z43" s="10">
        <f>IF($G43=Z$5,1000,IF(Z$4=0,1000,SQRT((VLOOKUP($G43,Coords[],3,FALSE)-VLOOKUP(Z$5,Coords[],3,FALSE))^2+(VLOOKUP($G43,Coords[],4,FALSE)-VLOOKUP(Z$5,Coords[],4,FALSE))^2)))</f>
        <v>1000</v>
      </c>
      <c r="AA43" s="10">
        <f>IF($G43=AA$5,1000,IF(AA$4=0,1000,SQRT((VLOOKUP($G43,Coords[],3,FALSE)-VLOOKUP(AA$5,Coords[],3,FALSE))^2+(VLOOKUP($G43,Coords[],4,FALSE)-VLOOKUP(AA$5,Coords[],4,FALSE))^2)))</f>
        <v>25.942243542145693</v>
      </c>
      <c r="AB43" s="10">
        <f>IF($G43=AB$5,1000,IF(AB$4=0,1000,SQRT((VLOOKUP($G43,Coords[],3,FALSE)-VLOOKUP(AB$5,Coords[],3,FALSE))^2+(VLOOKUP($G43,Coords[],4,FALSE)-VLOOKUP(AB$5,Coords[],4,FALSE))^2)))</f>
        <v>1000</v>
      </c>
      <c r="AC43" s="10">
        <f>IF($G43=AC$5,1000,IF(AC$4=0,1000,SQRT((VLOOKUP($G43,Coords[],3,FALSE)-VLOOKUP(AC$5,Coords[],3,FALSE))^2+(VLOOKUP($G43,Coords[],4,FALSE)-VLOOKUP(AC$5,Coords[],4,FALSE))^2)))</f>
        <v>1000</v>
      </c>
      <c r="AD43" s="10">
        <f>IF($G43=AD$5,1000,IF(AD$4=0,1000,SQRT((VLOOKUP($G43,Coords[],3,FALSE)-VLOOKUP(AD$5,Coords[],3,FALSE))^2+(VLOOKUP($G43,Coords[],4,FALSE)-VLOOKUP(AD$5,Coords[],4,FALSE))^2)))</f>
        <v>1000</v>
      </c>
      <c r="AE43" s="10">
        <f>IF($G43=AE$5,1000,IF(AE$4=0,1000,SQRT((VLOOKUP($G43,Coords[],3,FALSE)-VLOOKUP(AE$5,Coords[],3,FALSE))^2+(VLOOKUP($G43,Coords[],4,FALSE)-VLOOKUP(AE$5,Coords[],4,FALSE))^2)))</f>
        <v>1000</v>
      </c>
      <c r="AF43" s="10">
        <f>IF($G43=AF$5,1000,IF(AF$4=0,1000,SQRT((VLOOKUP($G43,Coords[],3,FALSE)-VLOOKUP(AF$5,Coords[],3,FALSE))^2+(VLOOKUP($G43,Coords[],4,FALSE)-VLOOKUP(AF$5,Coords[],4,FALSE))^2)))</f>
        <v>1000</v>
      </c>
      <c r="AG43" s="10">
        <f>IF($G43=AG$5,1000,IF(AG$4=0,1000,SQRT((VLOOKUP($G43,Coords[],3,FALSE)-VLOOKUP(AG$5,Coords[],3,FALSE))^2+(VLOOKUP($G43,Coords[],4,FALSE)-VLOOKUP(AG$5,Coords[],4,FALSE))^2)))</f>
        <v>1000</v>
      </c>
      <c r="AH43" s="10">
        <f>IF($G43=AH$5,1000,IF(AH$4=0,1000,SQRT((VLOOKUP($G43,Coords[],3,FALSE)-VLOOKUP(AH$5,Coords[],3,FALSE))^2+(VLOOKUP($G43,Coords[],4,FALSE)-VLOOKUP(AH$5,Coords[],4,FALSE))^2)))</f>
        <v>1000</v>
      </c>
      <c r="AI43" s="10">
        <f>IF($G43=AI$5,1000,IF(AI$4=0,1000,SQRT((VLOOKUP($G43,Coords[],3,FALSE)-VLOOKUP(AI$5,Coords[],3,FALSE))^2+(VLOOKUP($G43,Coords[],4,FALSE)-VLOOKUP(AI$5,Coords[],4,FALSE))^2)))</f>
        <v>1000</v>
      </c>
      <c r="AJ43" s="10">
        <f>IF($G43=AJ$5,1000,IF(AJ$4=0,1000,SQRT((VLOOKUP($G43,Coords[],3,FALSE)-VLOOKUP(AJ$5,Coords[],3,FALSE))^2+(VLOOKUP($G43,Coords[],4,FALSE)-VLOOKUP(AJ$5,Coords[],4,FALSE))^2)))</f>
        <v>18.384776310850235</v>
      </c>
      <c r="AK43" s="10">
        <f>IF($G43=AK$5,1000,IF(AK$4=0,1000,SQRT((VLOOKUP($G43,Coords[],3,FALSE)-VLOOKUP(AK$5,Coords[],3,FALSE))^2+(VLOOKUP($G43,Coords[],4,FALSE)-VLOOKUP(AK$5,Coords[],4,FALSE))^2)))</f>
        <v>1000</v>
      </c>
      <c r="AL43" s="10">
        <f>IF($G43=AL$5,1000,IF(AL$4=0,1000,SQRT((VLOOKUP($G43,Coords[],3,FALSE)-VLOOKUP(AL$5,Coords[],3,FALSE))^2+(VLOOKUP($G43,Coords[],4,FALSE)-VLOOKUP(AL$5,Coords[],4,FALSE))^2)))</f>
        <v>1000</v>
      </c>
      <c r="AM43" s="10">
        <f>IF($G43=AM$5,1000,IF(AM$4=0,1000,SQRT((VLOOKUP($G43,Coords[],3,FALSE)-VLOOKUP(AM$5,Coords[],3,FALSE))^2+(VLOOKUP($G43,Coords[],4,FALSE)-VLOOKUP(AM$5,Coords[],4,FALSE))^2)))</f>
        <v>13.038404810405298</v>
      </c>
      <c r="AN43" s="10">
        <f>IF($G43=AN$5,1000,IF(AN$4=0,1000,SQRT((VLOOKUP($G43,Coords[],3,FALSE)-VLOOKUP(AN$5,Coords[],3,FALSE))^2+(VLOOKUP($G43,Coords[],4,FALSE)-VLOOKUP(AN$5,Coords[],4,FALSE))^2)))</f>
        <v>1000</v>
      </c>
      <c r="AO43" s="10">
        <f>IF($G43=AO$5,1000,IF(AO$4=0,1000,SQRT((VLOOKUP($G43,Coords[],3,FALSE)-VLOOKUP(AO$5,Coords[],3,FALSE))^2+(VLOOKUP($G43,Coords[],4,FALSE)-VLOOKUP(AO$5,Coords[],4,FALSE))^2)))</f>
        <v>1000</v>
      </c>
      <c r="AP43" s="10">
        <f>IF($G43=AP$5,1000,IF(AP$4=0,1000,SQRT((VLOOKUP($G43,Coords[],3,FALSE)-VLOOKUP(AP$5,Coords[],3,FALSE))^2+(VLOOKUP($G43,Coords[],4,FALSE)-VLOOKUP(AP$5,Coords[],4,FALSE))^2)))</f>
        <v>1000</v>
      </c>
      <c r="AQ43" s="10">
        <f>IF($G43=AQ$5,1000,IF(AQ$4=0,1000,SQRT((VLOOKUP($G43,Coords[],3,FALSE)-VLOOKUP(AQ$5,Coords[],3,FALSE))^2+(VLOOKUP($G43,Coords[],4,FALSE)-VLOOKUP(AQ$5,Coords[],4,FALSE))^2)))</f>
        <v>1000</v>
      </c>
      <c r="AR43" s="10">
        <f>IF($G43=AR$5,1000,IF(AR$4=0,1000,SQRT((VLOOKUP($G43,Coords[],3,FALSE)-VLOOKUP(AR$5,Coords[],3,FALSE))^2+(VLOOKUP($G43,Coords[],4,FALSE)-VLOOKUP(AR$5,Coords[],4,FALSE))^2)))</f>
        <v>1000</v>
      </c>
      <c r="AS43" s="10">
        <f>IF($G43=AS$5,1000,IF(AS$4=0,1000,SQRT((VLOOKUP($G43,Coords[],3,FALSE)-VLOOKUP(AS$5,Coords[],3,FALSE))^2+(VLOOKUP($G43,Coords[],4,FALSE)-VLOOKUP(AS$5,Coords[],4,FALSE))^2)))</f>
        <v>1000</v>
      </c>
      <c r="AT43" s="10">
        <f>IF($G43=AT$5,1000,IF(AT$4=0,1000,SQRT((VLOOKUP($G43,Coords[],3,FALSE)-VLOOKUP(AT$5,Coords[],3,FALSE))^2+(VLOOKUP($G43,Coords[],4,FALSE)-VLOOKUP(AT$5,Coords[],4,FALSE))^2)))</f>
        <v>1000</v>
      </c>
      <c r="AU43" s="10">
        <f>IF($G43=AU$5,1000,IF(AU$4=0,1000,SQRT((VLOOKUP($G43,Coords[],3,FALSE)-VLOOKUP(AU$5,Coords[],3,FALSE))^2+(VLOOKUP($G43,Coords[],4,FALSE)-VLOOKUP(AU$5,Coords[],4,FALSE))^2)))</f>
        <v>1000</v>
      </c>
      <c r="AV43" s="10">
        <f>IF($G43=AV$5,1000,IF(AV$4=0,1000,SQRT((VLOOKUP($G43,Coords[],3,FALSE)-VLOOKUP(AV$5,Coords[],3,FALSE))^2+(VLOOKUP($G43,Coords[],4,FALSE)-VLOOKUP(AV$5,Coords[],4,FALSE))^2)))</f>
        <v>1000</v>
      </c>
      <c r="AW43" s="10">
        <f>IF($G43=AW$5,1000,IF(AW$4=0,1000,SQRT((VLOOKUP($G43,Coords[],3,FALSE)-VLOOKUP(AW$5,Coords[],3,FALSE))^2+(VLOOKUP($G43,Coords[],4,FALSE)-VLOOKUP(AW$5,Coords[],4,FALSE))^2)))</f>
        <v>1000</v>
      </c>
      <c r="AX43" s="10">
        <f>IF($G43=AX$5,1000,IF(AX$4=0,1000,SQRT((VLOOKUP($G43,Coords[],3,FALSE)-VLOOKUP(AX$5,Coords[],3,FALSE))^2+(VLOOKUP($G43,Coords[],4,FALSE)-VLOOKUP(AX$5,Coords[],4,FALSE))^2)))</f>
        <v>1000</v>
      </c>
      <c r="AY43" s="10">
        <f>IF($G43=AY$5,1000,IF(AY$4=0,1000,SQRT((VLOOKUP($G43,Coords[],3,FALSE)-VLOOKUP(AY$5,Coords[],3,FALSE))^2+(VLOOKUP($G43,Coords[],4,FALSE)-VLOOKUP(AY$5,Coords[],4,FALSE))^2)))</f>
        <v>1000</v>
      </c>
      <c r="AZ43" s="10">
        <f>IF($G43=AZ$5,1000,IF(AZ$4=0,1000,SQRT((VLOOKUP($G43,Coords[],3,FALSE)-VLOOKUP(AZ$5,Coords[],3,FALSE))^2+(VLOOKUP($G43,Coords[],4,FALSE)-VLOOKUP(AZ$5,Coords[],4,FALSE))^2)))</f>
        <v>1000</v>
      </c>
      <c r="BA43" s="10">
        <f>IF($G43=BA$5,1000,IF(BA$4=0,1000,SQRT((VLOOKUP($G43,Coords[],3,FALSE)-VLOOKUP(BA$5,Coords[],3,FALSE))^2+(VLOOKUP($G43,Coords[],4,FALSE)-VLOOKUP(BA$5,Coords[],4,FALSE))^2)))</f>
        <v>1000</v>
      </c>
      <c r="BB43" s="10">
        <f>IF($G43=BB$5,1000,IF(BB$4=0,1000,SQRT((VLOOKUP($G43,Coords[],3,FALSE)-VLOOKUP(BB$5,Coords[],3,FALSE))^2+(VLOOKUP($G43,Coords[],4,FALSE)-VLOOKUP(BB$5,Coords[],4,FALSE))^2)))</f>
        <v>1000</v>
      </c>
      <c r="BC43" s="10">
        <f>IF($G43=BC$5,1000,IF(BC$4=0,1000,SQRT((VLOOKUP($G43,Coords[],3,FALSE)-VLOOKUP(BC$5,Coords[],3,FALSE))^2+(VLOOKUP($G43,Coords[],4,FALSE)-VLOOKUP(BC$5,Coords[],4,FALSE))^2)))</f>
        <v>1000</v>
      </c>
      <c r="BD43" s="10">
        <f>IF($G43=BD$5,1000,IF(BD$4=0,1000,SQRT((VLOOKUP($G43,Coords[],3,FALSE)-VLOOKUP(BD$5,Coords[],3,FALSE))^2+(VLOOKUP($G43,Coords[],4,FALSE)-VLOOKUP(BD$5,Coords[],4,FALSE))^2)))</f>
        <v>1000</v>
      </c>
      <c r="BE43" s="10">
        <f>IF($G43=BE$5,1000,IF(BE$4=0,1000,SQRT((VLOOKUP($G43,Coords[],3,FALSE)-VLOOKUP(BE$5,Coords[],3,FALSE))^2+(VLOOKUP($G43,Coords[],4,FALSE)-VLOOKUP(BE$5,Coords[],4,FALSE))^2)))</f>
        <v>1000</v>
      </c>
      <c r="BF43" s="10">
        <f>IF($G43=BF$5,1000,IF(BF$4=0,1000,SQRT((VLOOKUP($G43,Coords[],3,FALSE)-VLOOKUP(BF$5,Coords[],3,FALSE))^2+(VLOOKUP($G43,Coords[],4,FALSE)-VLOOKUP(BF$5,Coords[],4,FALSE))^2)))</f>
        <v>1000</v>
      </c>
      <c r="BG43" s="4">
        <v>38</v>
      </c>
      <c r="BI43" s="5">
        <f>IF(E43=1,0,VLOOKUP($G43,$G$6:$BF$57,HLOOKUP(MIN(H43:BF43),$H43:$BF$57,((COUNT($G$6:$G$56)+2)-$G43),FALSE),FALSE)*B43)</f>
        <v>195.57607215607948</v>
      </c>
      <c r="BJ43" s="9">
        <f>VLOOKUP($G43,$G$6:$BF$57,HLOOKUP(MIN(H43:BF43),$H43:$BF$57,((COUNT($G$6:$G$56)+2)-$G43),FALSE),FALSE)</f>
        <v>13.038404810405298</v>
      </c>
      <c r="BK43" s="7">
        <f>HLOOKUP(MIN(H43:BF43),$H43:$BF$57,((COUNT($G$6:$G$56)+2)-$G43),FALSE)</f>
        <v>33</v>
      </c>
      <c r="BL43">
        <f>BJ43*Coords[[#This Row],[Demand]]</f>
        <v>195.57607215607948</v>
      </c>
      <c r="BN43">
        <v>38</v>
      </c>
      <c r="BO43">
        <v>7779.2126269355431</v>
      </c>
      <c r="BP43">
        <v>11789.973477317322</v>
      </c>
    </row>
    <row r="44" spans="1:68" x14ac:dyDescent="0.25">
      <c r="A44" s="8">
        <v>39</v>
      </c>
      <c r="B44" s="3">
        <v>3</v>
      </c>
      <c r="C44" s="3">
        <v>59</v>
      </c>
      <c r="D44" s="3">
        <v>15</v>
      </c>
      <c r="E44">
        <v>0</v>
      </c>
      <c r="G44" s="4">
        <v>39</v>
      </c>
      <c r="H44" s="10">
        <f>IF($G44=H$5,1000,IF(H$4=0,1000,SQRT((VLOOKUP($G44,Coords[],3,FALSE)-VLOOKUP(H$5,Coords[],3,FALSE))^2+(VLOOKUP($G44,Coords[],4,FALSE)-VLOOKUP(H$5,Coords[],4,FALSE))^2)))</f>
        <v>1000</v>
      </c>
      <c r="I44" s="10">
        <f>IF($G44=I$5,1000,IF(I$4=0,1000,SQRT((VLOOKUP($G44,Coords[],3,FALSE)-VLOOKUP(I$5,Coords[],3,FALSE))^2+(VLOOKUP($G44,Coords[],4,FALSE)-VLOOKUP(I$5,Coords[],4,FALSE))^2)))</f>
        <v>1000</v>
      </c>
      <c r="J44" s="10">
        <f>IF($G44=J$5,1000,IF(J$4=0,1000,SQRT((VLOOKUP($G44,Coords[],3,FALSE)-VLOOKUP(J$5,Coords[],3,FALSE))^2+(VLOOKUP($G44,Coords[],4,FALSE)-VLOOKUP(J$5,Coords[],4,FALSE))^2)))</f>
        <v>1000</v>
      </c>
      <c r="K44" s="10">
        <f>IF($G44=K$5,1000,IF(K$4=0,1000,SQRT((VLOOKUP($G44,Coords[],3,FALSE)-VLOOKUP(K$5,Coords[],3,FALSE))^2+(VLOOKUP($G44,Coords[],4,FALSE)-VLOOKUP(K$5,Coords[],4,FALSE))^2)))</f>
        <v>1000</v>
      </c>
      <c r="L44" s="10">
        <f>IF($G44=L$5,1000,IF(L$4=0,1000,SQRT((VLOOKUP($G44,Coords[],3,FALSE)-VLOOKUP(L$5,Coords[],3,FALSE))^2+(VLOOKUP($G44,Coords[],4,FALSE)-VLOOKUP(L$5,Coords[],4,FALSE))^2)))</f>
        <v>1000</v>
      </c>
      <c r="M44" s="10">
        <f>IF($G44=M$5,1000,IF(M$4=0,1000,SQRT((VLOOKUP($G44,Coords[],3,FALSE)-VLOOKUP(M$5,Coords[],3,FALSE))^2+(VLOOKUP($G44,Coords[],4,FALSE)-VLOOKUP(M$5,Coords[],4,FALSE))^2)))</f>
        <v>1000</v>
      </c>
      <c r="N44" s="10">
        <f>IF($G44=N$5,1000,IF(N$4=0,1000,SQRT((VLOOKUP($G44,Coords[],3,FALSE)-VLOOKUP(N$5,Coords[],3,FALSE))^2+(VLOOKUP($G44,Coords[],4,FALSE)-VLOOKUP(N$5,Coords[],4,FALSE))^2)))</f>
        <v>1000</v>
      </c>
      <c r="O44" s="10">
        <f>IF($G44=O$5,1000,IF(O$4=0,1000,SQRT((VLOOKUP($G44,Coords[],3,FALSE)-VLOOKUP(O$5,Coords[],3,FALSE))^2+(VLOOKUP($G44,Coords[],4,FALSE)-VLOOKUP(O$5,Coords[],4,FALSE))^2)))</f>
        <v>54.708317466359723</v>
      </c>
      <c r="P44" s="10">
        <f>IF($G44=P$5,1000,IF(P$4=0,1000,SQRT((VLOOKUP($G44,Coords[],3,FALSE)-VLOOKUP(P$5,Coords[],3,FALSE))^2+(VLOOKUP($G44,Coords[],4,FALSE)-VLOOKUP(P$5,Coords[],4,FALSE))^2)))</f>
        <v>1000</v>
      </c>
      <c r="Q44" s="10">
        <f>IF($G44=Q$5,1000,IF(Q$4=0,1000,SQRT((VLOOKUP($G44,Coords[],3,FALSE)-VLOOKUP(Q$5,Coords[],3,FALSE))^2+(VLOOKUP($G44,Coords[],4,FALSE)-VLOOKUP(Q$5,Coords[],4,FALSE))^2)))</f>
        <v>1000</v>
      </c>
      <c r="R44" s="10">
        <f>IF($G44=R$5,1000,IF(R$4=0,1000,SQRT((VLOOKUP($G44,Coords[],3,FALSE)-VLOOKUP(R$5,Coords[],3,FALSE))^2+(VLOOKUP($G44,Coords[],4,FALSE)-VLOOKUP(R$5,Coords[],4,FALSE))^2)))</f>
        <v>1000</v>
      </c>
      <c r="S44" s="10">
        <f>IF($G44=S$5,1000,IF(S$4=0,1000,SQRT((VLOOKUP($G44,Coords[],3,FALSE)-VLOOKUP(S$5,Coords[],3,FALSE))^2+(VLOOKUP($G44,Coords[],4,FALSE)-VLOOKUP(S$5,Coords[],4,FALSE))^2)))</f>
        <v>1000</v>
      </c>
      <c r="T44" s="10">
        <f>IF($G44=T$5,1000,IF(T$4=0,1000,SQRT((VLOOKUP($G44,Coords[],3,FALSE)-VLOOKUP(T$5,Coords[],3,FALSE))^2+(VLOOKUP($G44,Coords[],4,FALSE)-VLOOKUP(T$5,Coords[],4,FALSE))^2)))</f>
        <v>1000</v>
      </c>
      <c r="U44" s="10">
        <f>IF($G44=U$5,1000,IF(U$4=0,1000,SQRT((VLOOKUP($G44,Coords[],3,FALSE)-VLOOKUP(U$5,Coords[],3,FALSE))^2+(VLOOKUP($G44,Coords[],4,FALSE)-VLOOKUP(U$5,Coords[],4,FALSE))^2)))</f>
        <v>1000</v>
      </c>
      <c r="V44" s="10">
        <f>IF($G44=V$5,1000,IF(V$4=0,1000,SQRT((VLOOKUP($G44,Coords[],3,FALSE)-VLOOKUP(V$5,Coords[],3,FALSE))^2+(VLOOKUP($G44,Coords[],4,FALSE)-VLOOKUP(V$5,Coords[],4,FALSE))^2)))</f>
        <v>1000</v>
      </c>
      <c r="W44" s="10">
        <f>IF($G44=W$5,1000,IF(W$4=0,1000,SQRT((VLOOKUP($G44,Coords[],3,FALSE)-VLOOKUP(W$5,Coords[],3,FALSE))^2+(VLOOKUP($G44,Coords[],4,FALSE)-VLOOKUP(W$5,Coords[],4,FALSE))^2)))</f>
        <v>1000</v>
      </c>
      <c r="X44" s="10">
        <f>IF($G44=X$5,1000,IF(X$4=0,1000,SQRT((VLOOKUP($G44,Coords[],3,FALSE)-VLOOKUP(X$5,Coords[],3,FALSE))^2+(VLOOKUP($G44,Coords[],4,FALSE)-VLOOKUP(X$5,Coords[],4,FALSE))^2)))</f>
        <v>1000</v>
      </c>
      <c r="Y44" s="10">
        <f>IF($G44=Y$5,1000,IF(Y$4=0,1000,SQRT((VLOOKUP($G44,Coords[],3,FALSE)-VLOOKUP(Y$5,Coords[],3,FALSE))^2+(VLOOKUP($G44,Coords[],4,FALSE)-VLOOKUP(Y$5,Coords[],4,FALSE))^2)))</f>
        <v>1000</v>
      </c>
      <c r="Z44" s="10">
        <f>IF($G44=Z$5,1000,IF(Z$4=0,1000,SQRT((VLOOKUP($G44,Coords[],3,FALSE)-VLOOKUP(Z$5,Coords[],3,FALSE))^2+(VLOOKUP($G44,Coords[],4,FALSE)-VLOOKUP(Z$5,Coords[],4,FALSE))^2)))</f>
        <v>1000</v>
      </c>
      <c r="AA44" s="10">
        <f>IF($G44=AA$5,1000,IF(AA$4=0,1000,SQRT((VLOOKUP($G44,Coords[],3,FALSE)-VLOOKUP(AA$5,Coords[],3,FALSE))^2+(VLOOKUP($G44,Coords[],4,FALSE)-VLOOKUP(AA$5,Coords[],4,FALSE))^2)))</f>
        <v>43.046486500061768</v>
      </c>
      <c r="AB44" s="10">
        <f>IF($G44=AB$5,1000,IF(AB$4=0,1000,SQRT((VLOOKUP($G44,Coords[],3,FALSE)-VLOOKUP(AB$5,Coords[],3,FALSE))^2+(VLOOKUP($G44,Coords[],4,FALSE)-VLOOKUP(AB$5,Coords[],4,FALSE))^2)))</f>
        <v>1000</v>
      </c>
      <c r="AC44" s="10">
        <f>IF($G44=AC$5,1000,IF(AC$4=0,1000,SQRT((VLOOKUP($G44,Coords[],3,FALSE)-VLOOKUP(AC$5,Coords[],3,FALSE))^2+(VLOOKUP($G44,Coords[],4,FALSE)-VLOOKUP(AC$5,Coords[],4,FALSE))^2)))</f>
        <v>1000</v>
      </c>
      <c r="AD44" s="10">
        <f>IF($G44=AD$5,1000,IF(AD$4=0,1000,SQRT((VLOOKUP($G44,Coords[],3,FALSE)-VLOOKUP(AD$5,Coords[],3,FALSE))^2+(VLOOKUP($G44,Coords[],4,FALSE)-VLOOKUP(AD$5,Coords[],4,FALSE))^2)))</f>
        <v>1000</v>
      </c>
      <c r="AE44" s="10">
        <f>IF($G44=AE$5,1000,IF(AE$4=0,1000,SQRT((VLOOKUP($G44,Coords[],3,FALSE)-VLOOKUP(AE$5,Coords[],3,FALSE))^2+(VLOOKUP($G44,Coords[],4,FALSE)-VLOOKUP(AE$5,Coords[],4,FALSE))^2)))</f>
        <v>1000</v>
      </c>
      <c r="AF44" s="10">
        <f>IF($G44=AF$5,1000,IF(AF$4=0,1000,SQRT((VLOOKUP($G44,Coords[],3,FALSE)-VLOOKUP(AF$5,Coords[],3,FALSE))^2+(VLOOKUP($G44,Coords[],4,FALSE)-VLOOKUP(AF$5,Coords[],4,FALSE))^2)))</f>
        <v>1000</v>
      </c>
      <c r="AG44" s="10">
        <f>IF($G44=AG$5,1000,IF(AG$4=0,1000,SQRT((VLOOKUP($G44,Coords[],3,FALSE)-VLOOKUP(AG$5,Coords[],3,FALSE))^2+(VLOOKUP($G44,Coords[],4,FALSE)-VLOOKUP(AG$5,Coords[],4,FALSE))^2)))</f>
        <v>1000</v>
      </c>
      <c r="AH44" s="10">
        <f>IF($G44=AH$5,1000,IF(AH$4=0,1000,SQRT((VLOOKUP($G44,Coords[],3,FALSE)-VLOOKUP(AH$5,Coords[],3,FALSE))^2+(VLOOKUP($G44,Coords[],4,FALSE)-VLOOKUP(AH$5,Coords[],4,FALSE))^2)))</f>
        <v>1000</v>
      </c>
      <c r="AI44" s="10">
        <f>IF($G44=AI$5,1000,IF(AI$4=0,1000,SQRT((VLOOKUP($G44,Coords[],3,FALSE)-VLOOKUP(AI$5,Coords[],3,FALSE))^2+(VLOOKUP($G44,Coords[],4,FALSE)-VLOOKUP(AI$5,Coords[],4,FALSE))^2)))</f>
        <v>1000</v>
      </c>
      <c r="AJ44" s="10">
        <f>IF($G44=AJ$5,1000,IF(AJ$4=0,1000,SQRT((VLOOKUP($G44,Coords[],3,FALSE)-VLOOKUP(AJ$5,Coords[],3,FALSE))^2+(VLOOKUP($G44,Coords[],4,FALSE)-VLOOKUP(AJ$5,Coords[],4,FALSE))^2)))</f>
        <v>33.015148038438355</v>
      </c>
      <c r="AK44" s="10">
        <f>IF($G44=AK$5,1000,IF(AK$4=0,1000,SQRT((VLOOKUP($G44,Coords[],3,FALSE)-VLOOKUP(AK$5,Coords[],3,FALSE))^2+(VLOOKUP($G44,Coords[],4,FALSE)-VLOOKUP(AK$5,Coords[],4,FALSE))^2)))</f>
        <v>1000</v>
      </c>
      <c r="AL44" s="10">
        <f>IF($G44=AL$5,1000,IF(AL$4=0,1000,SQRT((VLOOKUP($G44,Coords[],3,FALSE)-VLOOKUP(AL$5,Coords[],3,FALSE))^2+(VLOOKUP($G44,Coords[],4,FALSE)-VLOOKUP(AL$5,Coords[],4,FALSE))^2)))</f>
        <v>1000</v>
      </c>
      <c r="AM44" s="10">
        <f>IF($G44=AM$5,1000,IF(AM$4=0,1000,SQRT((VLOOKUP($G44,Coords[],3,FALSE)-VLOOKUP(AM$5,Coords[],3,FALSE))^2+(VLOOKUP($G44,Coords[],4,FALSE)-VLOOKUP(AM$5,Coords[],4,FALSE))^2)))</f>
        <v>37.443290453698111</v>
      </c>
      <c r="AN44" s="10">
        <f>IF($G44=AN$5,1000,IF(AN$4=0,1000,SQRT((VLOOKUP($G44,Coords[],3,FALSE)-VLOOKUP(AN$5,Coords[],3,FALSE))^2+(VLOOKUP($G44,Coords[],4,FALSE)-VLOOKUP(AN$5,Coords[],4,FALSE))^2)))</f>
        <v>1000</v>
      </c>
      <c r="AO44" s="10">
        <f>IF($G44=AO$5,1000,IF(AO$4=0,1000,SQRT((VLOOKUP($G44,Coords[],3,FALSE)-VLOOKUP(AO$5,Coords[],3,FALSE))^2+(VLOOKUP($G44,Coords[],4,FALSE)-VLOOKUP(AO$5,Coords[],4,FALSE))^2)))</f>
        <v>1000</v>
      </c>
      <c r="AP44" s="10">
        <f>IF($G44=AP$5,1000,IF(AP$4=0,1000,SQRT((VLOOKUP($G44,Coords[],3,FALSE)-VLOOKUP(AP$5,Coords[],3,FALSE))^2+(VLOOKUP($G44,Coords[],4,FALSE)-VLOOKUP(AP$5,Coords[],4,FALSE))^2)))</f>
        <v>1000</v>
      </c>
      <c r="AQ44" s="10">
        <f>IF($G44=AQ$5,1000,IF(AQ$4=0,1000,SQRT((VLOOKUP($G44,Coords[],3,FALSE)-VLOOKUP(AQ$5,Coords[],3,FALSE))^2+(VLOOKUP($G44,Coords[],4,FALSE)-VLOOKUP(AQ$5,Coords[],4,FALSE))^2)))</f>
        <v>1000</v>
      </c>
      <c r="AR44" s="10">
        <f>IF($G44=AR$5,1000,IF(AR$4=0,1000,SQRT((VLOOKUP($G44,Coords[],3,FALSE)-VLOOKUP(AR$5,Coords[],3,FALSE))^2+(VLOOKUP($G44,Coords[],4,FALSE)-VLOOKUP(AR$5,Coords[],4,FALSE))^2)))</f>
        <v>1000</v>
      </c>
      <c r="AS44" s="10">
        <f>IF($G44=AS$5,1000,IF(AS$4=0,1000,SQRT((VLOOKUP($G44,Coords[],3,FALSE)-VLOOKUP(AS$5,Coords[],3,FALSE))^2+(VLOOKUP($G44,Coords[],4,FALSE)-VLOOKUP(AS$5,Coords[],4,FALSE))^2)))</f>
        <v>1000</v>
      </c>
      <c r="AT44" s="10">
        <f>IF($G44=AT$5,1000,IF(AT$4=0,1000,SQRT((VLOOKUP($G44,Coords[],3,FALSE)-VLOOKUP(AT$5,Coords[],3,FALSE))^2+(VLOOKUP($G44,Coords[],4,FALSE)-VLOOKUP(AT$5,Coords[],4,FALSE))^2)))</f>
        <v>1000</v>
      </c>
      <c r="AU44" s="10">
        <f>IF($G44=AU$5,1000,IF(AU$4=0,1000,SQRT((VLOOKUP($G44,Coords[],3,FALSE)-VLOOKUP(AU$5,Coords[],3,FALSE))^2+(VLOOKUP($G44,Coords[],4,FALSE)-VLOOKUP(AU$5,Coords[],4,FALSE))^2)))</f>
        <v>1000</v>
      </c>
      <c r="AV44" s="10">
        <f>IF($G44=AV$5,1000,IF(AV$4=0,1000,SQRT((VLOOKUP($G44,Coords[],3,FALSE)-VLOOKUP(AV$5,Coords[],3,FALSE))^2+(VLOOKUP($G44,Coords[],4,FALSE)-VLOOKUP(AV$5,Coords[],4,FALSE))^2)))</f>
        <v>1000</v>
      </c>
      <c r="AW44" s="10">
        <f>IF($G44=AW$5,1000,IF(AW$4=0,1000,SQRT((VLOOKUP($G44,Coords[],3,FALSE)-VLOOKUP(AW$5,Coords[],3,FALSE))^2+(VLOOKUP($G44,Coords[],4,FALSE)-VLOOKUP(AW$5,Coords[],4,FALSE))^2)))</f>
        <v>1000</v>
      </c>
      <c r="AX44" s="10">
        <f>IF($G44=AX$5,1000,IF(AX$4=0,1000,SQRT((VLOOKUP($G44,Coords[],3,FALSE)-VLOOKUP(AX$5,Coords[],3,FALSE))^2+(VLOOKUP($G44,Coords[],4,FALSE)-VLOOKUP(AX$5,Coords[],4,FALSE))^2)))</f>
        <v>1000</v>
      </c>
      <c r="AY44" s="10">
        <f>IF($G44=AY$5,1000,IF(AY$4=0,1000,SQRT((VLOOKUP($G44,Coords[],3,FALSE)-VLOOKUP(AY$5,Coords[],3,FALSE))^2+(VLOOKUP($G44,Coords[],4,FALSE)-VLOOKUP(AY$5,Coords[],4,FALSE))^2)))</f>
        <v>1000</v>
      </c>
      <c r="AZ44" s="10">
        <f>IF($G44=AZ$5,1000,IF(AZ$4=0,1000,SQRT((VLOOKUP($G44,Coords[],3,FALSE)-VLOOKUP(AZ$5,Coords[],3,FALSE))^2+(VLOOKUP($G44,Coords[],4,FALSE)-VLOOKUP(AZ$5,Coords[],4,FALSE))^2)))</f>
        <v>1000</v>
      </c>
      <c r="BA44" s="10">
        <f>IF($G44=BA$5,1000,IF(BA$4=0,1000,SQRT((VLOOKUP($G44,Coords[],3,FALSE)-VLOOKUP(BA$5,Coords[],3,FALSE))^2+(VLOOKUP($G44,Coords[],4,FALSE)-VLOOKUP(BA$5,Coords[],4,FALSE))^2)))</f>
        <v>1000</v>
      </c>
      <c r="BB44" s="10">
        <f>IF($G44=BB$5,1000,IF(BB$4=0,1000,SQRT((VLOOKUP($G44,Coords[],3,FALSE)-VLOOKUP(BB$5,Coords[],3,FALSE))^2+(VLOOKUP($G44,Coords[],4,FALSE)-VLOOKUP(BB$5,Coords[],4,FALSE))^2)))</f>
        <v>1000</v>
      </c>
      <c r="BC44" s="10">
        <f>IF($G44=BC$5,1000,IF(BC$4=0,1000,SQRT((VLOOKUP($G44,Coords[],3,FALSE)-VLOOKUP(BC$5,Coords[],3,FALSE))^2+(VLOOKUP($G44,Coords[],4,FALSE)-VLOOKUP(BC$5,Coords[],4,FALSE))^2)))</f>
        <v>1000</v>
      </c>
      <c r="BD44" s="10">
        <f>IF($G44=BD$5,1000,IF(BD$4=0,1000,SQRT((VLOOKUP($G44,Coords[],3,FALSE)-VLOOKUP(BD$5,Coords[],3,FALSE))^2+(VLOOKUP($G44,Coords[],4,FALSE)-VLOOKUP(BD$5,Coords[],4,FALSE))^2)))</f>
        <v>1000</v>
      </c>
      <c r="BE44" s="10">
        <f>IF($G44=BE$5,1000,IF(BE$4=0,1000,SQRT((VLOOKUP($G44,Coords[],3,FALSE)-VLOOKUP(BE$5,Coords[],3,FALSE))^2+(VLOOKUP($G44,Coords[],4,FALSE)-VLOOKUP(BE$5,Coords[],4,FALSE))^2)))</f>
        <v>1000</v>
      </c>
      <c r="BF44" s="10">
        <f>IF($G44=BF$5,1000,IF(BF$4=0,1000,SQRT((VLOOKUP($G44,Coords[],3,FALSE)-VLOOKUP(BF$5,Coords[],3,FALSE))^2+(VLOOKUP($G44,Coords[],4,FALSE)-VLOOKUP(BF$5,Coords[],4,FALSE))^2)))</f>
        <v>1000</v>
      </c>
      <c r="BG44" s="4">
        <v>39</v>
      </c>
      <c r="BI44" s="5">
        <f>IF(E44=1,0,VLOOKUP($G44,$G$6:$BF$57,HLOOKUP(MIN(H44:BF44),$H44:$BF$57,((COUNT($G$6:$G$56)+2)-$G44),FALSE),FALSE)*B44)</f>
        <v>99.045444115315064</v>
      </c>
      <c r="BJ44" s="9">
        <f>VLOOKUP($G44,$G$6:$BF$57,HLOOKUP(MIN(H44:BF44),$H44:$BF$57,((COUNT($G$6:$G$56)+2)-$G44),FALSE),FALSE)</f>
        <v>33.015148038438355</v>
      </c>
      <c r="BK44" s="7">
        <f>HLOOKUP(MIN(H44:BF44),$H44:$BF$57,((COUNT($G$6:$G$56)+2)-$G44),FALSE)</f>
        <v>30</v>
      </c>
      <c r="BL44">
        <f>BJ44*Coords[[#This Row],[Demand]]</f>
        <v>99.045444115315064</v>
      </c>
      <c r="BN44">
        <v>39</v>
      </c>
      <c r="BO44">
        <v>7779.2126269355431</v>
      </c>
      <c r="BP44">
        <v>7721.6563986239207</v>
      </c>
    </row>
    <row r="45" spans="1:68" x14ac:dyDescent="0.25">
      <c r="A45" s="8">
        <v>40</v>
      </c>
      <c r="B45" s="3">
        <v>5</v>
      </c>
      <c r="C45" s="3">
        <v>5</v>
      </c>
      <c r="D45" s="3">
        <v>6</v>
      </c>
      <c r="E45">
        <v>0</v>
      </c>
      <c r="G45" s="4">
        <v>40</v>
      </c>
      <c r="H45" s="10">
        <f>IF($G45=H$5,1000,IF(H$4=0,1000,SQRT((VLOOKUP($G45,Coords[],3,FALSE)-VLOOKUP(H$5,Coords[],3,FALSE))^2+(VLOOKUP($G45,Coords[],4,FALSE)-VLOOKUP(H$5,Coords[],4,FALSE))^2)))</f>
        <v>1000</v>
      </c>
      <c r="I45" s="10">
        <f>IF($G45=I$5,1000,IF(I$4=0,1000,SQRT((VLOOKUP($G45,Coords[],3,FALSE)-VLOOKUP(I$5,Coords[],3,FALSE))^2+(VLOOKUP($G45,Coords[],4,FALSE)-VLOOKUP(I$5,Coords[],4,FALSE))^2)))</f>
        <v>1000</v>
      </c>
      <c r="J45" s="10">
        <f>IF($G45=J$5,1000,IF(J$4=0,1000,SQRT((VLOOKUP($G45,Coords[],3,FALSE)-VLOOKUP(J$5,Coords[],3,FALSE))^2+(VLOOKUP($G45,Coords[],4,FALSE)-VLOOKUP(J$5,Coords[],4,FALSE))^2)))</f>
        <v>1000</v>
      </c>
      <c r="K45" s="10">
        <f>IF($G45=K$5,1000,IF(K$4=0,1000,SQRT((VLOOKUP($G45,Coords[],3,FALSE)-VLOOKUP(K$5,Coords[],3,FALSE))^2+(VLOOKUP($G45,Coords[],4,FALSE)-VLOOKUP(K$5,Coords[],4,FALSE))^2)))</f>
        <v>1000</v>
      </c>
      <c r="L45" s="10">
        <f>IF($G45=L$5,1000,IF(L$4=0,1000,SQRT((VLOOKUP($G45,Coords[],3,FALSE)-VLOOKUP(L$5,Coords[],3,FALSE))^2+(VLOOKUP($G45,Coords[],4,FALSE)-VLOOKUP(L$5,Coords[],4,FALSE))^2)))</f>
        <v>1000</v>
      </c>
      <c r="M45" s="10">
        <f>IF($G45=M$5,1000,IF(M$4=0,1000,SQRT((VLOOKUP($G45,Coords[],3,FALSE)-VLOOKUP(M$5,Coords[],3,FALSE))^2+(VLOOKUP($G45,Coords[],4,FALSE)-VLOOKUP(M$5,Coords[],4,FALSE))^2)))</f>
        <v>1000</v>
      </c>
      <c r="N45" s="10">
        <f>IF($G45=N$5,1000,IF(N$4=0,1000,SQRT((VLOOKUP($G45,Coords[],3,FALSE)-VLOOKUP(N$5,Coords[],3,FALSE))^2+(VLOOKUP($G45,Coords[],4,FALSE)-VLOOKUP(N$5,Coords[],4,FALSE))^2)))</f>
        <v>1000</v>
      </c>
      <c r="O45" s="10">
        <f>IF($G45=O$5,1000,IF(O$4=0,1000,SQRT((VLOOKUP($G45,Coords[],3,FALSE)-VLOOKUP(O$5,Coords[],3,FALSE))^2+(VLOOKUP($G45,Coords[],4,FALSE)-VLOOKUP(O$5,Coords[],4,FALSE))^2)))</f>
        <v>61.741396161732524</v>
      </c>
      <c r="P45" s="10">
        <f>IF($G45=P$5,1000,IF(P$4=0,1000,SQRT((VLOOKUP($G45,Coords[],3,FALSE)-VLOOKUP(P$5,Coords[],3,FALSE))^2+(VLOOKUP($G45,Coords[],4,FALSE)-VLOOKUP(P$5,Coords[],4,FALSE))^2)))</f>
        <v>1000</v>
      </c>
      <c r="Q45" s="10">
        <f>IF($G45=Q$5,1000,IF(Q$4=0,1000,SQRT((VLOOKUP($G45,Coords[],3,FALSE)-VLOOKUP(Q$5,Coords[],3,FALSE))^2+(VLOOKUP($G45,Coords[],4,FALSE)-VLOOKUP(Q$5,Coords[],4,FALSE))^2)))</f>
        <v>1000</v>
      </c>
      <c r="R45" s="10">
        <f>IF($G45=R$5,1000,IF(R$4=0,1000,SQRT((VLOOKUP($G45,Coords[],3,FALSE)-VLOOKUP(R$5,Coords[],3,FALSE))^2+(VLOOKUP($G45,Coords[],4,FALSE)-VLOOKUP(R$5,Coords[],4,FALSE))^2)))</f>
        <v>1000</v>
      </c>
      <c r="S45" s="10">
        <f>IF($G45=S$5,1000,IF(S$4=0,1000,SQRT((VLOOKUP($G45,Coords[],3,FALSE)-VLOOKUP(S$5,Coords[],3,FALSE))^2+(VLOOKUP($G45,Coords[],4,FALSE)-VLOOKUP(S$5,Coords[],4,FALSE))^2)))</f>
        <v>1000</v>
      </c>
      <c r="T45" s="10">
        <f>IF($G45=T$5,1000,IF(T$4=0,1000,SQRT((VLOOKUP($G45,Coords[],3,FALSE)-VLOOKUP(T$5,Coords[],3,FALSE))^2+(VLOOKUP($G45,Coords[],4,FALSE)-VLOOKUP(T$5,Coords[],4,FALSE))^2)))</f>
        <v>1000</v>
      </c>
      <c r="U45" s="10">
        <f>IF($G45=U$5,1000,IF(U$4=0,1000,SQRT((VLOOKUP($G45,Coords[],3,FALSE)-VLOOKUP(U$5,Coords[],3,FALSE))^2+(VLOOKUP($G45,Coords[],4,FALSE)-VLOOKUP(U$5,Coords[],4,FALSE))^2)))</f>
        <v>1000</v>
      </c>
      <c r="V45" s="10">
        <f>IF($G45=V$5,1000,IF(V$4=0,1000,SQRT((VLOOKUP($G45,Coords[],3,FALSE)-VLOOKUP(V$5,Coords[],3,FALSE))^2+(VLOOKUP($G45,Coords[],4,FALSE)-VLOOKUP(V$5,Coords[],4,FALSE))^2)))</f>
        <v>1000</v>
      </c>
      <c r="W45" s="10">
        <f>IF($G45=W$5,1000,IF(W$4=0,1000,SQRT((VLOOKUP($G45,Coords[],3,FALSE)-VLOOKUP(W$5,Coords[],3,FALSE))^2+(VLOOKUP($G45,Coords[],4,FALSE)-VLOOKUP(W$5,Coords[],4,FALSE))^2)))</f>
        <v>1000</v>
      </c>
      <c r="X45" s="10">
        <f>IF($G45=X$5,1000,IF(X$4=0,1000,SQRT((VLOOKUP($G45,Coords[],3,FALSE)-VLOOKUP(X$5,Coords[],3,FALSE))^2+(VLOOKUP($G45,Coords[],4,FALSE)-VLOOKUP(X$5,Coords[],4,FALSE))^2)))</f>
        <v>1000</v>
      </c>
      <c r="Y45" s="10">
        <f>IF($G45=Y$5,1000,IF(Y$4=0,1000,SQRT((VLOOKUP($G45,Coords[],3,FALSE)-VLOOKUP(Y$5,Coords[],3,FALSE))^2+(VLOOKUP($G45,Coords[],4,FALSE)-VLOOKUP(Y$5,Coords[],4,FALSE))^2)))</f>
        <v>1000</v>
      </c>
      <c r="Z45" s="10">
        <f>IF($G45=Z$5,1000,IF(Z$4=0,1000,SQRT((VLOOKUP($G45,Coords[],3,FALSE)-VLOOKUP(Z$5,Coords[],3,FALSE))^2+(VLOOKUP($G45,Coords[],4,FALSE)-VLOOKUP(Z$5,Coords[],4,FALSE))^2)))</f>
        <v>1000</v>
      </c>
      <c r="AA45" s="10">
        <f>IF($G45=AA$5,1000,IF(AA$4=0,1000,SQRT((VLOOKUP($G45,Coords[],3,FALSE)-VLOOKUP(AA$5,Coords[],3,FALSE))^2+(VLOOKUP($G45,Coords[],4,FALSE)-VLOOKUP(AA$5,Coords[],4,FALSE))^2)))</f>
        <v>73.53910524340094</v>
      </c>
      <c r="AB45" s="10">
        <f>IF($G45=AB$5,1000,IF(AB$4=0,1000,SQRT((VLOOKUP($G45,Coords[],3,FALSE)-VLOOKUP(AB$5,Coords[],3,FALSE))^2+(VLOOKUP($G45,Coords[],4,FALSE)-VLOOKUP(AB$5,Coords[],4,FALSE))^2)))</f>
        <v>1000</v>
      </c>
      <c r="AC45" s="10">
        <f>IF($G45=AC$5,1000,IF(AC$4=0,1000,SQRT((VLOOKUP($G45,Coords[],3,FALSE)-VLOOKUP(AC$5,Coords[],3,FALSE))^2+(VLOOKUP($G45,Coords[],4,FALSE)-VLOOKUP(AC$5,Coords[],4,FALSE))^2)))</f>
        <v>1000</v>
      </c>
      <c r="AD45" s="10">
        <f>IF($G45=AD$5,1000,IF(AD$4=0,1000,SQRT((VLOOKUP($G45,Coords[],3,FALSE)-VLOOKUP(AD$5,Coords[],3,FALSE))^2+(VLOOKUP($G45,Coords[],4,FALSE)-VLOOKUP(AD$5,Coords[],4,FALSE))^2)))</f>
        <v>1000</v>
      </c>
      <c r="AE45" s="10">
        <f>IF($G45=AE$5,1000,IF(AE$4=0,1000,SQRT((VLOOKUP($G45,Coords[],3,FALSE)-VLOOKUP(AE$5,Coords[],3,FALSE))^2+(VLOOKUP($G45,Coords[],4,FALSE)-VLOOKUP(AE$5,Coords[],4,FALSE))^2)))</f>
        <v>1000</v>
      </c>
      <c r="AF45" s="10">
        <f>IF($G45=AF$5,1000,IF(AF$4=0,1000,SQRT((VLOOKUP($G45,Coords[],3,FALSE)-VLOOKUP(AF$5,Coords[],3,FALSE))^2+(VLOOKUP($G45,Coords[],4,FALSE)-VLOOKUP(AF$5,Coords[],4,FALSE))^2)))</f>
        <v>1000</v>
      </c>
      <c r="AG45" s="10">
        <f>IF($G45=AG$5,1000,IF(AG$4=0,1000,SQRT((VLOOKUP($G45,Coords[],3,FALSE)-VLOOKUP(AG$5,Coords[],3,FALSE))^2+(VLOOKUP($G45,Coords[],4,FALSE)-VLOOKUP(AG$5,Coords[],4,FALSE))^2)))</f>
        <v>1000</v>
      </c>
      <c r="AH45" s="10">
        <f>IF($G45=AH$5,1000,IF(AH$4=0,1000,SQRT((VLOOKUP($G45,Coords[],3,FALSE)-VLOOKUP(AH$5,Coords[],3,FALSE))^2+(VLOOKUP($G45,Coords[],4,FALSE)-VLOOKUP(AH$5,Coords[],4,FALSE))^2)))</f>
        <v>1000</v>
      </c>
      <c r="AI45" s="10">
        <f>IF($G45=AI$5,1000,IF(AI$4=0,1000,SQRT((VLOOKUP($G45,Coords[],3,FALSE)-VLOOKUP(AI$5,Coords[],3,FALSE))^2+(VLOOKUP($G45,Coords[],4,FALSE)-VLOOKUP(AI$5,Coords[],4,FALSE))^2)))</f>
        <v>1000</v>
      </c>
      <c r="AJ45" s="10">
        <f>IF($G45=AJ$5,1000,IF(AJ$4=0,1000,SQRT((VLOOKUP($G45,Coords[],3,FALSE)-VLOOKUP(AJ$5,Coords[],3,FALSE))^2+(VLOOKUP($G45,Coords[],4,FALSE)-VLOOKUP(AJ$5,Coords[],4,FALSE))^2)))</f>
        <v>67.623960250786851</v>
      </c>
      <c r="AK45" s="10">
        <f>IF($G45=AK$5,1000,IF(AK$4=0,1000,SQRT((VLOOKUP($G45,Coords[],3,FALSE)-VLOOKUP(AK$5,Coords[],3,FALSE))^2+(VLOOKUP($G45,Coords[],4,FALSE)-VLOOKUP(AK$5,Coords[],4,FALSE))^2)))</f>
        <v>1000</v>
      </c>
      <c r="AL45" s="10">
        <f>IF($G45=AL$5,1000,IF(AL$4=0,1000,SQRT((VLOOKUP($G45,Coords[],3,FALSE)-VLOOKUP(AL$5,Coords[],3,FALSE))^2+(VLOOKUP($G45,Coords[],4,FALSE)-VLOOKUP(AL$5,Coords[],4,FALSE))^2)))</f>
        <v>1000</v>
      </c>
      <c r="AM45" s="10">
        <f>IF($G45=AM$5,1000,IF(AM$4=0,1000,SQRT((VLOOKUP($G45,Coords[],3,FALSE)-VLOOKUP(AM$5,Coords[],3,FALSE))^2+(VLOOKUP($G45,Coords[],4,FALSE)-VLOOKUP(AM$5,Coords[],4,FALSE))^2)))</f>
        <v>51.855568649856693</v>
      </c>
      <c r="AN45" s="10">
        <f>IF($G45=AN$5,1000,IF(AN$4=0,1000,SQRT((VLOOKUP($G45,Coords[],3,FALSE)-VLOOKUP(AN$5,Coords[],3,FALSE))^2+(VLOOKUP($G45,Coords[],4,FALSE)-VLOOKUP(AN$5,Coords[],4,FALSE))^2)))</f>
        <v>1000</v>
      </c>
      <c r="AO45" s="10">
        <f>IF($G45=AO$5,1000,IF(AO$4=0,1000,SQRT((VLOOKUP($G45,Coords[],3,FALSE)-VLOOKUP(AO$5,Coords[],3,FALSE))^2+(VLOOKUP($G45,Coords[],4,FALSE)-VLOOKUP(AO$5,Coords[],4,FALSE))^2)))</f>
        <v>1000</v>
      </c>
      <c r="AP45" s="10">
        <f>IF($G45=AP$5,1000,IF(AP$4=0,1000,SQRT((VLOOKUP($G45,Coords[],3,FALSE)-VLOOKUP(AP$5,Coords[],3,FALSE))^2+(VLOOKUP($G45,Coords[],4,FALSE)-VLOOKUP(AP$5,Coords[],4,FALSE))^2)))</f>
        <v>1000</v>
      </c>
      <c r="AQ45" s="10">
        <f>IF($G45=AQ$5,1000,IF(AQ$4=0,1000,SQRT((VLOOKUP($G45,Coords[],3,FALSE)-VLOOKUP(AQ$5,Coords[],3,FALSE))^2+(VLOOKUP($G45,Coords[],4,FALSE)-VLOOKUP(AQ$5,Coords[],4,FALSE))^2)))</f>
        <v>1000</v>
      </c>
      <c r="AR45" s="10">
        <f>IF($G45=AR$5,1000,IF(AR$4=0,1000,SQRT((VLOOKUP($G45,Coords[],3,FALSE)-VLOOKUP(AR$5,Coords[],3,FALSE))^2+(VLOOKUP($G45,Coords[],4,FALSE)-VLOOKUP(AR$5,Coords[],4,FALSE))^2)))</f>
        <v>1000</v>
      </c>
      <c r="AS45" s="10">
        <f>IF($G45=AS$5,1000,IF(AS$4=0,1000,SQRT((VLOOKUP($G45,Coords[],3,FALSE)-VLOOKUP(AS$5,Coords[],3,FALSE))^2+(VLOOKUP($G45,Coords[],4,FALSE)-VLOOKUP(AS$5,Coords[],4,FALSE))^2)))</f>
        <v>1000</v>
      </c>
      <c r="AT45" s="10">
        <f>IF($G45=AT$5,1000,IF(AT$4=0,1000,SQRT((VLOOKUP($G45,Coords[],3,FALSE)-VLOOKUP(AT$5,Coords[],3,FALSE))^2+(VLOOKUP($G45,Coords[],4,FALSE)-VLOOKUP(AT$5,Coords[],4,FALSE))^2)))</f>
        <v>1000</v>
      </c>
      <c r="AU45" s="10">
        <f>IF($G45=AU$5,1000,IF(AU$4=0,1000,SQRT((VLOOKUP($G45,Coords[],3,FALSE)-VLOOKUP(AU$5,Coords[],3,FALSE))^2+(VLOOKUP($G45,Coords[],4,FALSE)-VLOOKUP(AU$5,Coords[],4,FALSE))^2)))</f>
        <v>1000</v>
      </c>
      <c r="AV45" s="10">
        <f>IF($G45=AV$5,1000,IF(AV$4=0,1000,SQRT((VLOOKUP($G45,Coords[],3,FALSE)-VLOOKUP(AV$5,Coords[],3,FALSE))^2+(VLOOKUP($G45,Coords[],4,FALSE)-VLOOKUP(AV$5,Coords[],4,FALSE))^2)))</f>
        <v>1000</v>
      </c>
      <c r="AW45" s="10">
        <f>IF($G45=AW$5,1000,IF(AW$4=0,1000,SQRT((VLOOKUP($G45,Coords[],3,FALSE)-VLOOKUP(AW$5,Coords[],3,FALSE))^2+(VLOOKUP($G45,Coords[],4,FALSE)-VLOOKUP(AW$5,Coords[],4,FALSE))^2)))</f>
        <v>1000</v>
      </c>
      <c r="AX45" s="10">
        <f>IF($G45=AX$5,1000,IF(AX$4=0,1000,SQRT((VLOOKUP($G45,Coords[],3,FALSE)-VLOOKUP(AX$5,Coords[],3,FALSE))^2+(VLOOKUP($G45,Coords[],4,FALSE)-VLOOKUP(AX$5,Coords[],4,FALSE))^2)))</f>
        <v>1000</v>
      </c>
      <c r="AY45" s="10">
        <f>IF($G45=AY$5,1000,IF(AY$4=0,1000,SQRT((VLOOKUP($G45,Coords[],3,FALSE)-VLOOKUP(AY$5,Coords[],3,FALSE))^2+(VLOOKUP($G45,Coords[],4,FALSE)-VLOOKUP(AY$5,Coords[],4,FALSE))^2)))</f>
        <v>1000</v>
      </c>
      <c r="AZ45" s="10">
        <f>IF($G45=AZ$5,1000,IF(AZ$4=0,1000,SQRT((VLOOKUP($G45,Coords[],3,FALSE)-VLOOKUP(AZ$5,Coords[],3,FALSE))^2+(VLOOKUP($G45,Coords[],4,FALSE)-VLOOKUP(AZ$5,Coords[],4,FALSE))^2)))</f>
        <v>1000</v>
      </c>
      <c r="BA45" s="10">
        <f>IF($G45=BA$5,1000,IF(BA$4=0,1000,SQRT((VLOOKUP($G45,Coords[],3,FALSE)-VLOOKUP(BA$5,Coords[],3,FALSE))^2+(VLOOKUP($G45,Coords[],4,FALSE)-VLOOKUP(BA$5,Coords[],4,FALSE))^2)))</f>
        <v>1000</v>
      </c>
      <c r="BB45" s="10">
        <f>IF($G45=BB$5,1000,IF(BB$4=0,1000,SQRT((VLOOKUP($G45,Coords[],3,FALSE)-VLOOKUP(BB$5,Coords[],3,FALSE))^2+(VLOOKUP($G45,Coords[],4,FALSE)-VLOOKUP(BB$5,Coords[],4,FALSE))^2)))</f>
        <v>1000</v>
      </c>
      <c r="BC45" s="10">
        <f>IF($G45=BC$5,1000,IF(BC$4=0,1000,SQRT((VLOOKUP($G45,Coords[],3,FALSE)-VLOOKUP(BC$5,Coords[],3,FALSE))^2+(VLOOKUP($G45,Coords[],4,FALSE)-VLOOKUP(BC$5,Coords[],4,FALSE))^2)))</f>
        <v>1000</v>
      </c>
      <c r="BD45" s="10">
        <f>IF($G45=BD$5,1000,IF(BD$4=0,1000,SQRT((VLOOKUP($G45,Coords[],3,FALSE)-VLOOKUP(BD$5,Coords[],3,FALSE))^2+(VLOOKUP($G45,Coords[],4,FALSE)-VLOOKUP(BD$5,Coords[],4,FALSE))^2)))</f>
        <v>1000</v>
      </c>
      <c r="BE45" s="10">
        <f>IF($G45=BE$5,1000,IF(BE$4=0,1000,SQRT((VLOOKUP($G45,Coords[],3,FALSE)-VLOOKUP(BE$5,Coords[],3,FALSE))^2+(VLOOKUP($G45,Coords[],4,FALSE)-VLOOKUP(BE$5,Coords[],4,FALSE))^2)))</f>
        <v>1000</v>
      </c>
      <c r="BF45" s="10">
        <f>IF($G45=BF$5,1000,IF(BF$4=0,1000,SQRT((VLOOKUP($G45,Coords[],3,FALSE)-VLOOKUP(BF$5,Coords[],3,FALSE))^2+(VLOOKUP($G45,Coords[],4,FALSE)-VLOOKUP(BF$5,Coords[],4,FALSE))^2)))</f>
        <v>1000</v>
      </c>
      <c r="BG45" s="4">
        <v>40</v>
      </c>
      <c r="BI45" s="5">
        <f>IF(E45=1,0,VLOOKUP($G45,$G$6:$BF$57,HLOOKUP(MIN(H45:BF45),$H45:$BF$57,((COUNT($G$6:$G$56)+2)-$G45),FALSE),FALSE)*B45)</f>
        <v>259.27784324928348</v>
      </c>
      <c r="BJ45" s="9">
        <f>VLOOKUP($G45,$G$6:$BF$57,HLOOKUP(MIN(H45:BF45),$H45:$BF$57,((COUNT($G$6:$G$56)+2)-$G45),FALSE),FALSE)</f>
        <v>51.855568649856693</v>
      </c>
      <c r="BK45" s="7">
        <f>HLOOKUP(MIN(H45:BF45),$H45:$BF$57,((COUNT($G$6:$G$56)+2)-$G45),FALSE)</f>
        <v>33</v>
      </c>
      <c r="BL45">
        <f>BJ45*Coords[[#This Row],[Demand]]</f>
        <v>259.27784324928348</v>
      </c>
      <c r="BN45">
        <v>40</v>
      </c>
      <c r="BO45">
        <v>7721.6563986239207</v>
      </c>
      <c r="BP45">
        <v>56068.79578979122</v>
      </c>
    </row>
    <row r="46" spans="1:68" x14ac:dyDescent="0.25">
      <c r="A46" s="8">
        <v>41</v>
      </c>
      <c r="B46" s="3">
        <v>21</v>
      </c>
      <c r="C46" s="3">
        <v>10</v>
      </c>
      <c r="D46" s="3">
        <v>17</v>
      </c>
      <c r="E46">
        <v>0</v>
      </c>
      <c r="G46" s="4">
        <v>41</v>
      </c>
      <c r="H46" s="10">
        <f>IF($G46=H$5,1000,IF(H$4=0,1000,SQRT((VLOOKUP($G46,Coords[],3,FALSE)-VLOOKUP(H$5,Coords[],3,FALSE))^2+(VLOOKUP($G46,Coords[],4,FALSE)-VLOOKUP(H$5,Coords[],4,FALSE))^2)))</f>
        <v>1000</v>
      </c>
      <c r="I46" s="10">
        <f>IF($G46=I$5,1000,IF(I$4=0,1000,SQRT((VLOOKUP($G46,Coords[],3,FALSE)-VLOOKUP(I$5,Coords[],3,FALSE))^2+(VLOOKUP($G46,Coords[],4,FALSE)-VLOOKUP(I$5,Coords[],4,FALSE))^2)))</f>
        <v>1000</v>
      </c>
      <c r="J46" s="10">
        <f>IF($G46=J$5,1000,IF(J$4=0,1000,SQRT((VLOOKUP($G46,Coords[],3,FALSE)-VLOOKUP(J$5,Coords[],3,FALSE))^2+(VLOOKUP($G46,Coords[],4,FALSE)-VLOOKUP(J$5,Coords[],4,FALSE))^2)))</f>
        <v>1000</v>
      </c>
      <c r="K46" s="10">
        <f>IF($G46=K$5,1000,IF(K$4=0,1000,SQRT((VLOOKUP($G46,Coords[],3,FALSE)-VLOOKUP(K$5,Coords[],3,FALSE))^2+(VLOOKUP($G46,Coords[],4,FALSE)-VLOOKUP(K$5,Coords[],4,FALSE))^2)))</f>
        <v>1000</v>
      </c>
      <c r="L46" s="10">
        <f>IF($G46=L$5,1000,IF(L$4=0,1000,SQRT((VLOOKUP($G46,Coords[],3,FALSE)-VLOOKUP(L$5,Coords[],3,FALSE))^2+(VLOOKUP($G46,Coords[],4,FALSE)-VLOOKUP(L$5,Coords[],4,FALSE))^2)))</f>
        <v>1000</v>
      </c>
      <c r="M46" s="10">
        <f>IF($G46=M$5,1000,IF(M$4=0,1000,SQRT((VLOOKUP($G46,Coords[],3,FALSE)-VLOOKUP(M$5,Coords[],3,FALSE))^2+(VLOOKUP($G46,Coords[],4,FALSE)-VLOOKUP(M$5,Coords[],4,FALSE))^2)))</f>
        <v>1000</v>
      </c>
      <c r="N46" s="10">
        <f>IF($G46=N$5,1000,IF(N$4=0,1000,SQRT((VLOOKUP($G46,Coords[],3,FALSE)-VLOOKUP(N$5,Coords[],3,FALSE))^2+(VLOOKUP($G46,Coords[],4,FALSE)-VLOOKUP(N$5,Coords[],4,FALSE))^2)))</f>
        <v>1000</v>
      </c>
      <c r="O46" s="10">
        <f>IF($G46=O$5,1000,IF(O$4=0,1000,SQRT((VLOOKUP($G46,Coords[],3,FALSE)-VLOOKUP(O$5,Coords[],3,FALSE))^2+(VLOOKUP($G46,Coords[],4,FALSE)-VLOOKUP(O$5,Coords[],4,FALSE))^2)))</f>
        <v>49.658836071740545</v>
      </c>
      <c r="P46" s="10">
        <f>IF($G46=P$5,1000,IF(P$4=0,1000,SQRT((VLOOKUP($G46,Coords[],3,FALSE)-VLOOKUP(P$5,Coords[],3,FALSE))^2+(VLOOKUP($G46,Coords[],4,FALSE)-VLOOKUP(P$5,Coords[],4,FALSE))^2)))</f>
        <v>1000</v>
      </c>
      <c r="Q46" s="10">
        <f>IF($G46=Q$5,1000,IF(Q$4=0,1000,SQRT((VLOOKUP($G46,Coords[],3,FALSE)-VLOOKUP(Q$5,Coords[],3,FALSE))^2+(VLOOKUP($G46,Coords[],4,FALSE)-VLOOKUP(Q$5,Coords[],4,FALSE))^2)))</f>
        <v>1000</v>
      </c>
      <c r="R46" s="10">
        <f>IF($G46=R$5,1000,IF(R$4=0,1000,SQRT((VLOOKUP($G46,Coords[],3,FALSE)-VLOOKUP(R$5,Coords[],3,FALSE))^2+(VLOOKUP($G46,Coords[],4,FALSE)-VLOOKUP(R$5,Coords[],4,FALSE))^2)))</f>
        <v>1000</v>
      </c>
      <c r="S46" s="10">
        <f>IF($G46=S$5,1000,IF(S$4=0,1000,SQRT((VLOOKUP($G46,Coords[],3,FALSE)-VLOOKUP(S$5,Coords[],3,FALSE))^2+(VLOOKUP($G46,Coords[],4,FALSE)-VLOOKUP(S$5,Coords[],4,FALSE))^2)))</f>
        <v>1000</v>
      </c>
      <c r="T46" s="10">
        <f>IF($G46=T$5,1000,IF(T$4=0,1000,SQRT((VLOOKUP($G46,Coords[],3,FALSE)-VLOOKUP(T$5,Coords[],3,FALSE))^2+(VLOOKUP($G46,Coords[],4,FALSE)-VLOOKUP(T$5,Coords[],4,FALSE))^2)))</f>
        <v>1000</v>
      </c>
      <c r="U46" s="10">
        <f>IF($G46=U$5,1000,IF(U$4=0,1000,SQRT((VLOOKUP($G46,Coords[],3,FALSE)-VLOOKUP(U$5,Coords[],3,FALSE))^2+(VLOOKUP($G46,Coords[],4,FALSE)-VLOOKUP(U$5,Coords[],4,FALSE))^2)))</f>
        <v>1000</v>
      </c>
      <c r="V46" s="10">
        <f>IF($G46=V$5,1000,IF(V$4=0,1000,SQRT((VLOOKUP($G46,Coords[],3,FALSE)-VLOOKUP(V$5,Coords[],3,FALSE))^2+(VLOOKUP($G46,Coords[],4,FALSE)-VLOOKUP(V$5,Coords[],4,FALSE))^2)))</f>
        <v>1000</v>
      </c>
      <c r="W46" s="10">
        <f>IF($G46=W$5,1000,IF(W$4=0,1000,SQRT((VLOOKUP($G46,Coords[],3,FALSE)-VLOOKUP(W$5,Coords[],3,FALSE))^2+(VLOOKUP($G46,Coords[],4,FALSE)-VLOOKUP(W$5,Coords[],4,FALSE))^2)))</f>
        <v>1000</v>
      </c>
      <c r="X46" s="10">
        <f>IF($G46=X$5,1000,IF(X$4=0,1000,SQRT((VLOOKUP($G46,Coords[],3,FALSE)-VLOOKUP(X$5,Coords[],3,FALSE))^2+(VLOOKUP($G46,Coords[],4,FALSE)-VLOOKUP(X$5,Coords[],4,FALSE))^2)))</f>
        <v>1000</v>
      </c>
      <c r="Y46" s="10">
        <f>IF($G46=Y$5,1000,IF(Y$4=0,1000,SQRT((VLOOKUP($G46,Coords[],3,FALSE)-VLOOKUP(Y$5,Coords[],3,FALSE))^2+(VLOOKUP($G46,Coords[],4,FALSE)-VLOOKUP(Y$5,Coords[],4,FALSE))^2)))</f>
        <v>1000</v>
      </c>
      <c r="Z46" s="10">
        <f>IF($G46=Z$5,1000,IF(Z$4=0,1000,SQRT((VLOOKUP($G46,Coords[],3,FALSE)-VLOOKUP(Z$5,Coords[],3,FALSE))^2+(VLOOKUP($G46,Coords[],4,FALSE)-VLOOKUP(Z$5,Coords[],4,FALSE))^2)))</f>
        <v>1000</v>
      </c>
      <c r="AA46" s="10">
        <f>IF($G46=AA$5,1000,IF(AA$4=0,1000,SQRT((VLOOKUP($G46,Coords[],3,FALSE)-VLOOKUP(AA$5,Coords[],3,FALSE))^2+(VLOOKUP($G46,Coords[],4,FALSE)-VLOOKUP(AA$5,Coords[],4,FALSE))^2)))</f>
        <v>62.369864518050704</v>
      </c>
      <c r="AB46" s="10">
        <f>IF($G46=AB$5,1000,IF(AB$4=0,1000,SQRT((VLOOKUP($G46,Coords[],3,FALSE)-VLOOKUP(AB$5,Coords[],3,FALSE))^2+(VLOOKUP($G46,Coords[],4,FALSE)-VLOOKUP(AB$5,Coords[],4,FALSE))^2)))</f>
        <v>1000</v>
      </c>
      <c r="AC46" s="10">
        <f>IF($G46=AC$5,1000,IF(AC$4=0,1000,SQRT((VLOOKUP($G46,Coords[],3,FALSE)-VLOOKUP(AC$5,Coords[],3,FALSE))^2+(VLOOKUP($G46,Coords[],4,FALSE)-VLOOKUP(AC$5,Coords[],4,FALSE))^2)))</f>
        <v>1000</v>
      </c>
      <c r="AD46" s="10">
        <f>IF($G46=AD$5,1000,IF(AD$4=0,1000,SQRT((VLOOKUP($G46,Coords[],3,FALSE)-VLOOKUP(AD$5,Coords[],3,FALSE))^2+(VLOOKUP($G46,Coords[],4,FALSE)-VLOOKUP(AD$5,Coords[],4,FALSE))^2)))</f>
        <v>1000</v>
      </c>
      <c r="AE46" s="10">
        <f>IF($G46=AE$5,1000,IF(AE$4=0,1000,SQRT((VLOOKUP($G46,Coords[],3,FALSE)-VLOOKUP(AE$5,Coords[],3,FALSE))^2+(VLOOKUP($G46,Coords[],4,FALSE)-VLOOKUP(AE$5,Coords[],4,FALSE))^2)))</f>
        <v>1000</v>
      </c>
      <c r="AF46" s="10">
        <f>IF($G46=AF$5,1000,IF(AF$4=0,1000,SQRT((VLOOKUP($G46,Coords[],3,FALSE)-VLOOKUP(AF$5,Coords[],3,FALSE))^2+(VLOOKUP($G46,Coords[],4,FALSE)-VLOOKUP(AF$5,Coords[],4,FALSE))^2)))</f>
        <v>1000</v>
      </c>
      <c r="AG46" s="10">
        <f>IF($G46=AG$5,1000,IF(AG$4=0,1000,SQRT((VLOOKUP($G46,Coords[],3,FALSE)-VLOOKUP(AG$5,Coords[],3,FALSE))^2+(VLOOKUP($G46,Coords[],4,FALSE)-VLOOKUP(AG$5,Coords[],4,FALSE))^2)))</f>
        <v>1000</v>
      </c>
      <c r="AH46" s="10">
        <f>IF($G46=AH$5,1000,IF(AH$4=0,1000,SQRT((VLOOKUP($G46,Coords[],3,FALSE)-VLOOKUP(AH$5,Coords[],3,FALSE))^2+(VLOOKUP($G46,Coords[],4,FALSE)-VLOOKUP(AH$5,Coords[],4,FALSE))^2)))</f>
        <v>1000</v>
      </c>
      <c r="AI46" s="10">
        <f>IF($G46=AI$5,1000,IF(AI$4=0,1000,SQRT((VLOOKUP($G46,Coords[],3,FALSE)-VLOOKUP(AI$5,Coords[],3,FALSE))^2+(VLOOKUP($G46,Coords[],4,FALSE)-VLOOKUP(AI$5,Coords[],4,FALSE))^2)))</f>
        <v>1000</v>
      </c>
      <c r="AJ46" s="10">
        <f>IF($G46=AJ$5,1000,IF(AJ$4=0,1000,SQRT((VLOOKUP($G46,Coords[],3,FALSE)-VLOOKUP(AJ$5,Coords[],3,FALSE))^2+(VLOOKUP($G46,Coords[],4,FALSE)-VLOOKUP(AJ$5,Coords[],4,FALSE))^2)))</f>
        <v>57.140178508646613</v>
      </c>
      <c r="AK46" s="10">
        <f>IF($G46=AK$5,1000,IF(AK$4=0,1000,SQRT((VLOOKUP($G46,Coords[],3,FALSE)-VLOOKUP(AK$5,Coords[],3,FALSE))^2+(VLOOKUP($G46,Coords[],4,FALSE)-VLOOKUP(AK$5,Coords[],4,FALSE))^2)))</f>
        <v>1000</v>
      </c>
      <c r="AL46" s="10">
        <f>IF($G46=AL$5,1000,IF(AL$4=0,1000,SQRT((VLOOKUP($G46,Coords[],3,FALSE)-VLOOKUP(AL$5,Coords[],3,FALSE))^2+(VLOOKUP($G46,Coords[],4,FALSE)-VLOOKUP(AL$5,Coords[],4,FALSE))^2)))</f>
        <v>1000</v>
      </c>
      <c r="AM46" s="10">
        <f>IF($G46=AM$5,1000,IF(AM$4=0,1000,SQRT((VLOOKUP($G46,Coords[],3,FALSE)-VLOOKUP(AM$5,Coords[],3,FALSE))^2+(VLOOKUP($G46,Coords[],4,FALSE)-VLOOKUP(AM$5,Coords[],4,FALSE))^2)))</f>
        <v>40.311288741492746</v>
      </c>
      <c r="AN46" s="10">
        <f>IF($G46=AN$5,1000,IF(AN$4=0,1000,SQRT((VLOOKUP($G46,Coords[],3,FALSE)-VLOOKUP(AN$5,Coords[],3,FALSE))^2+(VLOOKUP($G46,Coords[],4,FALSE)-VLOOKUP(AN$5,Coords[],4,FALSE))^2)))</f>
        <v>1000</v>
      </c>
      <c r="AO46" s="10">
        <f>IF($G46=AO$5,1000,IF(AO$4=0,1000,SQRT((VLOOKUP($G46,Coords[],3,FALSE)-VLOOKUP(AO$5,Coords[],3,FALSE))^2+(VLOOKUP($G46,Coords[],4,FALSE)-VLOOKUP(AO$5,Coords[],4,FALSE))^2)))</f>
        <v>1000</v>
      </c>
      <c r="AP46" s="10">
        <f>IF($G46=AP$5,1000,IF(AP$4=0,1000,SQRT((VLOOKUP($G46,Coords[],3,FALSE)-VLOOKUP(AP$5,Coords[],3,FALSE))^2+(VLOOKUP($G46,Coords[],4,FALSE)-VLOOKUP(AP$5,Coords[],4,FALSE))^2)))</f>
        <v>1000</v>
      </c>
      <c r="AQ46" s="10">
        <f>IF($G46=AQ$5,1000,IF(AQ$4=0,1000,SQRT((VLOOKUP($G46,Coords[],3,FALSE)-VLOOKUP(AQ$5,Coords[],3,FALSE))^2+(VLOOKUP($G46,Coords[],4,FALSE)-VLOOKUP(AQ$5,Coords[],4,FALSE))^2)))</f>
        <v>1000</v>
      </c>
      <c r="AR46" s="10">
        <f>IF($G46=AR$5,1000,IF(AR$4=0,1000,SQRT((VLOOKUP($G46,Coords[],3,FALSE)-VLOOKUP(AR$5,Coords[],3,FALSE))^2+(VLOOKUP($G46,Coords[],4,FALSE)-VLOOKUP(AR$5,Coords[],4,FALSE))^2)))</f>
        <v>1000</v>
      </c>
      <c r="AS46" s="10">
        <f>IF($G46=AS$5,1000,IF(AS$4=0,1000,SQRT((VLOOKUP($G46,Coords[],3,FALSE)-VLOOKUP(AS$5,Coords[],3,FALSE))^2+(VLOOKUP($G46,Coords[],4,FALSE)-VLOOKUP(AS$5,Coords[],4,FALSE))^2)))</f>
        <v>1000</v>
      </c>
      <c r="AT46" s="10">
        <f>IF($G46=AT$5,1000,IF(AT$4=0,1000,SQRT((VLOOKUP($G46,Coords[],3,FALSE)-VLOOKUP(AT$5,Coords[],3,FALSE))^2+(VLOOKUP($G46,Coords[],4,FALSE)-VLOOKUP(AT$5,Coords[],4,FALSE))^2)))</f>
        <v>1000</v>
      </c>
      <c r="AU46" s="10">
        <f>IF($G46=AU$5,1000,IF(AU$4=0,1000,SQRT((VLOOKUP($G46,Coords[],3,FALSE)-VLOOKUP(AU$5,Coords[],3,FALSE))^2+(VLOOKUP($G46,Coords[],4,FALSE)-VLOOKUP(AU$5,Coords[],4,FALSE))^2)))</f>
        <v>1000</v>
      </c>
      <c r="AV46" s="10">
        <f>IF($G46=AV$5,1000,IF(AV$4=0,1000,SQRT((VLOOKUP($G46,Coords[],3,FALSE)-VLOOKUP(AV$5,Coords[],3,FALSE))^2+(VLOOKUP($G46,Coords[],4,FALSE)-VLOOKUP(AV$5,Coords[],4,FALSE))^2)))</f>
        <v>1000</v>
      </c>
      <c r="AW46" s="10">
        <f>IF($G46=AW$5,1000,IF(AW$4=0,1000,SQRT((VLOOKUP($G46,Coords[],3,FALSE)-VLOOKUP(AW$5,Coords[],3,FALSE))^2+(VLOOKUP($G46,Coords[],4,FALSE)-VLOOKUP(AW$5,Coords[],4,FALSE))^2)))</f>
        <v>1000</v>
      </c>
      <c r="AX46" s="10">
        <f>IF($G46=AX$5,1000,IF(AX$4=0,1000,SQRT((VLOOKUP($G46,Coords[],3,FALSE)-VLOOKUP(AX$5,Coords[],3,FALSE))^2+(VLOOKUP($G46,Coords[],4,FALSE)-VLOOKUP(AX$5,Coords[],4,FALSE))^2)))</f>
        <v>1000</v>
      </c>
      <c r="AY46" s="10">
        <f>IF($G46=AY$5,1000,IF(AY$4=0,1000,SQRT((VLOOKUP($G46,Coords[],3,FALSE)-VLOOKUP(AY$5,Coords[],3,FALSE))^2+(VLOOKUP($G46,Coords[],4,FALSE)-VLOOKUP(AY$5,Coords[],4,FALSE))^2)))</f>
        <v>1000</v>
      </c>
      <c r="AZ46" s="10">
        <f>IF($G46=AZ$5,1000,IF(AZ$4=0,1000,SQRT((VLOOKUP($G46,Coords[],3,FALSE)-VLOOKUP(AZ$5,Coords[],3,FALSE))^2+(VLOOKUP($G46,Coords[],4,FALSE)-VLOOKUP(AZ$5,Coords[],4,FALSE))^2)))</f>
        <v>1000</v>
      </c>
      <c r="BA46" s="10">
        <f>IF($G46=BA$5,1000,IF(BA$4=0,1000,SQRT((VLOOKUP($G46,Coords[],3,FALSE)-VLOOKUP(BA$5,Coords[],3,FALSE))^2+(VLOOKUP($G46,Coords[],4,FALSE)-VLOOKUP(BA$5,Coords[],4,FALSE))^2)))</f>
        <v>1000</v>
      </c>
      <c r="BB46" s="10">
        <f>IF($G46=BB$5,1000,IF(BB$4=0,1000,SQRT((VLOOKUP($G46,Coords[],3,FALSE)-VLOOKUP(BB$5,Coords[],3,FALSE))^2+(VLOOKUP($G46,Coords[],4,FALSE)-VLOOKUP(BB$5,Coords[],4,FALSE))^2)))</f>
        <v>1000</v>
      </c>
      <c r="BC46" s="10">
        <f>IF($G46=BC$5,1000,IF(BC$4=0,1000,SQRT((VLOOKUP($G46,Coords[],3,FALSE)-VLOOKUP(BC$5,Coords[],3,FALSE))^2+(VLOOKUP($G46,Coords[],4,FALSE)-VLOOKUP(BC$5,Coords[],4,FALSE))^2)))</f>
        <v>1000</v>
      </c>
      <c r="BD46" s="10">
        <f>IF($G46=BD$5,1000,IF(BD$4=0,1000,SQRT((VLOOKUP($G46,Coords[],3,FALSE)-VLOOKUP(BD$5,Coords[],3,FALSE))^2+(VLOOKUP($G46,Coords[],4,FALSE)-VLOOKUP(BD$5,Coords[],4,FALSE))^2)))</f>
        <v>1000</v>
      </c>
      <c r="BE46" s="10">
        <f>IF($G46=BE$5,1000,IF(BE$4=0,1000,SQRT((VLOOKUP($G46,Coords[],3,FALSE)-VLOOKUP(BE$5,Coords[],3,FALSE))^2+(VLOOKUP($G46,Coords[],4,FALSE)-VLOOKUP(BE$5,Coords[],4,FALSE))^2)))</f>
        <v>1000</v>
      </c>
      <c r="BF46" s="10">
        <f>IF($G46=BF$5,1000,IF(BF$4=0,1000,SQRT((VLOOKUP($G46,Coords[],3,FALSE)-VLOOKUP(BF$5,Coords[],3,FALSE))^2+(VLOOKUP($G46,Coords[],4,FALSE)-VLOOKUP(BF$5,Coords[],4,FALSE))^2)))</f>
        <v>1000</v>
      </c>
      <c r="BG46" s="4">
        <v>41</v>
      </c>
      <c r="BI46" s="5">
        <f>IF(E46=1,0,VLOOKUP($G46,$G$6:$BF$57,HLOOKUP(MIN(H46:BF46),$H46:$BF$57,((COUNT($G$6:$G$56)+2)-$G46),FALSE),FALSE)*B46)</f>
        <v>846.53706357134763</v>
      </c>
      <c r="BJ46" s="9">
        <f>VLOOKUP($G46,$G$6:$BF$57,HLOOKUP(MIN(H46:BF46),$H46:$BF$57,((COUNT($G$6:$G$56)+2)-$G46),FALSE),FALSE)</f>
        <v>40.311288741492746</v>
      </c>
      <c r="BK46" s="7">
        <f>HLOOKUP(MIN(H46:BF46),$H46:$BF$57,((COUNT($G$6:$G$56)+2)-$G46),FALSE)</f>
        <v>33</v>
      </c>
      <c r="BL46">
        <f>BJ46*Coords[[#This Row],[Demand]]</f>
        <v>846.53706357134763</v>
      </c>
      <c r="BN46">
        <v>41</v>
      </c>
      <c r="BO46">
        <v>7721.6563986239207</v>
      </c>
      <c r="BP46">
        <v>13149.783442287086</v>
      </c>
    </row>
    <row r="47" spans="1:68" x14ac:dyDescent="0.25">
      <c r="A47" s="8">
        <v>42</v>
      </c>
      <c r="B47" s="3">
        <v>29</v>
      </c>
      <c r="C47" s="3">
        <v>21</v>
      </c>
      <c r="D47" s="3">
        <v>10</v>
      </c>
      <c r="E47">
        <v>0</v>
      </c>
      <c r="G47" s="4">
        <v>42</v>
      </c>
      <c r="H47" s="10">
        <f>IF($G47=H$5,1000,IF(H$4=0,1000,SQRT((VLOOKUP($G47,Coords[],3,FALSE)-VLOOKUP(H$5,Coords[],3,FALSE))^2+(VLOOKUP($G47,Coords[],4,FALSE)-VLOOKUP(H$5,Coords[],4,FALSE))^2)))</f>
        <v>1000</v>
      </c>
      <c r="I47" s="10">
        <f>IF($G47=I$5,1000,IF(I$4=0,1000,SQRT((VLOOKUP($G47,Coords[],3,FALSE)-VLOOKUP(I$5,Coords[],3,FALSE))^2+(VLOOKUP($G47,Coords[],4,FALSE)-VLOOKUP(I$5,Coords[],4,FALSE))^2)))</f>
        <v>1000</v>
      </c>
      <c r="J47" s="10">
        <f>IF($G47=J$5,1000,IF(J$4=0,1000,SQRT((VLOOKUP($G47,Coords[],3,FALSE)-VLOOKUP(J$5,Coords[],3,FALSE))^2+(VLOOKUP($G47,Coords[],4,FALSE)-VLOOKUP(J$5,Coords[],4,FALSE))^2)))</f>
        <v>1000</v>
      </c>
      <c r="K47" s="10">
        <f>IF($G47=K$5,1000,IF(K$4=0,1000,SQRT((VLOOKUP($G47,Coords[],3,FALSE)-VLOOKUP(K$5,Coords[],3,FALSE))^2+(VLOOKUP($G47,Coords[],4,FALSE)-VLOOKUP(K$5,Coords[],4,FALSE))^2)))</f>
        <v>1000</v>
      </c>
      <c r="L47" s="10">
        <f>IF($G47=L$5,1000,IF(L$4=0,1000,SQRT((VLOOKUP($G47,Coords[],3,FALSE)-VLOOKUP(L$5,Coords[],3,FALSE))^2+(VLOOKUP($G47,Coords[],4,FALSE)-VLOOKUP(L$5,Coords[],4,FALSE))^2)))</f>
        <v>1000</v>
      </c>
      <c r="M47" s="10">
        <f>IF($G47=M$5,1000,IF(M$4=0,1000,SQRT((VLOOKUP($G47,Coords[],3,FALSE)-VLOOKUP(M$5,Coords[],3,FALSE))^2+(VLOOKUP($G47,Coords[],4,FALSE)-VLOOKUP(M$5,Coords[],4,FALSE))^2)))</f>
        <v>1000</v>
      </c>
      <c r="N47" s="10">
        <f>IF($G47=N$5,1000,IF(N$4=0,1000,SQRT((VLOOKUP($G47,Coords[],3,FALSE)-VLOOKUP(N$5,Coords[],3,FALSE))^2+(VLOOKUP($G47,Coords[],4,FALSE)-VLOOKUP(N$5,Coords[],4,FALSE))^2)))</f>
        <v>1000</v>
      </c>
      <c r="O47" s="10">
        <f>IF($G47=O$5,1000,IF(O$4=0,1000,SQRT((VLOOKUP($G47,Coords[],3,FALSE)-VLOOKUP(O$5,Coords[],3,FALSE))^2+(VLOOKUP($G47,Coords[],4,FALSE)-VLOOKUP(O$5,Coords[],4,FALSE))^2)))</f>
        <v>52.952809179494906</v>
      </c>
      <c r="P47" s="10">
        <f>IF($G47=P$5,1000,IF(P$4=0,1000,SQRT((VLOOKUP($G47,Coords[],3,FALSE)-VLOOKUP(P$5,Coords[],3,FALSE))^2+(VLOOKUP($G47,Coords[],4,FALSE)-VLOOKUP(P$5,Coords[],4,FALSE))^2)))</f>
        <v>1000</v>
      </c>
      <c r="Q47" s="10">
        <f>IF($G47=Q$5,1000,IF(Q$4=0,1000,SQRT((VLOOKUP($G47,Coords[],3,FALSE)-VLOOKUP(Q$5,Coords[],3,FALSE))^2+(VLOOKUP($G47,Coords[],4,FALSE)-VLOOKUP(Q$5,Coords[],4,FALSE))^2)))</f>
        <v>1000</v>
      </c>
      <c r="R47" s="10">
        <f>IF($G47=R$5,1000,IF(R$4=0,1000,SQRT((VLOOKUP($G47,Coords[],3,FALSE)-VLOOKUP(R$5,Coords[],3,FALSE))^2+(VLOOKUP($G47,Coords[],4,FALSE)-VLOOKUP(R$5,Coords[],4,FALSE))^2)))</f>
        <v>1000</v>
      </c>
      <c r="S47" s="10">
        <f>IF($G47=S$5,1000,IF(S$4=0,1000,SQRT((VLOOKUP($G47,Coords[],3,FALSE)-VLOOKUP(S$5,Coords[],3,FALSE))^2+(VLOOKUP($G47,Coords[],4,FALSE)-VLOOKUP(S$5,Coords[],4,FALSE))^2)))</f>
        <v>1000</v>
      </c>
      <c r="T47" s="10">
        <f>IF($G47=T$5,1000,IF(T$4=0,1000,SQRT((VLOOKUP($G47,Coords[],3,FALSE)-VLOOKUP(T$5,Coords[],3,FALSE))^2+(VLOOKUP($G47,Coords[],4,FALSE)-VLOOKUP(T$5,Coords[],4,FALSE))^2)))</f>
        <v>1000</v>
      </c>
      <c r="U47" s="10">
        <f>IF($G47=U$5,1000,IF(U$4=0,1000,SQRT((VLOOKUP($G47,Coords[],3,FALSE)-VLOOKUP(U$5,Coords[],3,FALSE))^2+(VLOOKUP($G47,Coords[],4,FALSE)-VLOOKUP(U$5,Coords[],4,FALSE))^2)))</f>
        <v>1000</v>
      </c>
      <c r="V47" s="10">
        <f>IF($G47=V$5,1000,IF(V$4=0,1000,SQRT((VLOOKUP($G47,Coords[],3,FALSE)-VLOOKUP(V$5,Coords[],3,FALSE))^2+(VLOOKUP($G47,Coords[],4,FALSE)-VLOOKUP(V$5,Coords[],4,FALSE))^2)))</f>
        <v>1000</v>
      </c>
      <c r="W47" s="10">
        <f>IF($G47=W$5,1000,IF(W$4=0,1000,SQRT((VLOOKUP($G47,Coords[],3,FALSE)-VLOOKUP(W$5,Coords[],3,FALSE))^2+(VLOOKUP($G47,Coords[],4,FALSE)-VLOOKUP(W$5,Coords[],4,FALSE))^2)))</f>
        <v>1000</v>
      </c>
      <c r="X47" s="10">
        <f>IF($G47=X$5,1000,IF(X$4=0,1000,SQRT((VLOOKUP($G47,Coords[],3,FALSE)-VLOOKUP(X$5,Coords[],3,FALSE))^2+(VLOOKUP($G47,Coords[],4,FALSE)-VLOOKUP(X$5,Coords[],4,FALSE))^2)))</f>
        <v>1000</v>
      </c>
      <c r="Y47" s="10">
        <f>IF($G47=Y$5,1000,IF(Y$4=0,1000,SQRT((VLOOKUP($G47,Coords[],3,FALSE)-VLOOKUP(Y$5,Coords[],3,FALSE))^2+(VLOOKUP($G47,Coords[],4,FALSE)-VLOOKUP(Y$5,Coords[],4,FALSE))^2)))</f>
        <v>1000</v>
      </c>
      <c r="Z47" s="10">
        <f>IF($G47=Z$5,1000,IF(Z$4=0,1000,SQRT((VLOOKUP($G47,Coords[],3,FALSE)-VLOOKUP(Z$5,Coords[],3,FALSE))^2+(VLOOKUP($G47,Coords[],4,FALSE)-VLOOKUP(Z$5,Coords[],4,FALSE))^2)))</f>
        <v>1000</v>
      </c>
      <c r="AA47" s="10">
        <f>IF($G47=AA$5,1000,IF(AA$4=0,1000,SQRT((VLOOKUP($G47,Coords[],3,FALSE)-VLOOKUP(AA$5,Coords[],3,FALSE))^2+(VLOOKUP($G47,Coords[],4,FALSE)-VLOOKUP(AA$5,Coords[],4,FALSE))^2)))</f>
        <v>60</v>
      </c>
      <c r="AB47" s="10">
        <f>IF($G47=AB$5,1000,IF(AB$4=0,1000,SQRT((VLOOKUP($G47,Coords[],3,FALSE)-VLOOKUP(AB$5,Coords[],3,FALSE))^2+(VLOOKUP($G47,Coords[],4,FALSE)-VLOOKUP(AB$5,Coords[],4,FALSE))^2)))</f>
        <v>1000</v>
      </c>
      <c r="AC47" s="10">
        <f>IF($G47=AC$5,1000,IF(AC$4=0,1000,SQRT((VLOOKUP($G47,Coords[],3,FALSE)-VLOOKUP(AC$5,Coords[],3,FALSE))^2+(VLOOKUP($G47,Coords[],4,FALSE)-VLOOKUP(AC$5,Coords[],4,FALSE))^2)))</f>
        <v>1000</v>
      </c>
      <c r="AD47" s="10">
        <f>IF($G47=AD$5,1000,IF(AD$4=0,1000,SQRT((VLOOKUP($G47,Coords[],3,FALSE)-VLOOKUP(AD$5,Coords[],3,FALSE))^2+(VLOOKUP($G47,Coords[],4,FALSE)-VLOOKUP(AD$5,Coords[],4,FALSE))^2)))</f>
        <v>1000</v>
      </c>
      <c r="AE47" s="10">
        <f>IF($G47=AE$5,1000,IF(AE$4=0,1000,SQRT((VLOOKUP($G47,Coords[],3,FALSE)-VLOOKUP(AE$5,Coords[],3,FALSE))^2+(VLOOKUP($G47,Coords[],4,FALSE)-VLOOKUP(AE$5,Coords[],4,FALSE))^2)))</f>
        <v>1000</v>
      </c>
      <c r="AF47" s="10">
        <f>IF($G47=AF$5,1000,IF(AF$4=0,1000,SQRT((VLOOKUP($G47,Coords[],3,FALSE)-VLOOKUP(AF$5,Coords[],3,FALSE))^2+(VLOOKUP($G47,Coords[],4,FALSE)-VLOOKUP(AF$5,Coords[],4,FALSE))^2)))</f>
        <v>1000</v>
      </c>
      <c r="AG47" s="10">
        <f>IF($G47=AG$5,1000,IF(AG$4=0,1000,SQRT((VLOOKUP($G47,Coords[],3,FALSE)-VLOOKUP(AG$5,Coords[],3,FALSE))^2+(VLOOKUP($G47,Coords[],4,FALSE)-VLOOKUP(AG$5,Coords[],4,FALSE))^2)))</f>
        <v>1000</v>
      </c>
      <c r="AH47" s="10">
        <f>IF($G47=AH$5,1000,IF(AH$4=0,1000,SQRT((VLOOKUP($G47,Coords[],3,FALSE)-VLOOKUP(AH$5,Coords[],3,FALSE))^2+(VLOOKUP($G47,Coords[],4,FALSE)-VLOOKUP(AH$5,Coords[],4,FALSE))^2)))</f>
        <v>1000</v>
      </c>
      <c r="AI47" s="10">
        <f>IF($G47=AI$5,1000,IF(AI$4=0,1000,SQRT((VLOOKUP($G47,Coords[],3,FALSE)-VLOOKUP(AI$5,Coords[],3,FALSE))^2+(VLOOKUP($G47,Coords[],4,FALSE)-VLOOKUP(AI$5,Coords[],4,FALSE))^2)))</f>
        <v>1000</v>
      </c>
      <c r="AJ47" s="10">
        <f>IF($G47=AJ$5,1000,IF(AJ$4=0,1000,SQRT((VLOOKUP($G47,Coords[],3,FALSE)-VLOOKUP(AJ$5,Coords[],3,FALSE))^2+(VLOOKUP($G47,Coords[],4,FALSE)-VLOOKUP(AJ$5,Coords[],4,FALSE))^2)))</f>
        <v>53.037722424704477</v>
      </c>
      <c r="AK47" s="10">
        <f>IF($G47=AK$5,1000,IF(AK$4=0,1000,SQRT((VLOOKUP($G47,Coords[],3,FALSE)-VLOOKUP(AK$5,Coords[],3,FALSE))^2+(VLOOKUP($G47,Coords[],4,FALSE)-VLOOKUP(AK$5,Coords[],4,FALSE))^2)))</f>
        <v>1000</v>
      </c>
      <c r="AL47" s="10">
        <f>IF($G47=AL$5,1000,IF(AL$4=0,1000,SQRT((VLOOKUP($G47,Coords[],3,FALSE)-VLOOKUP(AL$5,Coords[],3,FALSE))^2+(VLOOKUP($G47,Coords[],4,FALSE)-VLOOKUP(AL$5,Coords[],4,FALSE))^2)))</f>
        <v>1000</v>
      </c>
      <c r="AM47" s="10">
        <f>IF($G47=AM$5,1000,IF(AM$4=0,1000,SQRT((VLOOKUP($G47,Coords[],3,FALSE)-VLOOKUP(AM$5,Coords[],3,FALSE))^2+(VLOOKUP($G47,Coords[],4,FALSE)-VLOOKUP(AM$5,Coords[],4,FALSE))^2)))</f>
        <v>39.812058474788763</v>
      </c>
      <c r="AN47" s="10">
        <f>IF($G47=AN$5,1000,IF(AN$4=0,1000,SQRT((VLOOKUP($G47,Coords[],3,FALSE)-VLOOKUP(AN$5,Coords[],3,FALSE))^2+(VLOOKUP($G47,Coords[],4,FALSE)-VLOOKUP(AN$5,Coords[],4,FALSE))^2)))</f>
        <v>1000</v>
      </c>
      <c r="AO47" s="10">
        <f>IF($G47=AO$5,1000,IF(AO$4=0,1000,SQRT((VLOOKUP($G47,Coords[],3,FALSE)-VLOOKUP(AO$5,Coords[],3,FALSE))^2+(VLOOKUP($G47,Coords[],4,FALSE)-VLOOKUP(AO$5,Coords[],4,FALSE))^2)))</f>
        <v>1000</v>
      </c>
      <c r="AP47" s="10">
        <f>IF($G47=AP$5,1000,IF(AP$4=0,1000,SQRT((VLOOKUP($G47,Coords[],3,FALSE)-VLOOKUP(AP$5,Coords[],3,FALSE))^2+(VLOOKUP($G47,Coords[],4,FALSE)-VLOOKUP(AP$5,Coords[],4,FALSE))^2)))</f>
        <v>1000</v>
      </c>
      <c r="AQ47" s="10">
        <f>IF($G47=AQ$5,1000,IF(AQ$4=0,1000,SQRT((VLOOKUP($G47,Coords[],3,FALSE)-VLOOKUP(AQ$5,Coords[],3,FALSE))^2+(VLOOKUP($G47,Coords[],4,FALSE)-VLOOKUP(AQ$5,Coords[],4,FALSE))^2)))</f>
        <v>1000</v>
      </c>
      <c r="AR47" s="10">
        <f>IF($G47=AR$5,1000,IF(AR$4=0,1000,SQRT((VLOOKUP($G47,Coords[],3,FALSE)-VLOOKUP(AR$5,Coords[],3,FALSE))^2+(VLOOKUP($G47,Coords[],4,FALSE)-VLOOKUP(AR$5,Coords[],4,FALSE))^2)))</f>
        <v>1000</v>
      </c>
      <c r="AS47" s="10">
        <f>IF($G47=AS$5,1000,IF(AS$4=0,1000,SQRT((VLOOKUP($G47,Coords[],3,FALSE)-VLOOKUP(AS$5,Coords[],3,FALSE))^2+(VLOOKUP($G47,Coords[],4,FALSE)-VLOOKUP(AS$5,Coords[],4,FALSE))^2)))</f>
        <v>1000</v>
      </c>
      <c r="AT47" s="10">
        <f>IF($G47=AT$5,1000,IF(AT$4=0,1000,SQRT((VLOOKUP($G47,Coords[],3,FALSE)-VLOOKUP(AT$5,Coords[],3,FALSE))^2+(VLOOKUP($G47,Coords[],4,FALSE)-VLOOKUP(AT$5,Coords[],4,FALSE))^2)))</f>
        <v>1000</v>
      </c>
      <c r="AU47" s="10">
        <f>IF($G47=AU$5,1000,IF(AU$4=0,1000,SQRT((VLOOKUP($G47,Coords[],3,FALSE)-VLOOKUP(AU$5,Coords[],3,FALSE))^2+(VLOOKUP($G47,Coords[],4,FALSE)-VLOOKUP(AU$5,Coords[],4,FALSE))^2)))</f>
        <v>1000</v>
      </c>
      <c r="AV47" s="10">
        <f>IF($G47=AV$5,1000,IF(AV$4=0,1000,SQRT((VLOOKUP($G47,Coords[],3,FALSE)-VLOOKUP(AV$5,Coords[],3,FALSE))^2+(VLOOKUP($G47,Coords[],4,FALSE)-VLOOKUP(AV$5,Coords[],4,FALSE))^2)))</f>
        <v>1000</v>
      </c>
      <c r="AW47" s="10">
        <f>IF($G47=AW$5,1000,IF(AW$4=0,1000,SQRT((VLOOKUP($G47,Coords[],3,FALSE)-VLOOKUP(AW$5,Coords[],3,FALSE))^2+(VLOOKUP($G47,Coords[],4,FALSE)-VLOOKUP(AW$5,Coords[],4,FALSE))^2)))</f>
        <v>1000</v>
      </c>
      <c r="AX47" s="10">
        <f>IF($G47=AX$5,1000,IF(AX$4=0,1000,SQRT((VLOOKUP($G47,Coords[],3,FALSE)-VLOOKUP(AX$5,Coords[],3,FALSE))^2+(VLOOKUP($G47,Coords[],4,FALSE)-VLOOKUP(AX$5,Coords[],4,FALSE))^2)))</f>
        <v>1000</v>
      </c>
      <c r="AY47" s="10">
        <f>IF($G47=AY$5,1000,IF(AY$4=0,1000,SQRT((VLOOKUP($G47,Coords[],3,FALSE)-VLOOKUP(AY$5,Coords[],3,FALSE))^2+(VLOOKUP($G47,Coords[],4,FALSE)-VLOOKUP(AY$5,Coords[],4,FALSE))^2)))</f>
        <v>1000</v>
      </c>
      <c r="AZ47" s="10">
        <f>IF($G47=AZ$5,1000,IF(AZ$4=0,1000,SQRT((VLOOKUP($G47,Coords[],3,FALSE)-VLOOKUP(AZ$5,Coords[],3,FALSE))^2+(VLOOKUP($G47,Coords[],4,FALSE)-VLOOKUP(AZ$5,Coords[],4,FALSE))^2)))</f>
        <v>1000</v>
      </c>
      <c r="BA47" s="10">
        <f>IF($G47=BA$5,1000,IF(BA$4=0,1000,SQRT((VLOOKUP($G47,Coords[],3,FALSE)-VLOOKUP(BA$5,Coords[],3,FALSE))^2+(VLOOKUP($G47,Coords[],4,FALSE)-VLOOKUP(BA$5,Coords[],4,FALSE))^2)))</f>
        <v>1000</v>
      </c>
      <c r="BB47" s="10">
        <f>IF($G47=BB$5,1000,IF(BB$4=0,1000,SQRT((VLOOKUP($G47,Coords[],3,FALSE)-VLOOKUP(BB$5,Coords[],3,FALSE))^2+(VLOOKUP($G47,Coords[],4,FALSE)-VLOOKUP(BB$5,Coords[],4,FALSE))^2)))</f>
        <v>1000</v>
      </c>
      <c r="BC47" s="10">
        <f>IF($G47=BC$5,1000,IF(BC$4=0,1000,SQRT((VLOOKUP($G47,Coords[],3,FALSE)-VLOOKUP(BC$5,Coords[],3,FALSE))^2+(VLOOKUP($G47,Coords[],4,FALSE)-VLOOKUP(BC$5,Coords[],4,FALSE))^2)))</f>
        <v>1000</v>
      </c>
      <c r="BD47" s="10">
        <f>IF($G47=BD$5,1000,IF(BD$4=0,1000,SQRT((VLOOKUP($G47,Coords[],3,FALSE)-VLOOKUP(BD$5,Coords[],3,FALSE))^2+(VLOOKUP($G47,Coords[],4,FALSE)-VLOOKUP(BD$5,Coords[],4,FALSE))^2)))</f>
        <v>1000</v>
      </c>
      <c r="BE47" s="10">
        <f>IF($G47=BE$5,1000,IF(BE$4=0,1000,SQRT((VLOOKUP($G47,Coords[],3,FALSE)-VLOOKUP(BE$5,Coords[],3,FALSE))^2+(VLOOKUP($G47,Coords[],4,FALSE)-VLOOKUP(BE$5,Coords[],4,FALSE))^2)))</f>
        <v>1000</v>
      </c>
      <c r="BF47" s="10">
        <f>IF($G47=BF$5,1000,IF(BF$4=0,1000,SQRT((VLOOKUP($G47,Coords[],3,FALSE)-VLOOKUP(BF$5,Coords[],3,FALSE))^2+(VLOOKUP($G47,Coords[],4,FALSE)-VLOOKUP(BF$5,Coords[],4,FALSE))^2)))</f>
        <v>1000</v>
      </c>
      <c r="BG47" s="4">
        <v>42</v>
      </c>
      <c r="BI47" s="5">
        <f>IF(E47=1,0,VLOOKUP($G47,$G$6:$BF$57,HLOOKUP(MIN(H47:BF47),$H47:$BF$57,((COUNT($G$6:$G$56)+2)-$G47),FALSE),FALSE)*B47)</f>
        <v>1154.5496957688742</v>
      </c>
      <c r="BJ47" s="9">
        <f>VLOOKUP($G47,$G$6:$BF$57,HLOOKUP(MIN(H47:BF47),$H47:$BF$57,((COUNT($G$6:$G$56)+2)-$G47),FALSE),FALSE)</f>
        <v>39.812058474788763</v>
      </c>
      <c r="BK47" s="7">
        <f>HLOOKUP(MIN(H47:BF47),$H47:$BF$57,((COUNT($G$6:$G$56)+2)-$G47),FALSE)</f>
        <v>33</v>
      </c>
      <c r="BL47">
        <f>BJ47*Coords[[#This Row],[Demand]]</f>
        <v>1154.5496957688742</v>
      </c>
      <c r="BN47">
        <v>42</v>
      </c>
      <c r="BO47">
        <v>7721.6563986239207</v>
      </c>
      <c r="BP47">
        <v>9369.7676391585537</v>
      </c>
    </row>
    <row r="48" spans="1:68" x14ac:dyDescent="0.25">
      <c r="A48" s="8">
        <v>43</v>
      </c>
      <c r="B48" s="3">
        <v>4</v>
      </c>
      <c r="C48" s="3">
        <v>5</v>
      </c>
      <c r="D48" s="3">
        <v>64</v>
      </c>
      <c r="E48">
        <v>0</v>
      </c>
      <c r="G48" s="4">
        <v>43</v>
      </c>
      <c r="H48" s="10">
        <f>IF($G48=H$5,1000,IF(H$4=0,1000,SQRT((VLOOKUP($G48,Coords[],3,FALSE)-VLOOKUP(H$5,Coords[],3,FALSE))^2+(VLOOKUP($G48,Coords[],4,FALSE)-VLOOKUP(H$5,Coords[],4,FALSE))^2)))</f>
        <v>1000</v>
      </c>
      <c r="I48" s="10">
        <f>IF($G48=I$5,1000,IF(I$4=0,1000,SQRT((VLOOKUP($G48,Coords[],3,FALSE)-VLOOKUP(I$5,Coords[],3,FALSE))^2+(VLOOKUP($G48,Coords[],4,FALSE)-VLOOKUP(I$5,Coords[],4,FALSE))^2)))</f>
        <v>1000</v>
      </c>
      <c r="J48" s="10">
        <f>IF($G48=J$5,1000,IF(J$4=0,1000,SQRT((VLOOKUP($G48,Coords[],3,FALSE)-VLOOKUP(J$5,Coords[],3,FALSE))^2+(VLOOKUP($G48,Coords[],4,FALSE)-VLOOKUP(J$5,Coords[],4,FALSE))^2)))</f>
        <v>1000</v>
      </c>
      <c r="K48" s="10">
        <f>IF($G48=K$5,1000,IF(K$4=0,1000,SQRT((VLOOKUP($G48,Coords[],3,FALSE)-VLOOKUP(K$5,Coords[],3,FALSE))^2+(VLOOKUP($G48,Coords[],4,FALSE)-VLOOKUP(K$5,Coords[],4,FALSE))^2)))</f>
        <v>1000</v>
      </c>
      <c r="L48" s="10">
        <f>IF($G48=L$5,1000,IF(L$4=0,1000,SQRT((VLOOKUP($G48,Coords[],3,FALSE)-VLOOKUP(L$5,Coords[],3,FALSE))^2+(VLOOKUP($G48,Coords[],4,FALSE)-VLOOKUP(L$5,Coords[],4,FALSE))^2)))</f>
        <v>1000</v>
      </c>
      <c r="M48" s="10">
        <f>IF($G48=M$5,1000,IF(M$4=0,1000,SQRT((VLOOKUP($G48,Coords[],3,FALSE)-VLOOKUP(M$5,Coords[],3,FALSE))^2+(VLOOKUP($G48,Coords[],4,FALSE)-VLOOKUP(M$5,Coords[],4,FALSE))^2)))</f>
        <v>1000</v>
      </c>
      <c r="N48" s="10">
        <f>IF($G48=N$5,1000,IF(N$4=0,1000,SQRT((VLOOKUP($G48,Coords[],3,FALSE)-VLOOKUP(N$5,Coords[],3,FALSE))^2+(VLOOKUP($G48,Coords[],4,FALSE)-VLOOKUP(N$5,Coords[],4,FALSE))^2)))</f>
        <v>1000</v>
      </c>
      <c r="O48" s="10">
        <f>IF($G48=O$5,1000,IF(O$4=0,1000,SQRT((VLOOKUP($G48,Coords[],3,FALSE)-VLOOKUP(O$5,Coords[],3,FALSE))^2+(VLOOKUP($G48,Coords[],4,FALSE)-VLOOKUP(O$5,Coords[],4,FALSE))^2)))</f>
        <v>26.076809620810597</v>
      </c>
      <c r="P48" s="10">
        <f>IF($G48=P$5,1000,IF(P$4=0,1000,SQRT((VLOOKUP($G48,Coords[],3,FALSE)-VLOOKUP(P$5,Coords[],3,FALSE))^2+(VLOOKUP($G48,Coords[],4,FALSE)-VLOOKUP(P$5,Coords[],4,FALSE))^2)))</f>
        <v>1000</v>
      </c>
      <c r="Q48" s="10">
        <f>IF($G48=Q$5,1000,IF(Q$4=0,1000,SQRT((VLOOKUP($G48,Coords[],3,FALSE)-VLOOKUP(Q$5,Coords[],3,FALSE))^2+(VLOOKUP($G48,Coords[],4,FALSE)-VLOOKUP(Q$5,Coords[],4,FALSE))^2)))</f>
        <v>1000</v>
      </c>
      <c r="R48" s="10">
        <f>IF($G48=R$5,1000,IF(R$4=0,1000,SQRT((VLOOKUP($G48,Coords[],3,FALSE)-VLOOKUP(R$5,Coords[],3,FALSE))^2+(VLOOKUP($G48,Coords[],4,FALSE)-VLOOKUP(R$5,Coords[],4,FALSE))^2)))</f>
        <v>1000</v>
      </c>
      <c r="S48" s="10">
        <f>IF($G48=S$5,1000,IF(S$4=0,1000,SQRT((VLOOKUP($G48,Coords[],3,FALSE)-VLOOKUP(S$5,Coords[],3,FALSE))^2+(VLOOKUP($G48,Coords[],4,FALSE)-VLOOKUP(S$5,Coords[],4,FALSE))^2)))</f>
        <v>1000</v>
      </c>
      <c r="T48" s="10">
        <f>IF($G48=T$5,1000,IF(T$4=0,1000,SQRT((VLOOKUP($G48,Coords[],3,FALSE)-VLOOKUP(T$5,Coords[],3,FALSE))^2+(VLOOKUP($G48,Coords[],4,FALSE)-VLOOKUP(T$5,Coords[],4,FALSE))^2)))</f>
        <v>1000</v>
      </c>
      <c r="U48" s="10">
        <f>IF($G48=U$5,1000,IF(U$4=0,1000,SQRT((VLOOKUP($G48,Coords[],3,FALSE)-VLOOKUP(U$5,Coords[],3,FALSE))^2+(VLOOKUP($G48,Coords[],4,FALSE)-VLOOKUP(U$5,Coords[],4,FALSE))^2)))</f>
        <v>1000</v>
      </c>
      <c r="V48" s="10">
        <f>IF($G48=V$5,1000,IF(V$4=0,1000,SQRT((VLOOKUP($G48,Coords[],3,FALSE)-VLOOKUP(V$5,Coords[],3,FALSE))^2+(VLOOKUP($G48,Coords[],4,FALSE)-VLOOKUP(V$5,Coords[],4,FALSE))^2)))</f>
        <v>1000</v>
      </c>
      <c r="W48" s="10">
        <f>IF($G48=W$5,1000,IF(W$4=0,1000,SQRT((VLOOKUP($G48,Coords[],3,FALSE)-VLOOKUP(W$5,Coords[],3,FALSE))^2+(VLOOKUP($G48,Coords[],4,FALSE)-VLOOKUP(W$5,Coords[],4,FALSE))^2)))</f>
        <v>1000</v>
      </c>
      <c r="X48" s="10">
        <f>IF($G48=X$5,1000,IF(X$4=0,1000,SQRT((VLOOKUP($G48,Coords[],3,FALSE)-VLOOKUP(X$5,Coords[],3,FALSE))^2+(VLOOKUP($G48,Coords[],4,FALSE)-VLOOKUP(X$5,Coords[],4,FALSE))^2)))</f>
        <v>1000</v>
      </c>
      <c r="Y48" s="10">
        <f>IF($G48=Y$5,1000,IF(Y$4=0,1000,SQRT((VLOOKUP($G48,Coords[],3,FALSE)-VLOOKUP(Y$5,Coords[],3,FALSE))^2+(VLOOKUP($G48,Coords[],4,FALSE)-VLOOKUP(Y$5,Coords[],4,FALSE))^2)))</f>
        <v>1000</v>
      </c>
      <c r="Z48" s="10">
        <f>IF($G48=Z$5,1000,IF(Z$4=0,1000,SQRT((VLOOKUP($G48,Coords[],3,FALSE)-VLOOKUP(Z$5,Coords[],3,FALSE))^2+(VLOOKUP($G48,Coords[],4,FALSE)-VLOOKUP(Z$5,Coords[],4,FALSE))^2)))</f>
        <v>1000</v>
      </c>
      <c r="AA48" s="10">
        <f>IF($G48=AA$5,1000,IF(AA$4=0,1000,SQRT((VLOOKUP($G48,Coords[],3,FALSE)-VLOOKUP(AA$5,Coords[],3,FALSE))^2+(VLOOKUP($G48,Coords[],4,FALSE)-VLOOKUP(AA$5,Coords[],4,FALSE))^2)))</f>
        <v>52.345009313209601</v>
      </c>
      <c r="AB48" s="10">
        <f>IF($G48=AB$5,1000,IF(AB$4=0,1000,SQRT((VLOOKUP($G48,Coords[],3,FALSE)-VLOOKUP(AB$5,Coords[],3,FALSE))^2+(VLOOKUP($G48,Coords[],4,FALSE)-VLOOKUP(AB$5,Coords[],4,FALSE))^2)))</f>
        <v>1000</v>
      </c>
      <c r="AC48" s="10">
        <f>IF($G48=AC$5,1000,IF(AC$4=0,1000,SQRT((VLOOKUP($G48,Coords[],3,FALSE)-VLOOKUP(AC$5,Coords[],3,FALSE))^2+(VLOOKUP($G48,Coords[],4,FALSE)-VLOOKUP(AC$5,Coords[],4,FALSE))^2)))</f>
        <v>1000</v>
      </c>
      <c r="AD48" s="10">
        <f>IF($G48=AD$5,1000,IF(AD$4=0,1000,SQRT((VLOOKUP($G48,Coords[],3,FALSE)-VLOOKUP(AD$5,Coords[],3,FALSE))^2+(VLOOKUP($G48,Coords[],4,FALSE)-VLOOKUP(AD$5,Coords[],4,FALSE))^2)))</f>
        <v>1000</v>
      </c>
      <c r="AE48" s="10">
        <f>IF($G48=AE$5,1000,IF(AE$4=0,1000,SQRT((VLOOKUP($G48,Coords[],3,FALSE)-VLOOKUP(AE$5,Coords[],3,FALSE))^2+(VLOOKUP($G48,Coords[],4,FALSE)-VLOOKUP(AE$5,Coords[],4,FALSE))^2)))</f>
        <v>1000</v>
      </c>
      <c r="AF48" s="10">
        <f>IF($G48=AF$5,1000,IF(AF$4=0,1000,SQRT((VLOOKUP($G48,Coords[],3,FALSE)-VLOOKUP(AF$5,Coords[],3,FALSE))^2+(VLOOKUP($G48,Coords[],4,FALSE)-VLOOKUP(AF$5,Coords[],4,FALSE))^2)))</f>
        <v>1000</v>
      </c>
      <c r="AG48" s="10">
        <f>IF($G48=AG$5,1000,IF(AG$4=0,1000,SQRT((VLOOKUP($G48,Coords[],3,FALSE)-VLOOKUP(AG$5,Coords[],3,FALSE))^2+(VLOOKUP($G48,Coords[],4,FALSE)-VLOOKUP(AG$5,Coords[],4,FALSE))^2)))</f>
        <v>1000</v>
      </c>
      <c r="AH48" s="10">
        <f>IF($G48=AH$5,1000,IF(AH$4=0,1000,SQRT((VLOOKUP($G48,Coords[],3,FALSE)-VLOOKUP(AH$5,Coords[],3,FALSE))^2+(VLOOKUP($G48,Coords[],4,FALSE)-VLOOKUP(AH$5,Coords[],4,FALSE))^2)))</f>
        <v>1000</v>
      </c>
      <c r="AI48" s="10">
        <f>IF($G48=AI$5,1000,IF(AI$4=0,1000,SQRT((VLOOKUP($G48,Coords[],3,FALSE)-VLOOKUP(AI$5,Coords[],3,FALSE))^2+(VLOOKUP($G48,Coords[],4,FALSE)-VLOOKUP(AI$5,Coords[],4,FALSE))^2)))</f>
        <v>1000</v>
      </c>
      <c r="AJ48" s="10">
        <f>IF($G48=AJ$5,1000,IF(AJ$4=0,1000,SQRT((VLOOKUP($G48,Coords[],3,FALSE)-VLOOKUP(AJ$5,Coords[],3,FALSE))^2+(VLOOKUP($G48,Coords[],4,FALSE)-VLOOKUP(AJ$5,Coords[],4,FALSE))^2)))</f>
        <v>55.362442142665635</v>
      </c>
      <c r="AK48" s="10">
        <f>IF($G48=AK$5,1000,IF(AK$4=0,1000,SQRT((VLOOKUP($G48,Coords[],3,FALSE)-VLOOKUP(AK$5,Coords[],3,FALSE))^2+(VLOOKUP($G48,Coords[],4,FALSE)-VLOOKUP(AK$5,Coords[],4,FALSE))^2)))</f>
        <v>1000</v>
      </c>
      <c r="AL48" s="10">
        <f>IF($G48=AL$5,1000,IF(AL$4=0,1000,SQRT((VLOOKUP($G48,Coords[],3,FALSE)-VLOOKUP(AL$5,Coords[],3,FALSE))^2+(VLOOKUP($G48,Coords[],4,FALSE)-VLOOKUP(AL$5,Coords[],4,FALSE))^2)))</f>
        <v>1000</v>
      </c>
      <c r="AM48" s="10">
        <f>IF($G48=AM$5,1000,IF(AM$4=0,1000,SQRT((VLOOKUP($G48,Coords[],3,FALSE)-VLOOKUP(AM$5,Coords[],3,FALSE))^2+(VLOOKUP($G48,Coords[],4,FALSE)-VLOOKUP(AM$5,Coords[],4,FALSE))^2)))</f>
        <v>37.589892258425003</v>
      </c>
      <c r="AN48" s="10">
        <f>IF($G48=AN$5,1000,IF(AN$4=0,1000,SQRT((VLOOKUP($G48,Coords[],3,FALSE)-VLOOKUP(AN$5,Coords[],3,FALSE))^2+(VLOOKUP($G48,Coords[],4,FALSE)-VLOOKUP(AN$5,Coords[],4,FALSE))^2)))</f>
        <v>1000</v>
      </c>
      <c r="AO48" s="10">
        <f>IF($G48=AO$5,1000,IF(AO$4=0,1000,SQRT((VLOOKUP($G48,Coords[],3,FALSE)-VLOOKUP(AO$5,Coords[],3,FALSE))^2+(VLOOKUP($G48,Coords[],4,FALSE)-VLOOKUP(AO$5,Coords[],4,FALSE))^2)))</f>
        <v>1000</v>
      </c>
      <c r="AP48" s="10">
        <f>IF($G48=AP$5,1000,IF(AP$4=0,1000,SQRT((VLOOKUP($G48,Coords[],3,FALSE)-VLOOKUP(AP$5,Coords[],3,FALSE))^2+(VLOOKUP($G48,Coords[],4,FALSE)-VLOOKUP(AP$5,Coords[],4,FALSE))^2)))</f>
        <v>1000</v>
      </c>
      <c r="AQ48" s="10">
        <f>IF($G48=AQ$5,1000,IF(AQ$4=0,1000,SQRT((VLOOKUP($G48,Coords[],3,FALSE)-VLOOKUP(AQ$5,Coords[],3,FALSE))^2+(VLOOKUP($G48,Coords[],4,FALSE)-VLOOKUP(AQ$5,Coords[],4,FALSE))^2)))</f>
        <v>1000</v>
      </c>
      <c r="AR48" s="10">
        <f>IF($G48=AR$5,1000,IF(AR$4=0,1000,SQRT((VLOOKUP($G48,Coords[],3,FALSE)-VLOOKUP(AR$5,Coords[],3,FALSE))^2+(VLOOKUP($G48,Coords[],4,FALSE)-VLOOKUP(AR$5,Coords[],4,FALSE))^2)))</f>
        <v>1000</v>
      </c>
      <c r="AS48" s="10">
        <f>IF($G48=AS$5,1000,IF(AS$4=0,1000,SQRT((VLOOKUP($G48,Coords[],3,FALSE)-VLOOKUP(AS$5,Coords[],3,FALSE))^2+(VLOOKUP($G48,Coords[],4,FALSE)-VLOOKUP(AS$5,Coords[],4,FALSE))^2)))</f>
        <v>1000</v>
      </c>
      <c r="AT48" s="10">
        <f>IF($G48=AT$5,1000,IF(AT$4=0,1000,SQRT((VLOOKUP($G48,Coords[],3,FALSE)-VLOOKUP(AT$5,Coords[],3,FALSE))^2+(VLOOKUP($G48,Coords[],4,FALSE)-VLOOKUP(AT$5,Coords[],4,FALSE))^2)))</f>
        <v>1000</v>
      </c>
      <c r="AU48" s="10">
        <f>IF($G48=AU$5,1000,IF(AU$4=0,1000,SQRT((VLOOKUP($G48,Coords[],3,FALSE)-VLOOKUP(AU$5,Coords[],3,FALSE))^2+(VLOOKUP($G48,Coords[],4,FALSE)-VLOOKUP(AU$5,Coords[],4,FALSE))^2)))</f>
        <v>1000</v>
      </c>
      <c r="AV48" s="10">
        <f>IF($G48=AV$5,1000,IF(AV$4=0,1000,SQRT((VLOOKUP($G48,Coords[],3,FALSE)-VLOOKUP(AV$5,Coords[],3,FALSE))^2+(VLOOKUP($G48,Coords[],4,FALSE)-VLOOKUP(AV$5,Coords[],4,FALSE))^2)))</f>
        <v>1000</v>
      </c>
      <c r="AW48" s="10">
        <f>IF($G48=AW$5,1000,IF(AW$4=0,1000,SQRT((VLOOKUP($G48,Coords[],3,FALSE)-VLOOKUP(AW$5,Coords[],3,FALSE))^2+(VLOOKUP($G48,Coords[],4,FALSE)-VLOOKUP(AW$5,Coords[],4,FALSE))^2)))</f>
        <v>1000</v>
      </c>
      <c r="AX48" s="10">
        <f>IF($G48=AX$5,1000,IF(AX$4=0,1000,SQRT((VLOOKUP($G48,Coords[],3,FALSE)-VLOOKUP(AX$5,Coords[],3,FALSE))^2+(VLOOKUP($G48,Coords[],4,FALSE)-VLOOKUP(AX$5,Coords[],4,FALSE))^2)))</f>
        <v>1000</v>
      </c>
      <c r="AY48" s="10">
        <f>IF($G48=AY$5,1000,IF(AY$4=0,1000,SQRT((VLOOKUP($G48,Coords[],3,FALSE)-VLOOKUP(AY$5,Coords[],3,FALSE))^2+(VLOOKUP($G48,Coords[],4,FALSE)-VLOOKUP(AY$5,Coords[],4,FALSE))^2)))</f>
        <v>1000</v>
      </c>
      <c r="AZ48" s="10">
        <f>IF($G48=AZ$5,1000,IF(AZ$4=0,1000,SQRT((VLOOKUP($G48,Coords[],3,FALSE)-VLOOKUP(AZ$5,Coords[],3,FALSE))^2+(VLOOKUP($G48,Coords[],4,FALSE)-VLOOKUP(AZ$5,Coords[],4,FALSE))^2)))</f>
        <v>1000</v>
      </c>
      <c r="BA48" s="10">
        <f>IF($G48=BA$5,1000,IF(BA$4=0,1000,SQRT((VLOOKUP($G48,Coords[],3,FALSE)-VLOOKUP(BA$5,Coords[],3,FALSE))^2+(VLOOKUP($G48,Coords[],4,FALSE)-VLOOKUP(BA$5,Coords[],4,FALSE))^2)))</f>
        <v>1000</v>
      </c>
      <c r="BB48" s="10">
        <f>IF($G48=BB$5,1000,IF(BB$4=0,1000,SQRT((VLOOKUP($G48,Coords[],3,FALSE)-VLOOKUP(BB$5,Coords[],3,FALSE))^2+(VLOOKUP($G48,Coords[],4,FALSE)-VLOOKUP(BB$5,Coords[],4,FALSE))^2)))</f>
        <v>1000</v>
      </c>
      <c r="BC48" s="10">
        <f>IF($G48=BC$5,1000,IF(BC$4=0,1000,SQRT((VLOOKUP($G48,Coords[],3,FALSE)-VLOOKUP(BC$5,Coords[],3,FALSE))^2+(VLOOKUP($G48,Coords[],4,FALSE)-VLOOKUP(BC$5,Coords[],4,FALSE))^2)))</f>
        <v>1000</v>
      </c>
      <c r="BD48" s="10">
        <f>IF($G48=BD$5,1000,IF(BD$4=0,1000,SQRT((VLOOKUP($G48,Coords[],3,FALSE)-VLOOKUP(BD$5,Coords[],3,FALSE))^2+(VLOOKUP($G48,Coords[],4,FALSE)-VLOOKUP(BD$5,Coords[],4,FALSE))^2)))</f>
        <v>1000</v>
      </c>
      <c r="BE48" s="10">
        <f>IF($G48=BE$5,1000,IF(BE$4=0,1000,SQRT((VLOOKUP($G48,Coords[],3,FALSE)-VLOOKUP(BE$5,Coords[],3,FALSE))^2+(VLOOKUP($G48,Coords[],4,FALSE)-VLOOKUP(BE$5,Coords[],4,FALSE))^2)))</f>
        <v>1000</v>
      </c>
      <c r="BF48" s="10">
        <f>IF($G48=BF$5,1000,IF(BF$4=0,1000,SQRT((VLOOKUP($G48,Coords[],3,FALSE)-VLOOKUP(BF$5,Coords[],3,FALSE))^2+(VLOOKUP($G48,Coords[],4,FALSE)-VLOOKUP(BF$5,Coords[],4,FALSE))^2)))</f>
        <v>1000</v>
      </c>
      <c r="BG48" s="4">
        <v>43</v>
      </c>
      <c r="BI48" s="5">
        <f>IF(E48=1,0,VLOOKUP($G48,$G$6:$BF$57,HLOOKUP(MIN(H48:BF48),$H48:$BF$57,((COUNT($G$6:$G$56)+2)-$G48),FALSE),FALSE)*B48)</f>
        <v>4000</v>
      </c>
      <c r="BJ48" s="9">
        <f>VLOOKUP($G48,$G$6:$BF$57,HLOOKUP(MIN(H48:BF48),$H48:$BF$57,((COUNT($G$6:$G$56)+2)-$G48),FALSE),FALSE)</f>
        <v>1000</v>
      </c>
      <c r="BK48" s="7">
        <f>HLOOKUP(MIN(H48:BF48),$H48:$BF$57,((COUNT($G$6:$G$56)+2)-$G48),FALSE)</f>
        <v>8</v>
      </c>
      <c r="BL48">
        <f>BJ48*Coords[[#This Row],[Demand]]</f>
        <v>4000</v>
      </c>
      <c r="BN48">
        <v>43</v>
      </c>
      <c r="BO48">
        <v>7721.6563986239207</v>
      </c>
      <c r="BP48">
        <v>200792.27375840355</v>
      </c>
    </row>
    <row r="49" spans="1:68" x14ac:dyDescent="0.25">
      <c r="A49" s="8">
        <v>44</v>
      </c>
      <c r="B49" s="3">
        <v>9</v>
      </c>
      <c r="C49" s="3">
        <v>30</v>
      </c>
      <c r="D49" s="3">
        <v>15</v>
      </c>
      <c r="E49">
        <v>0</v>
      </c>
      <c r="G49" s="4">
        <v>44</v>
      </c>
      <c r="H49" s="10">
        <f>IF($G49=H$5,1000,IF(H$4=0,1000,SQRT((VLOOKUP($G49,Coords[],3,FALSE)-VLOOKUP(H$5,Coords[],3,FALSE))^2+(VLOOKUP($G49,Coords[],4,FALSE)-VLOOKUP(H$5,Coords[],4,FALSE))^2)))</f>
        <v>1000</v>
      </c>
      <c r="I49" s="10">
        <f>IF($G49=I$5,1000,IF(I$4=0,1000,SQRT((VLOOKUP($G49,Coords[],3,FALSE)-VLOOKUP(I$5,Coords[],3,FALSE))^2+(VLOOKUP($G49,Coords[],4,FALSE)-VLOOKUP(I$5,Coords[],4,FALSE))^2)))</f>
        <v>1000</v>
      </c>
      <c r="J49" s="10">
        <f>IF($G49=J$5,1000,IF(J$4=0,1000,SQRT((VLOOKUP($G49,Coords[],3,FALSE)-VLOOKUP(J$5,Coords[],3,FALSE))^2+(VLOOKUP($G49,Coords[],4,FALSE)-VLOOKUP(J$5,Coords[],4,FALSE))^2)))</f>
        <v>1000</v>
      </c>
      <c r="K49" s="10">
        <f>IF($G49=K$5,1000,IF(K$4=0,1000,SQRT((VLOOKUP($G49,Coords[],3,FALSE)-VLOOKUP(K$5,Coords[],3,FALSE))^2+(VLOOKUP($G49,Coords[],4,FALSE)-VLOOKUP(K$5,Coords[],4,FALSE))^2)))</f>
        <v>1000</v>
      </c>
      <c r="L49" s="10">
        <f>IF($G49=L$5,1000,IF(L$4=0,1000,SQRT((VLOOKUP($G49,Coords[],3,FALSE)-VLOOKUP(L$5,Coords[],3,FALSE))^2+(VLOOKUP($G49,Coords[],4,FALSE)-VLOOKUP(L$5,Coords[],4,FALSE))^2)))</f>
        <v>1000</v>
      </c>
      <c r="M49" s="10">
        <f>IF($G49=M$5,1000,IF(M$4=0,1000,SQRT((VLOOKUP($G49,Coords[],3,FALSE)-VLOOKUP(M$5,Coords[],3,FALSE))^2+(VLOOKUP($G49,Coords[],4,FALSE)-VLOOKUP(M$5,Coords[],4,FALSE))^2)))</f>
        <v>1000</v>
      </c>
      <c r="N49" s="10">
        <f>IF($G49=N$5,1000,IF(N$4=0,1000,SQRT((VLOOKUP($G49,Coords[],3,FALSE)-VLOOKUP(N$5,Coords[],3,FALSE))^2+(VLOOKUP($G49,Coords[],4,FALSE)-VLOOKUP(N$5,Coords[],4,FALSE))^2)))</f>
        <v>1000</v>
      </c>
      <c r="O49" s="10">
        <f>IF($G49=O$5,1000,IF(O$4=0,1000,SQRT((VLOOKUP($G49,Coords[],3,FALSE)-VLOOKUP(O$5,Coords[],3,FALSE))^2+(VLOOKUP($G49,Coords[],4,FALSE)-VLOOKUP(O$5,Coords[],4,FALSE))^2)))</f>
        <v>47.010637094172637</v>
      </c>
      <c r="P49" s="10">
        <f>IF($G49=P$5,1000,IF(P$4=0,1000,SQRT((VLOOKUP($G49,Coords[],3,FALSE)-VLOOKUP(P$5,Coords[],3,FALSE))^2+(VLOOKUP($G49,Coords[],4,FALSE)-VLOOKUP(P$5,Coords[],4,FALSE))^2)))</f>
        <v>1000</v>
      </c>
      <c r="Q49" s="10">
        <f>IF($G49=Q$5,1000,IF(Q$4=0,1000,SQRT((VLOOKUP($G49,Coords[],3,FALSE)-VLOOKUP(Q$5,Coords[],3,FALSE))^2+(VLOOKUP($G49,Coords[],4,FALSE)-VLOOKUP(Q$5,Coords[],4,FALSE))^2)))</f>
        <v>1000</v>
      </c>
      <c r="R49" s="10">
        <f>IF($G49=R$5,1000,IF(R$4=0,1000,SQRT((VLOOKUP($G49,Coords[],3,FALSE)-VLOOKUP(R$5,Coords[],3,FALSE))^2+(VLOOKUP($G49,Coords[],4,FALSE)-VLOOKUP(R$5,Coords[],4,FALSE))^2)))</f>
        <v>1000</v>
      </c>
      <c r="S49" s="10">
        <f>IF($G49=S$5,1000,IF(S$4=0,1000,SQRT((VLOOKUP($G49,Coords[],3,FALSE)-VLOOKUP(S$5,Coords[],3,FALSE))^2+(VLOOKUP($G49,Coords[],4,FALSE)-VLOOKUP(S$5,Coords[],4,FALSE))^2)))</f>
        <v>1000</v>
      </c>
      <c r="T49" s="10">
        <f>IF($G49=T$5,1000,IF(T$4=0,1000,SQRT((VLOOKUP($G49,Coords[],3,FALSE)-VLOOKUP(T$5,Coords[],3,FALSE))^2+(VLOOKUP($G49,Coords[],4,FALSE)-VLOOKUP(T$5,Coords[],4,FALSE))^2)))</f>
        <v>1000</v>
      </c>
      <c r="U49" s="10">
        <f>IF($G49=U$5,1000,IF(U$4=0,1000,SQRT((VLOOKUP($G49,Coords[],3,FALSE)-VLOOKUP(U$5,Coords[],3,FALSE))^2+(VLOOKUP($G49,Coords[],4,FALSE)-VLOOKUP(U$5,Coords[],4,FALSE))^2)))</f>
        <v>1000</v>
      </c>
      <c r="V49" s="10">
        <f>IF($G49=V$5,1000,IF(V$4=0,1000,SQRT((VLOOKUP($G49,Coords[],3,FALSE)-VLOOKUP(V$5,Coords[],3,FALSE))^2+(VLOOKUP($G49,Coords[],4,FALSE)-VLOOKUP(V$5,Coords[],4,FALSE))^2)))</f>
        <v>1000</v>
      </c>
      <c r="W49" s="10">
        <f>IF($G49=W$5,1000,IF(W$4=0,1000,SQRT((VLOOKUP($G49,Coords[],3,FALSE)-VLOOKUP(W$5,Coords[],3,FALSE))^2+(VLOOKUP($G49,Coords[],4,FALSE)-VLOOKUP(W$5,Coords[],4,FALSE))^2)))</f>
        <v>1000</v>
      </c>
      <c r="X49" s="10">
        <f>IF($G49=X$5,1000,IF(X$4=0,1000,SQRT((VLOOKUP($G49,Coords[],3,FALSE)-VLOOKUP(X$5,Coords[],3,FALSE))^2+(VLOOKUP($G49,Coords[],4,FALSE)-VLOOKUP(X$5,Coords[],4,FALSE))^2)))</f>
        <v>1000</v>
      </c>
      <c r="Y49" s="10">
        <f>IF($G49=Y$5,1000,IF(Y$4=0,1000,SQRT((VLOOKUP($G49,Coords[],3,FALSE)-VLOOKUP(Y$5,Coords[],3,FALSE))^2+(VLOOKUP($G49,Coords[],4,FALSE)-VLOOKUP(Y$5,Coords[],4,FALSE))^2)))</f>
        <v>1000</v>
      </c>
      <c r="Z49" s="10">
        <f>IF($G49=Z$5,1000,IF(Z$4=0,1000,SQRT((VLOOKUP($G49,Coords[],3,FALSE)-VLOOKUP(Z$5,Coords[],3,FALSE))^2+(VLOOKUP($G49,Coords[],4,FALSE)-VLOOKUP(Z$5,Coords[],4,FALSE))^2)))</f>
        <v>1000</v>
      </c>
      <c r="AA49" s="10">
        <f>IF($G49=AA$5,1000,IF(AA$4=0,1000,SQRT((VLOOKUP($G49,Coords[],3,FALSE)-VLOOKUP(AA$5,Coords[],3,FALSE))^2+(VLOOKUP($G49,Coords[],4,FALSE)-VLOOKUP(AA$5,Coords[],4,FALSE))^2)))</f>
        <v>50.774009099144415</v>
      </c>
      <c r="AB49" s="10">
        <f>IF($G49=AB$5,1000,IF(AB$4=0,1000,SQRT((VLOOKUP($G49,Coords[],3,FALSE)-VLOOKUP(AB$5,Coords[],3,FALSE))^2+(VLOOKUP($G49,Coords[],4,FALSE)-VLOOKUP(AB$5,Coords[],4,FALSE))^2)))</f>
        <v>1000</v>
      </c>
      <c r="AC49" s="10">
        <f>IF($G49=AC$5,1000,IF(AC$4=0,1000,SQRT((VLOOKUP($G49,Coords[],3,FALSE)-VLOOKUP(AC$5,Coords[],3,FALSE))^2+(VLOOKUP($G49,Coords[],4,FALSE)-VLOOKUP(AC$5,Coords[],4,FALSE))^2)))</f>
        <v>1000</v>
      </c>
      <c r="AD49" s="10">
        <f>IF($G49=AD$5,1000,IF(AD$4=0,1000,SQRT((VLOOKUP($G49,Coords[],3,FALSE)-VLOOKUP(AD$5,Coords[],3,FALSE))^2+(VLOOKUP($G49,Coords[],4,FALSE)-VLOOKUP(AD$5,Coords[],4,FALSE))^2)))</f>
        <v>1000</v>
      </c>
      <c r="AE49" s="10">
        <f>IF($G49=AE$5,1000,IF(AE$4=0,1000,SQRT((VLOOKUP($G49,Coords[],3,FALSE)-VLOOKUP(AE$5,Coords[],3,FALSE))^2+(VLOOKUP($G49,Coords[],4,FALSE)-VLOOKUP(AE$5,Coords[],4,FALSE))^2)))</f>
        <v>1000</v>
      </c>
      <c r="AF49" s="10">
        <f>IF($G49=AF$5,1000,IF(AF$4=0,1000,SQRT((VLOOKUP($G49,Coords[],3,FALSE)-VLOOKUP(AF$5,Coords[],3,FALSE))^2+(VLOOKUP($G49,Coords[],4,FALSE)-VLOOKUP(AF$5,Coords[],4,FALSE))^2)))</f>
        <v>1000</v>
      </c>
      <c r="AG49" s="10">
        <f>IF($G49=AG$5,1000,IF(AG$4=0,1000,SQRT((VLOOKUP($G49,Coords[],3,FALSE)-VLOOKUP(AG$5,Coords[],3,FALSE))^2+(VLOOKUP($G49,Coords[],4,FALSE)-VLOOKUP(AG$5,Coords[],4,FALSE))^2)))</f>
        <v>1000</v>
      </c>
      <c r="AH49" s="10">
        <f>IF($G49=AH$5,1000,IF(AH$4=0,1000,SQRT((VLOOKUP($G49,Coords[],3,FALSE)-VLOOKUP(AH$5,Coords[],3,FALSE))^2+(VLOOKUP($G49,Coords[],4,FALSE)-VLOOKUP(AH$5,Coords[],4,FALSE))^2)))</f>
        <v>1000</v>
      </c>
      <c r="AI49" s="10">
        <f>IF($G49=AI$5,1000,IF(AI$4=0,1000,SQRT((VLOOKUP($G49,Coords[],3,FALSE)-VLOOKUP(AI$5,Coords[],3,FALSE))^2+(VLOOKUP($G49,Coords[],4,FALSE)-VLOOKUP(AI$5,Coords[],4,FALSE))^2)))</f>
        <v>1000</v>
      </c>
      <c r="AJ49" s="10">
        <f>IF($G49=AJ$5,1000,IF(AJ$4=0,1000,SQRT((VLOOKUP($G49,Coords[],3,FALSE)-VLOOKUP(AJ$5,Coords[],3,FALSE))^2+(VLOOKUP($G49,Coords[],4,FALSE)-VLOOKUP(AJ$5,Coords[],4,FALSE))^2)))</f>
        <v>43.278170016764804</v>
      </c>
      <c r="AK49" s="10">
        <f>IF($G49=AK$5,1000,IF(AK$4=0,1000,SQRT((VLOOKUP($G49,Coords[],3,FALSE)-VLOOKUP(AK$5,Coords[],3,FALSE))^2+(VLOOKUP($G49,Coords[],4,FALSE)-VLOOKUP(AK$5,Coords[],4,FALSE))^2)))</f>
        <v>1000</v>
      </c>
      <c r="AL49" s="10">
        <f>IF($G49=AL$5,1000,IF(AL$4=0,1000,SQRT((VLOOKUP($G49,Coords[],3,FALSE)-VLOOKUP(AL$5,Coords[],3,FALSE))^2+(VLOOKUP($G49,Coords[],4,FALSE)-VLOOKUP(AL$5,Coords[],4,FALSE))^2)))</f>
        <v>1000</v>
      </c>
      <c r="AM49" s="10">
        <f>IF($G49=AM$5,1000,IF(AM$4=0,1000,SQRT((VLOOKUP($G49,Coords[],3,FALSE)-VLOOKUP(AM$5,Coords[],3,FALSE))^2+(VLOOKUP($G49,Coords[],4,FALSE)-VLOOKUP(AM$5,Coords[],4,FALSE))^2)))</f>
        <v>32.015621187164243</v>
      </c>
      <c r="AN49" s="10">
        <f>IF($G49=AN$5,1000,IF(AN$4=0,1000,SQRT((VLOOKUP($G49,Coords[],3,FALSE)-VLOOKUP(AN$5,Coords[],3,FALSE))^2+(VLOOKUP($G49,Coords[],4,FALSE)-VLOOKUP(AN$5,Coords[],4,FALSE))^2)))</f>
        <v>1000</v>
      </c>
      <c r="AO49" s="10">
        <f>IF($G49=AO$5,1000,IF(AO$4=0,1000,SQRT((VLOOKUP($G49,Coords[],3,FALSE)-VLOOKUP(AO$5,Coords[],3,FALSE))^2+(VLOOKUP($G49,Coords[],4,FALSE)-VLOOKUP(AO$5,Coords[],4,FALSE))^2)))</f>
        <v>1000</v>
      </c>
      <c r="AP49" s="10">
        <f>IF($G49=AP$5,1000,IF(AP$4=0,1000,SQRT((VLOOKUP($G49,Coords[],3,FALSE)-VLOOKUP(AP$5,Coords[],3,FALSE))^2+(VLOOKUP($G49,Coords[],4,FALSE)-VLOOKUP(AP$5,Coords[],4,FALSE))^2)))</f>
        <v>1000</v>
      </c>
      <c r="AQ49" s="10">
        <f>IF($G49=AQ$5,1000,IF(AQ$4=0,1000,SQRT((VLOOKUP($G49,Coords[],3,FALSE)-VLOOKUP(AQ$5,Coords[],3,FALSE))^2+(VLOOKUP($G49,Coords[],4,FALSE)-VLOOKUP(AQ$5,Coords[],4,FALSE))^2)))</f>
        <v>1000</v>
      </c>
      <c r="AR49" s="10">
        <f>IF($G49=AR$5,1000,IF(AR$4=0,1000,SQRT((VLOOKUP($G49,Coords[],3,FALSE)-VLOOKUP(AR$5,Coords[],3,FALSE))^2+(VLOOKUP($G49,Coords[],4,FALSE)-VLOOKUP(AR$5,Coords[],4,FALSE))^2)))</f>
        <v>1000</v>
      </c>
      <c r="AS49" s="10">
        <f>IF($G49=AS$5,1000,IF(AS$4=0,1000,SQRT((VLOOKUP($G49,Coords[],3,FALSE)-VLOOKUP(AS$5,Coords[],3,FALSE))^2+(VLOOKUP($G49,Coords[],4,FALSE)-VLOOKUP(AS$5,Coords[],4,FALSE))^2)))</f>
        <v>1000</v>
      </c>
      <c r="AT49" s="10">
        <f>IF($G49=AT$5,1000,IF(AT$4=0,1000,SQRT((VLOOKUP($G49,Coords[],3,FALSE)-VLOOKUP(AT$5,Coords[],3,FALSE))^2+(VLOOKUP($G49,Coords[],4,FALSE)-VLOOKUP(AT$5,Coords[],4,FALSE))^2)))</f>
        <v>1000</v>
      </c>
      <c r="AU49" s="10">
        <f>IF($G49=AU$5,1000,IF(AU$4=0,1000,SQRT((VLOOKUP($G49,Coords[],3,FALSE)-VLOOKUP(AU$5,Coords[],3,FALSE))^2+(VLOOKUP($G49,Coords[],4,FALSE)-VLOOKUP(AU$5,Coords[],4,FALSE))^2)))</f>
        <v>1000</v>
      </c>
      <c r="AV49" s="10">
        <f>IF($G49=AV$5,1000,IF(AV$4=0,1000,SQRT((VLOOKUP($G49,Coords[],3,FALSE)-VLOOKUP(AV$5,Coords[],3,FALSE))^2+(VLOOKUP($G49,Coords[],4,FALSE)-VLOOKUP(AV$5,Coords[],4,FALSE))^2)))</f>
        <v>1000</v>
      </c>
      <c r="AW49" s="10">
        <f>IF($G49=AW$5,1000,IF(AW$4=0,1000,SQRT((VLOOKUP($G49,Coords[],3,FALSE)-VLOOKUP(AW$5,Coords[],3,FALSE))^2+(VLOOKUP($G49,Coords[],4,FALSE)-VLOOKUP(AW$5,Coords[],4,FALSE))^2)))</f>
        <v>1000</v>
      </c>
      <c r="AX49" s="10">
        <f>IF($G49=AX$5,1000,IF(AX$4=0,1000,SQRT((VLOOKUP($G49,Coords[],3,FALSE)-VLOOKUP(AX$5,Coords[],3,FALSE))^2+(VLOOKUP($G49,Coords[],4,FALSE)-VLOOKUP(AX$5,Coords[],4,FALSE))^2)))</f>
        <v>1000</v>
      </c>
      <c r="AY49" s="10">
        <f>IF($G49=AY$5,1000,IF(AY$4=0,1000,SQRT((VLOOKUP($G49,Coords[],3,FALSE)-VLOOKUP(AY$5,Coords[],3,FALSE))^2+(VLOOKUP($G49,Coords[],4,FALSE)-VLOOKUP(AY$5,Coords[],4,FALSE))^2)))</f>
        <v>1000</v>
      </c>
      <c r="AZ49" s="10">
        <f>IF($G49=AZ$5,1000,IF(AZ$4=0,1000,SQRT((VLOOKUP($G49,Coords[],3,FALSE)-VLOOKUP(AZ$5,Coords[],3,FALSE))^2+(VLOOKUP($G49,Coords[],4,FALSE)-VLOOKUP(AZ$5,Coords[],4,FALSE))^2)))</f>
        <v>1000</v>
      </c>
      <c r="BA49" s="10">
        <f>IF($G49=BA$5,1000,IF(BA$4=0,1000,SQRT((VLOOKUP($G49,Coords[],3,FALSE)-VLOOKUP(BA$5,Coords[],3,FALSE))^2+(VLOOKUP($G49,Coords[],4,FALSE)-VLOOKUP(BA$5,Coords[],4,FALSE))^2)))</f>
        <v>1000</v>
      </c>
      <c r="BB49" s="10">
        <f>IF($G49=BB$5,1000,IF(BB$4=0,1000,SQRT((VLOOKUP($G49,Coords[],3,FALSE)-VLOOKUP(BB$5,Coords[],3,FALSE))^2+(VLOOKUP($G49,Coords[],4,FALSE)-VLOOKUP(BB$5,Coords[],4,FALSE))^2)))</f>
        <v>1000</v>
      </c>
      <c r="BC49" s="10">
        <f>IF($G49=BC$5,1000,IF(BC$4=0,1000,SQRT((VLOOKUP($G49,Coords[],3,FALSE)-VLOOKUP(BC$5,Coords[],3,FALSE))^2+(VLOOKUP($G49,Coords[],4,FALSE)-VLOOKUP(BC$5,Coords[],4,FALSE))^2)))</f>
        <v>1000</v>
      </c>
      <c r="BD49" s="10">
        <f>IF($G49=BD$5,1000,IF(BD$4=0,1000,SQRT((VLOOKUP($G49,Coords[],3,FALSE)-VLOOKUP(BD$5,Coords[],3,FALSE))^2+(VLOOKUP($G49,Coords[],4,FALSE)-VLOOKUP(BD$5,Coords[],4,FALSE))^2)))</f>
        <v>1000</v>
      </c>
      <c r="BE49" s="10">
        <f>IF($G49=BE$5,1000,IF(BE$4=0,1000,SQRT((VLOOKUP($G49,Coords[],3,FALSE)-VLOOKUP(BE$5,Coords[],3,FALSE))^2+(VLOOKUP($G49,Coords[],4,FALSE)-VLOOKUP(BE$5,Coords[],4,FALSE))^2)))</f>
        <v>1000</v>
      </c>
      <c r="BF49" s="10">
        <f>IF($G49=BF$5,1000,IF(BF$4=0,1000,SQRT((VLOOKUP($G49,Coords[],3,FALSE)-VLOOKUP(BF$5,Coords[],3,FALSE))^2+(VLOOKUP($G49,Coords[],4,FALSE)-VLOOKUP(BF$5,Coords[],4,FALSE))^2)))</f>
        <v>1000</v>
      </c>
      <c r="BG49" s="4">
        <v>44</v>
      </c>
      <c r="BI49" s="5">
        <f>IF(E49=1,0,VLOOKUP($G49,$G$6:$BF$57,HLOOKUP(MIN(H49:BF49),$H49:$BF$57,((COUNT($G$6:$G$56)+2)-$G49),FALSE),FALSE)*B49)</f>
        <v>288.14059068447818</v>
      </c>
      <c r="BJ49" s="9">
        <f>VLOOKUP($G49,$G$6:$BF$57,HLOOKUP(MIN(H49:BF49),$H49:$BF$57,((COUNT($G$6:$G$56)+2)-$G49),FALSE),FALSE)</f>
        <v>32.015621187164243</v>
      </c>
      <c r="BK49" s="7">
        <f>HLOOKUP(MIN(H49:BF49),$H49:$BF$57,((COUNT($G$6:$G$56)+2)-$G49),FALSE)</f>
        <v>33</v>
      </c>
      <c r="BL49">
        <f>BJ49*Coords[[#This Row],[Demand]]</f>
        <v>288.14059068447818</v>
      </c>
      <c r="BN49">
        <v>44</v>
      </c>
      <c r="BO49">
        <v>7721.6563986239207</v>
      </c>
      <c r="BP49">
        <v>11396.660064819742</v>
      </c>
    </row>
    <row r="50" spans="1:68" x14ac:dyDescent="0.25">
      <c r="A50" s="8">
        <v>45</v>
      </c>
      <c r="B50" s="3">
        <v>1</v>
      </c>
      <c r="C50" s="3">
        <v>39</v>
      </c>
      <c r="D50" s="3">
        <v>10</v>
      </c>
      <c r="E50">
        <v>0</v>
      </c>
      <c r="G50" s="4">
        <v>45</v>
      </c>
      <c r="H50" s="10">
        <f>IF($G50=H$5,1000,IF(H$4=0,1000,SQRT((VLOOKUP($G50,Coords[],3,FALSE)-VLOOKUP(H$5,Coords[],3,FALSE))^2+(VLOOKUP($G50,Coords[],4,FALSE)-VLOOKUP(H$5,Coords[],4,FALSE))^2)))</f>
        <v>1000</v>
      </c>
      <c r="I50" s="10">
        <f>IF($G50=I$5,1000,IF(I$4=0,1000,SQRT((VLOOKUP($G50,Coords[],3,FALSE)-VLOOKUP(I$5,Coords[],3,FALSE))^2+(VLOOKUP($G50,Coords[],4,FALSE)-VLOOKUP(I$5,Coords[],4,FALSE))^2)))</f>
        <v>1000</v>
      </c>
      <c r="J50" s="10">
        <f>IF($G50=J$5,1000,IF(J$4=0,1000,SQRT((VLOOKUP($G50,Coords[],3,FALSE)-VLOOKUP(J$5,Coords[],3,FALSE))^2+(VLOOKUP($G50,Coords[],4,FALSE)-VLOOKUP(J$5,Coords[],4,FALSE))^2)))</f>
        <v>1000</v>
      </c>
      <c r="K50" s="10">
        <f>IF($G50=K$5,1000,IF(K$4=0,1000,SQRT((VLOOKUP($G50,Coords[],3,FALSE)-VLOOKUP(K$5,Coords[],3,FALSE))^2+(VLOOKUP($G50,Coords[],4,FALSE)-VLOOKUP(K$5,Coords[],4,FALSE))^2)))</f>
        <v>1000</v>
      </c>
      <c r="L50" s="10">
        <f>IF($G50=L$5,1000,IF(L$4=0,1000,SQRT((VLOOKUP($G50,Coords[],3,FALSE)-VLOOKUP(L$5,Coords[],3,FALSE))^2+(VLOOKUP($G50,Coords[],4,FALSE)-VLOOKUP(L$5,Coords[],4,FALSE))^2)))</f>
        <v>1000</v>
      </c>
      <c r="M50" s="10">
        <f>IF($G50=M$5,1000,IF(M$4=0,1000,SQRT((VLOOKUP($G50,Coords[],3,FALSE)-VLOOKUP(M$5,Coords[],3,FALSE))^2+(VLOOKUP($G50,Coords[],4,FALSE)-VLOOKUP(M$5,Coords[],4,FALSE))^2)))</f>
        <v>1000</v>
      </c>
      <c r="N50" s="10">
        <f>IF($G50=N$5,1000,IF(N$4=0,1000,SQRT((VLOOKUP($G50,Coords[],3,FALSE)-VLOOKUP(N$5,Coords[],3,FALSE))^2+(VLOOKUP($G50,Coords[],4,FALSE)-VLOOKUP(N$5,Coords[],4,FALSE))^2)))</f>
        <v>1000</v>
      </c>
      <c r="O50" s="10">
        <f>IF($G50=O$5,1000,IF(O$4=0,1000,SQRT((VLOOKUP($G50,Coords[],3,FALSE)-VLOOKUP(O$5,Coords[],3,FALSE))^2+(VLOOKUP($G50,Coords[],4,FALSE)-VLOOKUP(O$5,Coords[],4,FALSE))^2)))</f>
        <v>52.611785751863621</v>
      </c>
      <c r="P50" s="10">
        <f>IF($G50=P$5,1000,IF(P$4=0,1000,SQRT((VLOOKUP($G50,Coords[],3,FALSE)-VLOOKUP(P$5,Coords[],3,FALSE))^2+(VLOOKUP($G50,Coords[],4,FALSE)-VLOOKUP(P$5,Coords[],4,FALSE))^2)))</f>
        <v>1000</v>
      </c>
      <c r="Q50" s="10">
        <f>IF($G50=Q$5,1000,IF(Q$4=0,1000,SQRT((VLOOKUP($G50,Coords[],3,FALSE)-VLOOKUP(Q$5,Coords[],3,FALSE))^2+(VLOOKUP($G50,Coords[],4,FALSE)-VLOOKUP(Q$5,Coords[],4,FALSE))^2)))</f>
        <v>1000</v>
      </c>
      <c r="R50" s="10">
        <f>IF($G50=R$5,1000,IF(R$4=0,1000,SQRT((VLOOKUP($G50,Coords[],3,FALSE)-VLOOKUP(R$5,Coords[],3,FALSE))^2+(VLOOKUP($G50,Coords[],4,FALSE)-VLOOKUP(R$5,Coords[],4,FALSE))^2)))</f>
        <v>1000</v>
      </c>
      <c r="S50" s="10">
        <f>IF($G50=S$5,1000,IF(S$4=0,1000,SQRT((VLOOKUP($G50,Coords[],3,FALSE)-VLOOKUP(S$5,Coords[],3,FALSE))^2+(VLOOKUP($G50,Coords[],4,FALSE)-VLOOKUP(S$5,Coords[],4,FALSE))^2)))</f>
        <v>1000</v>
      </c>
      <c r="T50" s="10">
        <f>IF($G50=T$5,1000,IF(T$4=0,1000,SQRT((VLOOKUP($G50,Coords[],3,FALSE)-VLOOKUP(T$5,Coords[],3,FALSE))^2+(VLOOKUP($G50,Coords[],4,FALSE)-VLOOKUP(T$5,Coords[],4,FALSE))^2)))</f>
        <v>1000</v>
      </c>
      <c r="U50" s="10">
        <f>IF($G50=U$5,1000,IF(U$4=0,1000,SQRT((VLOOKUP($G50,Coords[],3,FALSE)-VLOOKUP(U$5,Coords[],3,FALSE))^2+(VLOOKUP($G50,Coords[],4,FALSE)-VLOOKUP(U$5,Coords[],4,FALSE))^2)))</f>
        <v>1000</v>
      </c>
      <c r="V50" s="10">
        <f>IF($G50=V$5,1000,IF(V$4=0,1000,SQRT((VLOOKUP($G50,Coords[],3,FALSE)-VLOOKUP(V$5,Coords[],3,FALSE))^2+(VLOOKUP($G50,Coords[],4,FALSE)-VLOOKUP(V$5,Coords[],4,FALSE))^2)))</f>
        <v>1000</v>
      </c>
      <c r="W50" s="10">
        <f>IF($G50=W$5,1000,IF(W$4=0,1000,SQRT((VLOOKUP($G50,Coords[],3,FALSE)-VLOOKUP(W$5,Coords[],3,FALSE))^2+(VLOOKUP($G50,Coords[],4,FALSE)-VLOOKUP(W$5,Coords[],4,FALSE))^2)))</f>
        <v>1000</v>
      </c>
      <c r="X50" s="10">
        <f>IF($G50=X$5,1000,IF(X$4=0,1000,SQRT((VLOOKUP($G50,Coords[],3,FALSE)-VLOOKUP(X$5,Coords[],3,FALSE))^2+(VLOOKUP($G50,Coords[],4,FALSE)-VLOOKUP(X$5,Coords[],4,FALSE))^2)))</f>
        <v>1000</v>
      </c>
      <c r="Y50" s="10">
        <f>IF($G50=Y$5,1000,IF(Y$4=0,1000,SQRT((VLOOKUP($G50,Coords[],3,FALSE)-VLOOKUP(Y$5,Coords[],3,FALSE))^2+(VLOOKUP($G50,Coords[],4,FALSE)-VLOOKUP(Y$5,Coords[],4,FALSE))^2)))</f>
        <v>1000</v>
      </c>
      <c r="Z50" s="10">
        <f>IF($G50=Z$5,1000,IF(Z$4=0,1000,SQRT((VLOOKUP($G50,Coords[],3,FALSE)-VLOOKUP(Z$5,Coords[],3,FALSE))^2+(VLOOKUP($G50,Coords[],4,FALSE)-VLOOKUP(Z$5,Coords[],4,FALSE))^2)))</f>
        <v>1000</v>
      </c>
      <c r="AA50" s="10">
        <f>IF($G50=AA$5,1000,IF(AA$4=0,1000,SQRT((VLOOKUP($G50,Coords[],3,FALSE)-VLOOKUP(AA$5,Coords[],3,FALSE))^2+(VLOOKUP($G50,Coords[],4,FALSE)-VLOOKUP(AA$5,Coords[],4,FALSE))^2)))</f>
        <v>51.264022471905186</v>
      </c>
      <c r="AB50" s="10">
        <f>IF($G50=AB$5,1000,IF(AB$4=0,1000,SQRT((VLOOKUP($G50,Coords[],3,FALSE)-VLOOKUP(AB$5,Coords[],3,FALSE))^2+(VLOOKUP($G50,Coords[],4,FALSE)-VLOOKUP(AB$5,Coords[],4,FALSE))^2)))</f>
        <v>1000</v>
      </c>
      <c r="AC50" s="10">
        <f>IF($G50=AC$5,1000,IF(AC$4=0,1000,SQRT((VLOOKUP($G50,Coords[],3,FALSE)-VLOOKUP(AC$5,Coords[],3,FALSE))^2+(VLOOKUP($G50,Coords[],4,FALSE)-VLOOKUP(AC$5,Coords[],4,FALSE))^2)))</f>
        <v>1000</v>
      </c>
      <c r="AD50" s="10">
        <f>IF($G50=AD$5,1000,IF(AD$4=0,1000,SQRT((VLOOKUP($G50,Coords[],3,FALSE)-VLOOKUP(AD$5,Coords[],3,FALSE))^2+(VLOOKUP($G50,Coords[],4,FALSE)-VLOOKUP(AD$5,Coords[],4,FALSE))^2)))</f>
        <v>1000</v>
      </c>
      <c r="AE50" s="10">
        <f>IF($G50=AE$5,1000,IF(AE$4=0,1000,SQRT((VLOOKUP($G50,Coords[],3,FALSE)-VLOOKUP(AE$5,Coords[],3,FALSE))^2+(VLOOKUP($G50,Coords[],4,FALSE)-VLOOKUP(AE$5,Coords[],4,FALSE))^2)))</f>
        <v>1000</v>
      </c>
      <c r="AF50" s="10">
        <f>IF($G50=AF$5,1000,IF(AF$4=0,1000,SQRT((VLOOKUP($G50,Coords[],3,FALSE)-VLOOKUP(AF$5,Coords[],3,FALSE))^2+(VLOOKUP($G50,Coords[],4,FALSE)-VLOOKUP(AF$5,Coords[],4,FALSE))^2)))</f>
        <v>1000</v>
      </c>
      <c r="AG50" s="10">
        <f>IF($G50=AG$5,1000,IF(AG$4=0,1000,SQRT((VLOOKUP($G50,Coords[],3,FALSE)-VLOOKUP(AG$5,Coords[],3,FALSE))^2+(VLOOKUP($G50,Coords[],4,FALSE)-VLOOKUP(AG$5,Coords[],4,FALSE))^2)))</f>
        <v>1000</v>
      </c>
      <c r="AH50" s="10">
        <f>IF($G50=AH$5,1000,IF(AH$4=0,1000,SQRT((VLOOKUP($G50,Coords[],3,FALSE)-VLOOKUP(AH$5,Coords[],3,FALSE))^2+(VLOOKUP($G50,Coords[],4,FALSE)-VLOOKUP(AH$5,Coords[],4,FALSE))^2)))</f>
        <v>1000</v>
      </c>
      <c r="AI50" s="10">
        <f>IF($G50=AI$5,1000,IF(AI$4=0,1000,SQRT((VLOOKUP($G50,Coords[],3,FALSE)-VLOOKUP(AI$5,Coords[],3,FALSE))^2+(VLOOKUP($G50,Coords[],4,FALSE)-VLOOKUP(AI$5,Coords[],4,FALSE))^2)))</f>
        <v>1000</v>
      </c>
      <c r="AJ50" s="10">
        <f>IF($G50=AJ$5,1000,IF(AJ$4=0,1000,SQRT((VLOOKUP($G50,Coords[],3,FALSE)-VLOOKUP(AJ$5,Coords[],3,FALSE))^2+(VLOOKUP($G50,Coords[],4,FALSE)-VLOOKUP(AJ$5,Coords[],4,FALSE))^2)))</f>
        <v>42.485291572496003</v>
      </c>
      <c r="AK50" s="10">
        <f>IF($G50=AK$5,1000,IF(AK$4=0,1000,SQRT((VLOOKUP($G50,Coords[],3,FALSE)-VLOOKUP(AK$5,Coords[],3,FALSE))^2+(VLOOKUP($G50,Coords[],4,FALSE)-VLOOKUP(AK$5,Coords[],4,FALSE))^2)))</f>
        <v>1000</v>
      </c>
      <c r="AL50" s="10">
        <f>IF($G50=AL$5,1000,IF(AL$4=0,1000,SQRT((VLOOKUP($G50,Coords[],3,FALSE)-VLOOKUP(AL$5,Coords[],3,FALSE))^2+(VLOOKUP($G50,Coords[],4,FALSE)-VLOOKUP(AL$5,Coords[],4,FALSE))^2)))</f>
        <v>1000</v>
      </c>
      <c r="AM50" s="10">
        <f>IF($G50=AM$5,1000,IF(AM$4=0,1000,SQRT((VLOOKUP($G50,Coords[],3,FALSE)-VLOOKUP(AM$5,Coords[],3,FALSE))^2+(VLOOKUP($G50,Coords[],4,FALSE)-VLOOKUP(AM$5,Coords[],4,FALSE))^2)))</f>
        <v>36.013886210738214</v>
      </c>
      <c r="AN50" s="10">
        <f>IF($G50=AN$5,1000,IF(AN$4=0,1000,SQRT((VLOOKUP($G50,Coords[],3,FALSE)-VLOOKUP(AN$5,Coords[],3,FALSE))^2+(VLOOKUP($G50,Coords[],4,FALSE)-VLOOKUP(AN$5,Coords[],4,FALSE))^2)))</f>
        <v>1000</v>
      </c>
      <c r="AO50" s="10">
        <f>IF($G50=AO$5,1000,IF(AO$4=0,1000,SQRT((VLOOKUP($G50,Coords[],3,FALSE)-VLOOKUP(AO$5,Coords[],3,FALSE))^2+(VLOOKUP($G50,Coords[],4,FALSE)-VLOOKUP(AO$5,Coords[],4,FALSE))^2)))</f>
        <v>1000</v>
      </c>
      <c r="AP50" s="10">
        <f>IF($G50=AP$5,1000,IF(AP$4=0,1000,SQRT((VLOOKUP($G50,Coords[],3,FALSE)-VLOOKUP(AP$5,Coords[],3,FALSE))^2+(VLOOKUP($G50,Coords[],4,FALSE)-VLOOKUP(AP$5,Coords[],4,FALSE))^2)))</f>
        <v>1000</v>
      </c>
      <c r="AQ50" s="10">
        <f>IF($G50=AQ$5,1000,IF(AQ$4=0,1000,SQRT((VLOOKUP($G50,Coords[],3,FALSE)-VLOOKUP(AQ$5,Coords[],3,FALSE))^2+(VLOOKUP($G50,Coords[],4,FALSE)-VLOOKUP(AQ$5,Coords[],4,FALSE))^2)))</f>
        <v>1000</v>
      </c>
      <c r="AR50" s="10">
        <f>IF($G50=AR$5,1000,IF(AR$4=0,1000,SQRT((VLOOKUP($G50,Coords[],3,FALSE)-VLOOKUP(AR$5,Coords[],3,FALSE))^2+(VLOOKUP($G50,Coords[],4,FALSE)-VLOOKUP(AR$5,Coords[],4,FALSE))^2)))</f>
        <v>1000</v>
      </c>
      <c r="AS50" s="10">
        <f>IF($G50=AS$5,1000,IF(AS$4=0,1000,SQRT((VLOOKUP($G50,Coords[],3,FALSE)-VLOOKUP(AS$5,Coords[],3,FALSE))^2+(VLOOKUP($G50,Coords[],4,FALSE)-VLOOKUP(AS$5,Coords[],4,FALSE))^2)))</f>
        <v>1000</v>
      </c>
      <c r="AT50" s="10">
        <f>IF($G50=AT$5,1000,IF(AT$4=0,1000,SQRT((VLOOKUP($G50,Coords[],3,FALSE)-VLOOKUP(AT$5,Coords[],3,FALSE))^2+(VLOOKUP($G50,Coords[],4,FALSE)-VLOOKUP(AT$5,Coords[],4,FALSE))^2)))</f>
        <v>1000</v>
      </c>
      <c r="AU50" s="10">
        <f>IF($G50=AU$5,1000,IF(AU$4=0,1000,SQRT((VLOOKUP($G50,Coords[],3,FALSE)-VLOOKUP(AU$5,Coords[],3,FALSE))^2+(VLOOKUP($G50,Coords[],4,FALSE)-VLOOKUP(AU$5,Coords[],4,FALSE))^2)))</f>
        <v>1000</v>
      </c>
      <c r="AV50" s="10">
        <f>IF($G50=AV$5,1000,IF(AV$4=0,1000,SQRT((VLOOKUP($G50,Coords[],3,FALSE)-VLOOKUP(AV$5,Coords[],3,FALSE))^2+(VLOOKUP($G50,Coords[],4,FALSE)-VLOOKUP(AV$5,Coords[],4,FALSE))^2)))</f>
        <v>1000</v>
      </c>
      <c r="AW50" s="10">
        <f>IF($G50=AW$5,1000,IF(AW$4=0,1000,SQRT((VLOOKUP($G50,Coords[],3,FALSE)-VLOOKUP(AW$5,Coords[],3,FALSE))^2+(VLOOKUP($G50,Coords[],4,FALSE)-VLOOKUP(AW$5,Coords[],4,FALSE))^2)))</f>
        <v>1000</v>
      </c>
      <c r="AX50" s="10">
        <f>IF($G50=AX$5,1000,IF(AX$4=0,1000,SQRT((VLOOKUP($G50,Coords[],3,FALSE)-VLOOKUP(AX$5,Coords[],3,FALSE))^2+(VLOOKUP($G50,Coords[],4,FALSE)-VLOOKUP(AX$5,Coords[],4,FALSE))^2)))</f>
        <v>1000</v>
      </c>
      <c r="AY50" s="10">
        <f>IF($G50=AY$5,1000,IF(AY$4=0,1000,SQRT((VLOOKUP($G50,Coords[],3,FALSE)-VLOOKUP(AY$5,Coords[],3,FALSE))^2+(VLOOKUP($G50,Coords[],4,FALSE)-VLOOKUP(AY$5,Coords[],4,FALSE))^2)))</f>
        <v>1000</v>
      </c>
      <c r="AZ50" s="10">
        <f>IF($G50=AZ$5,1000,IF(AZ$4=0,1000,SQRT((VLOOKUP($G50,Coords[],3,FALSE)-VLOOKUP(AZ$5,Coords[],3,FALSE))^2+(VLOOKUP($G50,Coords[],4,FALSE)-VLOOKUP(AZ$5,Coords[],4,FALSE))^2)))</f>
        <v>1000</v>
      </c>
      <c r="BA50" s="10">
        <f>IF($G50=BA$5,1000,IF(BA$4=0,1000,SQRT((VLOOKUP($G50,Coords[],3,FALSE)-VLOOKUP(BA$5,Coords[],3,FALSE))^2+(VLOOKUP($G50,Coords[],4,FALSE)-VLOOKUP(BA$5,Coords[],4,FALSE))^2)))</f>
        <v>1000</v>
      </c>
      <c r="BB50" s="10">
        <f>IF($G50=BB$5,1000,IF(BB$4=0,1000,SQRT((VLOOKUP($G50,Coords[],3,FALSE)-VLOOKUP(BB$5,Coords[],3,FALSE))^2+(VLOOKUP($G50,Coords[],4,FALSE)-VLOOKUP(BB$5,Coords[],4,FALSE))^2)))</f>
        <v>1000</v>
      </c>
      <c r="BC50" s="10">
        <f>IF($G50=BC$5,1000,IF(BC$4=0,1000,SQRT((VLOOKUP($G50,Coords[],3,FALSE)-VLOOKUP(BC$5,Coords[],3,FALSE))^2+(VLOOKUP($G50,Coords[],4,FALSE)-VLOOKUP(BC$5,Coords[],4,FALSE))^2)))</f>
        <v>1000</v>
      </c>
      <c r="BD50" s="10">
        <f>IF($G50=BD$5,1000,IF(BD$4=0,1000,SQRT((VLOOKUP($G50,Coords[],3,FALSE)-VLOOKUP(BD$5,Coords[],3,FALSE))^2+(VLOOKUP($G50,Coords[],4,FALSE)-VLOOKUP(BD$5,Coords[],4,FALSE))^2)))</f>
        <v>1000</v>
      </c>
      <c r="BE50" s="10">
        <f>IF($G50=BE$5,1000,IF(BE$4=0,1000,SQRT((VLOOKUP($G50,Coords[],3,FALSE)-VLOOKUP(BE$5,Coords[],3,FALSE))^2+(VLOOKUP($G50,Coords[],4,FALSE)-VLOOKUP(BE$5,Coords[],4,FALSE))^2)))</f>
        <v>1000</v>
      </c>
      <c r="BF50" s="10">
        <f>IF($G50=BF$5,1000,IF(BF$4=0,1000,SQRT((VLOOKUP($G50,Coords[],3,FALSE)-VLOOKUP(BF$5,Coords[],3,FALSE))^2+(VLOOKUP($G50,Coords[],4,FALSE)-VLOOKUP(BF$5,Coords[],4,FALSE))^2)))</f>
        <v>1000</v>
      </c>
      <c r="BG50" s="4">
        <v>45</v>
      </c>
      <c r="BI50" s="5">
        <f>IF(E50=1,0,VLOOKUP($G50,$G$6:$BF$57,HLOOKUP(MIN(H50:BF50),$H50:$BF$57,((COUNT($G$6:$G$56)+2)-$G50),FALSE),FALSE)*B50)</f>
        <v>36.013886210738214</v>
      </c>
      <c r="BJ50" s="9">
        <f>VLOOKUP($G50,$G$6:$BF$57,HLOOKUP(MIN(H50:BF50),$H50:$BF$57,((COUNT($G$6:$G$56)+2)-$G50),FALSE),FALSE)</f>
        <v>36.013886210738214</v>
      </c>
      <c r="BK50" s="7">
        <f>HLOOKUP(MIN(H50:BF50),$H50:$BF$57,((COUNT($G$6:$G$56)+2)-$G50),FALSE)</f>
        <v>33</v>
      </c>
      <c r="BL50">
        <f>BJ50*Coords[[#This Row],[Demand]]</f>
        <v>36.013886210738214</v>
      </c>
      <c r="BN50">
        <v>45</v>
      </c>
      <c r="BO50">
        <v>7721.6563986239207</v>
      </c>
      <c r="BP50">
        <v>8222.7156634199437</v>
      </c>
    </row>
    <row r="51" spans="1:68" x14ac:dyDescent="0.25">
      <c r="A51" s="8">
        <v>46</v>
      </c>
      <c r="B51" s="3">
        <v>9</v>
      </c>
      <c r="C51" s="3">
        <v>32</v>
      </c>
      <c r="D51" s="3">
        <v>39</v>
      </c>
      <c r="E51">
        <v>0</v>
      </c>
      <c r="G51" s="4">
        <v>46</v>
      </c>
      <c r="H51" s="10">
        <f>IF($G51=H$5,1000,IF(H$4=0,1000,SQRT((VLOOKUP($G51,Coords[],3,FALSE)-VLOOKUP(H$5,Coords[],3,FALSE))^2+(VLOOKUP($G51,Coords[],4,FALSE)-VLOOKUP(H$5,Coords[],4,FALSE))^2)))</f>
        <v>1000</v>
      </c>
      <c r="I51" s="10">
        <f>IF($G51=I$5,1000,IF(I$4=0,1000,SQRT((VLOOKUP($G51,Coords[],3,FALSE)-VLOOKUP(I$5,Coords[],3,FALSE))^2+(VLOOKUP($G51,Coords[],4,FALSE)-VLOOKUP(I$5,Coords[],4,FALSE))^2)))</f>
        <v>1000</v>
      </c>
      <c r="J51" s="10">
        <f>IF($G51=J$5,1000,IF(J$4=0,1000,SQRT((VLOOKUP($G51,Coords[],3,FALSE)-VLOOKUP(J$5,Coords[],3,FALSE))^2+(VLOOKUP($G51,Coords[],4,FALSE)-VLOOKUP(J$5,Coords[],4,FALSE))^2)))</f>
        <v>1000</v>
      </c>
      <c r="K51" s="10">
        <f>IF($G51=K$5,1000,IF(K$4=0,1000,SQRT((VLOOKUP($G51,Coords[],3,FALSE)-VLOOKUP(K$5,Coords[],3,FALSE))^2+(VLOOKUP($G51,Coords[],4,FALSE)-VLOOKUP(K$5,Coords[],4,FALSE))^2)))</f>
        <v>1000</v>
      </c>
      <c r="L51" s="10">
        <f>IF($G51=L$5,1000,IF(L$4=0,1000,SQRT((VLOOKUP($G51,Coords[],3,FALSE)-VLOOKUP(L$5,Coords[],3,FALSE))^2+(VLOOKUP($G51,Coords[],4,FALSE)-VLOOKUP(L$5,Coords[],4,FALSE))^2)))</f>
        <v>1000</v>
      </c>
      <c r="M51" s="10">
        <f>IF($G51=M$5,1000,IF(M$4=0,1000,SQRT((VLOOKUP($G51,Coords[],3,FALSE)-VLOOKUP(M$5,Coords[],3,FALSE))^2+(VLOOKUP($G51,Coords[],4,FALSE)-VLOOKUP(M$5,Coords[],4,FALSE))^2)))</f>
        <v>1000</v>
      </c>
      <c r="N51" s="10">
        <f>IF($G51=N$5,1000,IF(N$4=0,1000,SQRT((VLOOKUP($G51,Coords[],3,FALSE)-VLOOKUP(N$5,Coords[],3,FALSE))^2+(VLOOKUP($G51,Coords[],4,FALSE)-VLOOKUP(N$5,Coords[],4,FALSE))^2)))</f>
        <v>1000</v>
      </c>
      <c r="O51" s="10">
        <f>IF($G51=O$5,1000,IF(O$4=0,1000,SQRT((VLOOKUP($G51,Coords[],3,FALSE)-VLOOKUP(O$5,Coords[],3,FALSE))^2+(VLOOKUP($G51,Coords[],4,FALSE)-VLOOKUP(O$5,Coords[],4,FALSE))^2)))</f>
        <v>23.021728866442675</v>
      </c>
      <c r="P51" s="10">
        <f>IF($G51=P$5,1000,IF(P$4=0,1000,SQRT((VLOOKUP($G51,Coords[],3,FALSE)-VLOOKUP(P$5,Coords[],3,FALSE))^2+(VLOOKUP($G51,Coords[],4,FALSE)-VLOOKUP(P$5,Coords[],4,FALSE))^2)))</f>
        <v>1000</v>
      </c>
      <c r="Q51" s="10">
        <f>IF($G51=Q$5,1000,IF(Q$4=0,1000,SQRT((VLOOKUP($G51,Coords[],3,FALSE)-VLOOKUP(Q$5,Coords[],3,FALSE))^2+(VLOOKUP($G51,Coords[],4,FALSE)-VLOOKUP(Q$5,Coords[],4,FALSE))^2)))</f>
        <v>1000</v>
      </c>
      <c r="R51" s="10">
        <f>IF($G51=R$5,1000,IF(R$4=0,1000,SQRT((VLOOKUP($G51,Coords[],3,FALSE)-VLOOKUP(R$5,Coords[],3,FALSE))^2+(VLOOKUP($G51,Coords[],4,FALSE)-VLOOKUP(R$5,Coords[],4,FALSE))^2)))</f>
        <v>1000</v>
      </c>
      <c r="S51" s="10">
        <f>IF($G51=S$5,1000,IF(S$4=0,1000,SQRT((VLOOKUP($G51,Coords[],3,FALSE)-VLOOKUP(S$5,Coords[],3,FALSE))^2+(VLOOKUP($G51,Coords[],4,FALSE)-VLOOKUP(S$5,Coords[],4,FALSE))^2)))</f>
        <v>1000</v>
      </c>
      <c r="T51" s="10">
        <f>IF($G51=T$5,1000,IF(T$4=0,1000,SQRT((VLOOKUP($G51,Coords[],3,FALSE)-VLOOKUP(T$5,Coords[],3,FALSE))^2+(VLOOKUP($G51,Coords[],4,FALSE)-VLOOKUP(T$5,Coords[],4,FALSE))^2)))</f>
        <v>1000</v>
      </c>
      <c r="U51" s="10">
        <f>IF($G51=U$5,1000,IF(U$4=0,1000,SQRT((VLOOKUP($G51,Coords[],3,FALSE)-VLOOKUP(U$5,Coords[],3,FALSE))^2+(VLOOKUP($G51,Coords[],4,FALSE)-VLOOKUP(U$5,Coords[],4,FALSE))^2)))</f>
        <v>1000</v>
      </c>
      <c r="V51" s="10">
        <f>IF($G51=V$5,1000,IF(V$4=0,1000,SQRT((VLOOKUP($G51,Coords[],3,FALSE)-VLOOKUP(V$5,Coords[],3,FALSE))^2+(VLOOKUP($G51,Coords[],4,FALSE)-VLOOKUP(V$5,Coords[],4,FALSE))^2)))</f>
        <v>1000</v>
      </c>
      <c r="W51" s="10">
        <f>IF($G51=W$5,1000,IF(W$4=0,1000,SQRT((VLOOKUP($G51,Coords[],3,FALSE)-VLOOKUP(W$5,Coords[],3,FALSE))^2+(VLOOKUP($G51,Coords[],4,FALSE)-VLOOKUP(W$5,Coords[],4,FALSE))^2)))</f>
        <v>1000</v>
      </c>
      <c r="X51" s="10">
        <f>IF($G51=X$5,1000,IF(X$4=0,1000,SQRT((VLOOKUP($G51,Coords[],3,FALSE)-VLOOKUP(X$5,Coords[],3,FALSE))^2+(VLOOKUP($G51,Coords[],4,FALSE)-VLOOKUP(X$5,Coords[],4,FALSE))^2)))</f>
        <v>1000</v>
      </c>
      <c r="Y51" s="10">
        <f>IF($G51=Y$5,1000,IF(Y$4=0,1000,SQRT((VLOOKUP($G51,Coords[],3,FALSE)-VLOOKUP(Y$5,Coords[],3,FALSE))^2+(VLOOKUP($G51,Coords[],4,FALSE)-VLOOKUP(Y$5,Coords[],4,FALSE))^2)))</f>
        <v>1000</v>
      </c>
      <c r="Z51" s="10">
        <f>IF($G51=Z$5,1000,IF(Z$4=0,1000,SQRT((VLOOKUP($G51,Coords[],3,FALSE)-VLOOKUP(Z$5,Coords[],3,FALSE))^2+(VLOOKUP($G51,Coords[],4,FALSE)-VLOOKUP(Z$5,Coords[],4,FALSE))^2)))</f>
        <v>1000</v>
      </c>
      <c r="AA51" s="10">
        <f>IF($G51=AA$5,1000,IF(AA$4=0,1000,SQRT((VLOOKUP($G51,Coords[],3,FALSE)-VLOOKUP(AA$5,Coords[],3,FALSE))^2+(VLOOKUP($G51,Coords[],4,FALSE)-VLOOKUP(AA$5,Coords[],4,FALSE))^2)))</f>
        <v>31.400636936215164</v>
      </c>
      <c r="AB51" s="10">
        <f>IF($G51=AB$5,1000,IF(AB$4=0,1000,SQRT((VLOOKUP($G51,Coords[],3,FALSE)-VLOOKUP(AB$5,Coords[],3,FALSE))^2+(VLOOKUP($G51,Coords[],4,FALSE)-VLOOKUP(AB$5,Coords[],4,FALSE))^2)))</f>
        <v>1000</v>
      </c>
      <c r="AC51" s="10">
        <f>IF($G51=AC$5,1000,IF(AC$4=0,1000,SQRT((VLOOKUP($G51,Coords[],3,FALSE)-VLOOKUP(AC$5,Coords[],3,FALSE))^2+(VLOOKUP($G51,Coords[],4,FALSE)-VLOOKUP(AC$5,Coords[],4,FALSE))^2)))</f>
        <v>1000</v>
      </c>
      <c r="AD51" s="10">
        <f>IF($G51=AD$5,1000,IF(AD$4=0,1000,SQRT((VLOOKUP($G51,Coords[],3,FALSE)-VLOOKUP(AD$5,Coords[],3,FALSE))^2+(VLOOKUP($G51,Coords[],4,FALSE)-VLOOKUP(AD$5,Coords[],4,FALSE))^2)))</f>
        <v>1000</v>
      </c>
      <c r="AE51" s="10">
        <f>IF($G51=AE$5,1000,IF(AE$4=0,1000,SQRT((VLOOKUP($G51,Coords[],3,FALSE)-VLOOKUP(AE$5,Coords[],3,FALSE))^2+(VLOOKUP($G51,Coords[],4,FALSE)-VLOOKUP(AE$5,Coords[],4,FALSE))^2)))</f>
        <v>1000</v>
      </c>
      <c r="AF51" s="10">
        <f>IF($G51=AF$5,1000,IF(AF$4=0,1000,SQRT((VLOOKUP($G51,Coords[],3,FALSE)-VLOOKUP(AF$5,Coords[],3,FALSE))^2+(VLOOKUP($G51,Coords[],4,FALSE)-VLOOKUP(AF$5,Coords[],4,FALSE))^2)))</f>
        <v>1000</v>
      </c>
      <c r="AG51" s="10">
        <f>IF($G51=AG$5,1000,IF(AG$4=0,1000,SQRT((VLOOKUP($G51,Coords[],3,FALSE)-VLOOKUP(AG$5,Coords[],3,FALSE))^2+(VLOOKUP($G51,Coords[],4,FALSE)-VLOOKUP(AG$5,Coords[],4,FALSE))^2)))</f>
        <v>1000</v>
      </c>
      <c r="AH51" s="10">
        <f>IF($G51=AH$5,1000,IF(AH$4=0,1000,SQRT((VLOOKUP($G51,Coords[],3,FALSE)-VLOOKUP(AH$5,Coords[],3,FALSE))^2+(VLOOKUP($G51,Coords[],4,FALSE)-VLOOKUP(AH$5,Coords[],4,FALSE))^2)))</f>
        <v>1000</v>
      </c>
      <c r="AI51" s="10">
        <f>IF($G51=AI$5,1000,IF(AI$4=0,1000,SQRT((VLOOKUP($G51,Coords[],3,FALSE)-VLOOKUP(AI$5,Coords[],3,FALSE))^2+(VLOOKUP($G51,Coords[],4,FALSE)-VLOOKUP(AI$5,Coords[],4,FALSE))^2)))</f>
        <v>1000</v>
      </c>
      <c r="AJ51" s="10">
        <f>IF($G51=AJ$5,1000,IF(AJ$4=0,1000,SQRT((VLOOKUP($G51,Coords[],3,FALSE)-VLOOKUP(AJ$5,Coords[],3,FALSE))^2+(VLOOKUP($G51,Coords[],4,FALSE)-VLOOKUP(AJ$5,Coords[],4,FALSE))^2)))</f>
        <v>27.513632984395208</v>
      </c>
      <c r="AK51" s="10">
        <f>IF($G51=AK$5,1000,IF(AK$4=0,1000,SQRT((VLOOKUP($G51,Coords[],3,FALSE)-VLOOKUP(AK$5,Coords[],3,FALSE))^2+(VLOOKUP($G51,Coords[],4,FALSE)-VLOOKUP(AK$5,Coords[],4,FALSE))^2)))</f>
        <v>1000</v>
      </c>
      <c r="AL51" s="10">
        <f>IF($G51=AL$5,1000,IF(AL$4=0,1000,SQRT((VLOOKUP($G51,Coords[],3,FALSE)-VLOOKUP(AL$5,Coords[],3,FALSE))^2+(VLOOKUP($G51,Coords[],4,FALSE)-VLOOKUP(AL$5,Coords[],4,FALSE))^2)))</f>
        <v>1000</v>
      </c>
      <c r="AM51" s="10">
        <f>IF($G51=AM$5,1000,IF(AM$4=0,1000,SQRT((VLOOKUP($G51,Coords[],3,FALSE)-VLOOKUP(AM$5,Coords[],3,FALSE))^2+(VLOOKUP($G51,Coords[],4,FALSE)-VLOOKUP(AM$5,Coords[],4,FALSE))^2)))</f>
        <v>9.2195444572928871</v>
      </c>
      <c r="AN51" s="10">
        <f>IF($G51=AN$5,1000,IF(AN$4=0,1000,SQRT((VLOOKUP($G51,Coords[],3,FALSE)-VLOOKUP(AN$5,Coords[],3,FALSE))^2+(VLOOKUP($G51,Coords[],4,FALSE)-VLOOKUP(AN$5,Coords[],4,FALSE))^2)))</f>
        <v>1000</v>
      </c>
      <c r="AO51" s="10">
        <f>IF($G51=AO$5,1000,IF(AO$4=0,1000,SQRT((VLOOKUP($G51,Coords[],3,FALSE)-VLOOKUP(AO$5,Coords[],3,FALSE))^2+(VLOOKUP($G51,Coords[],4,FALSE)-VLOOKUP(AO$5,Coords[],4,FALSE))^2)))</f>
        <v>1000</v>
      </c>
      <c r="AP51" s="10">
        <f>IF($G51=AP$5,1000,IF(AP$4=0,1000,SQRT((VLOOKUP($G51,Coords[],3,FALSE)-VLOOKUP(AP$5,Coords[],3,FALSE))^2+(VLOOKUP($G51,Coords[],4,FALSE)-VLOOKUP(AP$5,Coords[],4,FALSE))^2)))</f>
        <v>1000</v>
      </c>
      <c r="AQ51" s="10">
        <f>IF($G51=AQ$5,1000,IF(AQ$4=0,1000,SQRT((VLOOKUP($G51,Coords[],3,FALSE)-VLOOKUP(AQ$5,Coords[],3,FALSE))^2+(VLOOKUP($G51,Coords[],4,FALSE)-VLOOKUP(AQ$5,Coords[],4,FALSE))^2)))</f>
        <v>1000</v>
      </c>
      <c r="AR51" s="10">
        <f>IF($G51=AR$5,1000,IF(AR$4=0,1000,SQRT((VLOOKUP($G51,Coords[],3,FALSE)-VLOOKUP(AR$5,Coords[],3,FALSE))^2+(VLOOKUP($G51,Coords[],4,FALSE)-VLOOKUP(AR$5,Coords[],4,FALSE))^2)))</f>
        <v>1000</v>
      </c>
      <c r="AS51" s="10">
        <f>IF($G51=AS$5,1000,IF(AS$4=0,1000,SQRT((VLOOKUP($G51,Coords[],3,FALSE)-VLOOKUP(AS$5,Coords[],3,FALSE))^2+(VLOOKUP($G51,Coords[],4,FALSE)-VLOOKUP(AS$5,Coords[],4,FALSE))^2)))</f>
        <v>1000</v>
      </c>
      <c r="AT51" s="10">
        <f>IF($G51=AT$5,1000,IF(AT$4=0,1000,SQRT((VLOOKUP($G51,Coords[],3,FALSE)-VLOOKUP(AT$5,Coords[],3,FALSE))^2+(VLOOKUP($G51,Coords[],4,FALSE)-VLOOKUP(AT$5,Coords[],4,FALSE))^2)))</f>
        <v>1000</v>
      </c>
      <c r="AU51" s="10">
        <f>IF($G51=AU$5,1000,IF(AU$4=0,1000,SQRT((VLOOKUP($G51,Coords[],3,FALSE)-VLOOKUP(AU$5,Coords[],3,FALSE))^2+(VLOOKUP($G51,Coords[],4,FALSE)-VLOOKUP(AU$5,Coords[],4,FALSE))^2)))</f>
        <v>1000</v>
      </c>
      <c r="AV51" s="10">
        <f>IF($G51=AV$5,1000,IF(AV$4=0,1000,SQRT((VLOOKUP($G51,Coords[],3,FALSE)-VLOOKUP(AV$5,Coords[],3,FALSE))^2+(VLOOKUP($G51,Coords[],4,FALSE)-VLOOKUP(AV$5,Coords[],4,FALSE))^2)))</f>
        <v>1000</v>
      </c>
      <c r="AW51" s="10">
        <f>IF($G51=AW$5,1000,IF(AW$4=0,1000,SQRT((VLOOKUP($G51,Coords[],3,FALSE)-VLOOKUP(AW$5,Coords[],3,FALSE))^2+(VLOOKUP($G51,Coords[],4,FALSE)-VLOOKUP(AW$5,Coords[],4,FALSE))^2)))</f>
        <v>1000</v>
      </c>
      <c r="AX51" s="10">
        <f>IF($G51=AX$5,1000,IF(AX$4=0,1000,SQRT((VLOOKUP($G51,Coords[],3,FALSE)-VLOOKUP(AX$5,Coords[],3,FALSE))^2+(VLOOKUP($G51,Coords[],4,FALSE)-VLOOKUP(AX$5,Coords[],4,FALSE))^2)))</f>
        <v>1000</v>
      </c>
      <c r="AY51" s="10">
        <f>IF($G51=AY$5,1000,IF(AY$4=0,1000,SQRT((VLOOKUP($G51,Coords[],3,FALSE)-VLOOKUP(AY$5,Coords[],3,FALSE))^2+(VLOOKUP($G51,Coords[],4,FALSE)-VLOOKUP(AY$5,Coords[],4,FALSE))^2)))</f>
        <v>1000</v>
      </c>
      <c r="AZ51" s="10">
        <f>IF($G51=AZ$5,1000,IF(AZ$4=0,1000,SQRT((VLOOKUP($G51,Coords[],3,FALSE)-VLOOKUP(AZ$5,Coords[],3,FALSE))^2+(VLOOKUP($G51,Coords[],4,FALSE)-VLOOKUP(AZ$5,Coords[],4,FALSE))^2)))</f>
        <v>1000</v>
      </c>
      <c r="BA51" s="10">
        <f>IF($G51=BA$5,1000,IF(BA$4=0,1000,SQRT((VLOOKUP($G51,Coords[],3,FALSE)-VLOOKUP(BA$5,Coords[],3,FALSE))^2+(VLOOKUP($G51,Coords[],4,FALSE)-VLOOKUP(BA$5,Coords[],4,FALSE))^2)))</f>
        <v>1000</v>
      </c>
      <c r="BB51" s="10">
        <f>IF($G51=BB$5,1000,IF(BB$4=0,1000,SQRT((VLOOKUP($G51,Coords[],3,FALSE)-VLOOKUP(BB$5,Coords[],3,FALSE))^2+(VLOOKUP($G51,Coords[],4,FALSE)-VLOOKUP(BB$5,Coords[],4,FALSE))^2)))</f>
        <v>1000</v>
      </c>
      <c r="BC51" s="10">
        <f>IF($G51=BC$5,1000,IF(BC$4=0,1000,SQRT((VLOOKUP($G51,Coords[],3,FALSE)-VLOOKUP(BC$5,Coords[],3,FALSE))^2+(VLOOKUP($G51,Coords[],4,FALSE)-VLOOKUP(BC$5,Coords[],4,FALSE))^2)))</f>
        <v>1000</v>
      </c>
      <c r="BD51" s="10">
        <f>IF($G51=BD$5,1000,IF(BD$4=0,1000,SQRT((VLOOKUP($G51,Coords[],3,FALSE)-VLOOKUP(BD$5,Coords[],3,FALSE))^2+(VLOOKUP($G51,Coords[],4,FALSE)-VLOOKUP(BD$5,Coords[],4,FALSE))^2)))</f>
        <v>1000</v>
      </c>
      <c r="BE51" s="10">
        <f>IF($G51=BE$5,1000,IF(BE$4=0,1000,SQRT((VLOOKUP($G51,Coords[],3,FALSE)-VLOOKUP(BE$5,Coords[],3,FALSE))^2+(VLOOKUP($G51,Coords[],4,FALSE)-VLOOKUP(BE$5,Coords[],4,FALSE))^2)))</f>
        <v>1000</v>
      </c>
      <c r="BF51" s="10">
        <f>IF($G51=BF$5,1000,IF(BF$4=0,1000,SQRT((VLOOKUP($G51,Coords[],3,FALSE)-VLOOKUP(BF$5,Coords[],3,FALSE))^2+(VLOOKUP($G51,Coords[],4,FALSE)-VLOOKUP(BF$5,Coords[],4,FALSE))^2)))</f>
        <v>1000</v>
      </c>
      <c r="BG51" s="4">
        <v>46</v>
      </c>
      <c r="BI51" s="5">
        <f>IF(E51=1,0,VLOOKUP($G51,$G$6:$BF$57,HLOOKUP(MIN(H51:BF51),$H51:$BF$57,((COUNT($G$6:$G$56)+2)-$G51),FALSE),FALSE)*B51)</f>
        <v>82.97590011563598</v>
      </c>
      <c r="BJ51" s="9">
        <f>VLOOKUP($G51,$G$6:$BF$57,HLOOKUP(MIN(H51:BF51),$H51:$BF$57,((COUNT($G$6:$G$56)+2)-$G51),FALSE),FALSE)</f>
        <v>9.2195444572928871</v>
      </c>
      <c r="BK51" s="7">
        <f>HLOOKUP(MIN(H51:BF51),$H51:$BF$57,((COUNT($G$6:$G$56)+2)-$G51),FALSE)</f>
        <v>33</v>
      </c>
      <c r="BL51">
        <f>BJ51*Coords[[#This Row],[Demand]]</f>
        <v>82.97590011563598</v>
      </c>
      <c r="BN51">
        <v>46</v>
      </c>
      <c r="BO51">
        <v>7721.6563986239207</v>
      </c>
      <c r="BP51">
        <v>9258.2964357646797</v>
      </c>
    </row>
    <row r="52" spans="1:68" x14ac:dyDescent="0.25">
      <c r="A52" s="8">
        <v>47</v>
      </c>
      <c r="B52" s="3">
        <v>17</v>
      </c>
      <c r="C52" s="3">
        <v>25</v>
      </c>
      <c r="D52" s="3">
        <v>32</v>
      </c>
      <c r="E52">
        <v>0</v>
      </c>
      <c r="G52" s="4">
        <v>47</v>
      </c>
      <c r="H52" s="10">
        <f>IF($G52=H$5,1000,IF(H$4=0,1000,SQRT((VLOOKUP($G52,Coords[],3,FALSE)-VLOOKUP(H$5,Coords[],3,FALSE))^2+(VLOOKUP($G52,Coords[],4,FALSE)-VLOOKUP(H$5,Coords[],4,FALSE))^2)))</f>
        <v>1000</v>
      </c>
      <c r="I52" s="10">
        <f>IF($G52=I$5,1000,IF(I$4=0,1000,SQRT((VLOOKUP($G52,Coords[],3,FALSE)-VLOOKUP(I$5,Coords[],3,FALSE))^2+(VLOOKUP($G52,Coords[],4,FALSE)-VLOOKUP(I$5,Coords[],4,FALSE))^2)))</f>
        <v>1000</v>
      </c>
      <c r="J52" s="10">
        <f>IF($G52=J$5,1000,IF(J$4=0,1000,SQRT((VLOOKUP($G52,Coords[],3,FALSE)-VLOOKUP(J$5,Coords[],3,FALSE))^2+(VLOOKUP($G52,Coords[],4,FALSE)-VLOOKUP(J$5,Coords[],4,FALSE))^2)))</f>
        <v>1000</v>
      </c>
      <c r="K52" s="10">
        <f>IF($G52=K$5,1000,IF(K$4=0,1000,SQRT((VLOOKUP($G52,Coords[],3,FALSE)-VLOOKUP(K$5,Coords[],3,FALSE))^2+(VLOOKUP($G52,Coords[],4,FALSE)-VLOOKUP(K$5,Coords[],4,FALSE))^2)))</f>
        <v>1000</v>
      </c>
      <c r="L52" s="10">
        <f>IF($G52=L$5,1000,IF(L$4=0,1000,SQRT((VLOOKUP($G52,Coords[],3,FALSE)-VLOOKUP(L$5,Coords[],3,FALSE))^2+(VLOOKUP($G52,Coords[],4,FALSE)-VLOOKUP(L$5,Coords[],4,FALSE))^2)))</f>
        <v>1000</v>
      </c>
      <c r="M52" s="10">
        <f>IF($G52=M$5,1000,IF(M$4=0,1000,SQRT((VLOOKUP($G52,Coords[],3,FALSE)-VLOOKUP(M$5,Coords[],3,FALSE))^2+(VLOOKUP($G52,Coords[],4,FALSE)-VLOOKUP(M$5,Coords[],4,FALSE))^2)))</f>
        <v>1000</v>
      </c>
      <c r="N52" s="10">
        <f>IF($G52=N$5,1000,IF(N$4=0,1000,SQRT((VLOOKUP($G52,Coords[],3,FALSE)-VLOOKUP(N$5,Coords[],3,FALSE))^2+(VLOOKUP($G52,Coords[],4,FALSE)-VLOOKUP(N$5,Coords[],4,FALSE))^2)))</f>
        <v>1000</v>
      </c>
      <c r="O52" s="10">
        <f>IF($G52=O$5,1000,IF(O$4=0,1000,SQRT((VLOOKUP($G52,Coords[],3,FALSE)-VLOOKUP(O$5,Coords[],3,FALSE))^2+(VLOOKUP($G52,Coords[],4,FALSE)-VLOOKUP(O$5,Coords[],4,FALSE))^2)))</f>
        <v>30.594117081556711</v>
      </c>
      <c r="P52" s="10">
        <f>IF($G52=P$5,1000,IF(P$4=0,1000,SQRT((VLOOKUP($G52,Coords[],3,FALSE)-VLOOKUP(P$5,Coords[],3,FALSE))^2+(VLOOKUP($G52,Coords[],4,FALSE)-VLOOKUP(P$5,Coords[],4,FALSE))^2)))</f>
        <v>1000</v>
      </c>
      <c r="Q52" s="10">
        <f>IF($G52=Q$5,1000,IF(Q$4=0,1000,SQRT((VLOOKUP($G52,Coords[],3,FALSE)-VLOOKUP(Q$5,Coords[],3,FALSE))^2+(VLOOKUP($G52,Coords[],4,FALSE)-VLOOKUP(Q$5,Coords[],4,FALSE))^2)))</f>
        <v>1000</v>
      </c>
      <c r="R52" s="10">
        <f>IF($G52=R$5,1000,IF(R$4=0,1000,SQRT((VLOOKUP($G52,Coords[],3,FALSE)-VLOOKUP(R$5,Coords[],3,FALSE))^2+(VLOOKUP($G52,Coords[],4,FALSE)-VLOOKUP(R$5,Coords[],4,FALSE))^2)))</f>
        <v>1000</v>
      </c>
      <c r="S52" s="10">
        <f>IF($G52=S$5,1000,IF(S$4=0,1000,SQRT((VLOOKUP($G52,Coords[],3,FALSE)-VLOOKUP(S$5,Coords[],3,FALSE))^2+(VLOOKUP($G52,Coords[],4,FALSE)-VLOOKUP(S$5,Coords[],4,FALSE))^2)))</f>
        <v>1000</v>
      </c>
      <c r="T52" s="10">
        <f>IF($G52=T$5,1000,IF(T$4=0,1000,SQRT((VLOOKUP($G52,Coords[],3,FALSE)-VLOOKUP(T$5,Coords[],3,FALSE))^2+(VLOOKUP($G52,Coords[],4,FALSE)-VLOOKUP(T$5,Coords[],4,FALSE))^2)))</f>
        <v>1000</v>
      </c>
      <c r="U52" s="10">
        <f>IF($G52=U$5,1000,IF(U$4=0,1000,SQRT((VLOOKUP($G52,Coords[],3,FALSE)-VLOOKUP(U$5,Coords[],3,FALSE))^2+(VLOOKUP($G52,Coords[],4,FALSE)-VLOOKUP(U$5,Coords[],4,FALSE))^2)))</f>
        <v>1000</v>
      </c>
      <c r="V52" s="10">
        <f>IF($G52=V$5,1000,IF(V$4=0,1000,SQRT((VLOOKUP($G52,Coords[],3,FALSE)-VLOOKUP(V$5,Coords[],3,FALSE))^2+(VLOOKUP($G52,Coords[],4,FALSE)-VLOOKUP(V$5,Coords[],4,FALSE))^2)))</f>
        <v>1000</v>
      </c>
      <c r="W52" s="10">
        <f>IF($G52=W$5,1000,IF(W$4=0,1000,SQRT((VLOOKUP($G52,Coords[],3,FALSE)-VLOOKUP(W$5,Coords[],3,FALSE))^2+(VLOOKUP($G52,Coords[],4,FALSE)-VLOOKUP(W$5,Coords[],4,FALSE))^2)))</f>
        <v>1000</v>
      </c>
      <c r="X52" s="10">
        <f>IF($G52=X$5,1000,IF(X$4=0,1000,SQRT((VLOOKUP($G52,Coords[],3,FALSE)-VLOOKUP(X$5,Coords[],3,FALSE))^2+(VLOOKUP($G52,Coords[],4,FALSE)-VLOOKUP(X$5,Coords[],4,FALSE))^2)))</f>
        <v>1000</v>
      </c>
      <c r="Y52" s="10">
        <f>IF($G52=Y$5,1000,IF(Y$4=0,1000,SQRT((VLOOKUP($G52,Coords[],3,FALSE)-VLOOKUP(Y$5,Coords[],3,FALSE))^2+(VLOOKUP($G52,Coords[],4,FALSE)-VLOOKUP(Y$5,Coords[],4,FALSE))^2)))</f>
        <v>1000</v>
      </c>
      <c r="Z52" s="10">
        <f>IF($G52=Z$5,1000,IF(Z$4=0,1000,SQRT((VLOOKUP($G52,Coords[],3,FALSE)-VLOOKUP(Z$5,Coords[],3,FALSE))^2+(VLOOKUP($G52,Coords[],4,FALSE)-VLOOKUP(Z$5,Coords[],4,FALSE))^2)))</f>
        <v>1000</v>
      </c>
      <c r="AA52" s="10">
        <f>IF($G52=AA$5,1000,IF(AA$4=0,1000,SQRT((VLOOKUP($G52,Coords[],3,FALSE)-VLOOKUP(AA$5,Coords[],3,FALSE))^2+(VLOOKUP($G52,Coords[],4,FALSE)-VLOOKUP(AA$5,Coords[],4,FALSE))^2)))</f>
        <v>41.231056256176608</v>
      </c>
      <c r="AB52" s="10">
        <f>IF($G52=AB$5,1000,IF(AB$4=0,1000,SQRT((VLOOKUP($G52,Coords[],3,FALSE)-VLOOKUP(AB$5,Coords[],3,FALSE))^2+(VLOOKUP($G52,Coords[],4,FALSE)-VLOOKUP(AB$5,Coords[],4,FALSE))^2)))</f>
        <v>1000</v>
      </c>
      <c r="AC52" s="10">
        <f>IF($G52=AC$5,1000,IF(AC$4=0,1000,SQRT((VLOOKUP($G52,Coords[],3,FALSE)-VLOOKUP(AC$5,Coords[],3,FALSE))^2+(VLOOKUP($G52,Coords[],4,FALSE)-VLOOKUP(AC$5,Coords[],4,FALSE))^2)))</f>
        <v>1000</v>
      </c>
      <c r="AD52" s="10">
        <f>IF($G52=AD$5,1000,IF(AD$4=0,1000,SQRT((VLOOKUP($G52,Coords[],3,FALSE)-VLOOKUP(AD$5,Coords[],3,FALSE))^2+(VLOOKUP($G52,Coords[],4,FALSE)-VLOOKUP(AD$5,Coords[],4,FALSE))^2)))</f>
        <v>1000</v>
      </c>
      <c r="AE52" s="10">
        <f>IF($G52=AE$5,1000,IF(AE$4=0,1000,SQRT((VLOOKUP($G52,Coords[],3,FALSE)-VLOOKUP(AE$5,Coords[],3,FALSE))^2+(VLOOKUP($G52,Coords[],4,FALSE)-VLOOKUP(AE$5,Coords[],4,FALSE))^2)))</f>
        <v>1000</v>
      </c>
      <c r="AF52" s="10">
        <f>IF($G52=AF$5,1000,IF(AF$4=0,1000,SQRT((VLOOKUP($G52,Coords[],3,FALSE)-VLOOKUP(AF$5,Coords[],3,FALSE))^2+(VLOOKUP($G52,Coords[],4,FALSE)-VLOOKUP(AF$5,Coords[],4,FALSE))^2)))</f>
        <v>1000</v>
      </c>
      <c r="AG52" s="10">
        <f>IF($G52=AG$5,1000,IF(AG$4=0,1000,SQRT((VLOOKUP($G52,Coords[],3,FALSE)-VLOOKUP(AG$5,Coords[],3,FALSE))^2+(VLOOKUP($G52,Coords[],4,FALSE)-VLOOKUP(AG$5,Coords[],4,FALSE))^2)))</f>
        <v>1000</v>
      </c>
      <c r="AH52" s="10">
        <f>IF($G52=AH$5,1000,IF(AH$4=0,1000,SQRT((VLOOKUP($G52,Coords[],3,FALSE)-VLOOKUP(AH$5,Coords[],3,FALSE))^2+(VLOOKUP($G52,Coords[],4,FALSE)-VLOOKUP(AH$5,Coords[],4,FALSE))^2)))</f>
        <v>1000</v>
      </c>
      <c r="AI52" s="10">
        <f>IF($G52=AI$5,1000,IF(AI$4=0,1000,SQRT((VLOOKUP($G52,Coords[],3,FALSE)-VLOOKUP(AI$5,Coords[],3,FALSE))^2+(VLOOKUP($G52,Coords[],4,FALSE)-VLOOKUP(AI$5,Coords[],4,FALSE))^2)))</f>
        <v>1000</v>
      </c>
      <c r="AJ52" s="10">
        <f>IF($G52=AJ$5,1000,IF(AJ$4=0,1000,SQRT((VLOOKUP($G52,Coords[],3,FALSE)-VLOOKUP(AJ$5,Coords[],3,FALSE))^2+(VLOOKUP($G52,Coords[],4,FALSE)-VLOOKUP(AJ$5,Coords[],4,FALSE))^2)))</f>
        <v>36.674241641784498</v>
      </c>
      <c r="AK52" s="10">
        <f>IF($G52=AK$5,1000,IF(AK$4=0,1000,SQRT((VLOOKUP($G52,Coords[],3,FALSE)-VLOOKUP(AK$5,Coords[],3,FALSE))^2+(VLOOKUP($G52,Coords[],4,FALSE)-VLOOKUP(AK$5,Coords[],4,FALSE))^2)))</f>
        <v>1000</v>
      </c>
      <c r="AL52" s="10">
        <f>IF($G52=AL$5,1000,IF(AL$4=0,1000,SQRT((VLOOKUP($G52,Coords[],3,FALSE)-VLOOKUP(AL$5,Coords[],3,FALSE))^2+(VLOOKUP($G52,Coords[],4,FALSE)-VLOOKUP(AL$5,Coords[],4,FALSE))^2)))</f>
        <v>1000</v>
      </c>
      <c r="AM52" s="10">
        <f>IF($G52=AM$5,1000,IF(AM$4=0,1000,SQRT((VLOOKUP($G52,Coords[],3,FALSE)-VLOOKUP(AM$5,Coords[],3,FALSE))^2+(VLOOKUP($G52,Coords[],4,FALSE)-VLOOKUP(AM$5,Coords[],4,FALSE))^2)))</f>
        <v>19.104973174542799</v>
      </c>
      <c r="AN52" s="10">
        <f>IF($G52=AN$5,1000,IF(AN$4=0,1000,SQRT((VLOOKUP($G52,Coords[],3,FALSE)-VLOOKUP(AN$5,Coords[],3,FALSE))^2+(VLOOKUP($G52,Coords[],4,FALSE)-VLOOKUP(AN$5,Coords[],4,FALSE))^2)))</f>
        <v>1000</v>
      </c>
      <c r="AO52" s="10">
        <f>IF($G52=AO$5,1000,IF(AO$4=0,1000,SQRT((VLOOKUP($G52,Coords[],3,FALSE)-VLOOKUP(AO$5,Coords[],3,FALSE))^2+(VLOOKUP($G52,Coords[],4,FALSE)-VLOOKUP(AO$5,Coords[],4,FALSE))^2)))</f>
        <v>1000</v>
      </c>
      <c r="AP52" s="10">
        <f>IF($G52=AP$5,1000,IF(AP$4=0,1000,SQRT((VLOOKUP($G52,Coords[],3,FALSE)-VLOOKUP(AP$5,Coords[],3,FALSE))^2+(VLOOKUP($G52,Coords[],4,FALSE)-VLOOKUP(AP$5,Coords[],4,FALSE))^2)))</f>
        <v>1000</v>
      </c>
      <c r="AQ52" s="10">
        <f>IF($G52=AQ$5,1000,IF(AQ$4=0,1000,SQRT((VLOOKUP($G52,Coords[],3,FALSE)-VLOOKUP(AQ$5,Coords[],3,FALSE))^2+(VLOOKUP($G52,Coords[],4,FALSE)-VLOOKUP(AQ$5,Coords[],4,FALSE))^2)))</f>
        <v>1000</v>
      </c>
      <c r="AR52" s="10">
        <f>IF($G52=AR$5,1000,IF(AR$4=0,1000,SQRT((VLOOKUP($G52,Coords[],3,FALSE)-VLOOKUP(AR$5,Coords[],3,FALSE))^2+(VLOOKUP($G52,Coords[],4,FALSE)-VLOOKUP(AR$5,Coords[],4,FALSE))^2)))</f>
        <v>1000</v>
      </c>
      <c r="AS52" s="10">
        <f>IF($G52=AS$5,1000,IF(AS$4=0,1000,SQRT((VLOOKUP($G52,Coords[],3,FALSE)-VLOOKUP(AS$5,Coords[],3,FALSE))^2+(VLOOKUP($G52,Coords[],4,FALSE)-VLOOKUP(AS$5,Coords[],4,FALSE))^2)))</f>
        <v>1000</v>
      </c>
      <c r="AT52" s="10">
        <f>IF($G52=AT$5,1000,IF(AT$4=0,1000,SQRT((VLOOKUP($G52,Coords[],3,FALSE)-VLOOKUP(AT$5,Coords[],3,FALSE))^2+(VLOOKUP($G52,Coords[],4,FALSE)-VLOOKUP(AT$5,Coords[],4,FALSE))^2)))</f>
        <v>1000</v>
      </c>
      <c r="AU52" s="10">
        <f>IF($G52=AU$5,1000,IF(AU$4=0,1000,SQRT((VLOOKUP($G52,Coords[],3,FALSE)-VLOOKUP(AU$5,Coords[],3,FALSE))^2+(VLOOKUP($G52,Coords[],4,FALSE)-VLOOKUP(AU$5,Coords[],4,FALSE))^2)))</f>
        <v>1000</v>
      </c>
      <c r="AV52" s="10">
        <f>IF($G52=AV$5,1000,IF(AV$4=0,1000,SQRT((VLOOKUP($G52,Coords[],3,FALSE)-VLOOKUP(AV$5,Coords[],3,FALSE))^2+(VLOOKUP($G52,Coords[],4,FALSE)-VLOOKUP(AV$5,Coords[],4,FALSE))^2)))</f>
        <v>1000</v>
      </c>
      <c r="AW52" s="10">
        <f>IF($G52=AW$5,1000,IF(AW$4=0,1000,SQRT((VLOOKUP($G52,Coords[],3,FALSE)-VLOOKUP(AW$5,Coords[],3,FALSE))^2+(VLOOKUP($G52,Coords[],4,FALSE)-VLOOKUP(AW$5,Coords[],4,FALSE))^2)))</f>
        <v>1000</v>
      </c>
      <c r="AX52" s="10">
        <f>IF($G52=AX$5,1000,IF(AX$4=0,1000,SQRT((VLOOKUP($G52,Coords[],3,FALSE)-VLOOKUP(AX$5,Coords[],3,FALSE))^2+(VLOOKUP($G52,Coords[],4,FALSE)-VLOOKUP(AX$5,Coords[],4,FALSE))^2)))</f>
        <v>1000</v>
      </c>
      <c r="AY52" s="10">
        <f>IF($G52=AY$5,1000,IF(AY$4=0,1000,SQRT((VLOOKUP($G52,Coords[],3,FALSE)-VLOOKUP(AY$5,Coords[],3,FALSE))^2+(VLOOKUP($G52,Coords[],4,FALSE)-VLOOKUP(AY$5,Coords[],4,FALSE))^2)))</f>
        <v>1000</v>
      </c>
      <c r="AZ52" s="10">
        <f>IF($G52=AZ$5,1000,IF(AZ$4=0,1000,SQRT((VLOOKUP($G52,Coords[],3,FALSE)-VLOOKUP(AZ$5,Coords[],3,FALSE))^2+(VLOOKUP($G52,Coords[],4,FALSE)-VLOOKUP(AZ$5,Coords[],4,FALSE))^2)))</f>
        <v>1000</v>
      </c>
      <c r="BA52" s="10">
        <f>IF($G52=BA$5,1000,IF(BA$4=0,1000,SQRT((VLOOKUP($G52,Coords[],3,FALSE)-VLOOKUP(BA$5,Coords[],3,FALSE))^2+(VLOOKUP($G52,Coords[],4,FALSE)-VLOOKUP(BA$5,Coords[],4,FALSE))^2)))</f>
        <v>1000</v>
      </c>
      <c r="BB52" s="10">
        <f>IF($G52=BB$5,1000,IF(BB$4=0,1000,SQRT((VLOOKUP($G52,Coords[],3,FALSE)-VLOOKUP(BB$5,Coords[],3,FALSE))^2+(VLOOKUP($G52,Coords[],4,FALSE)-VLOOKUP(BB$5,Coords[],4,FALSE))^2)))</f>
        <v>1000</v>
      </c>
      <c r="BC52" s="10">
        <f>IF($G52=BC$5,1000,IF(BC$4=0,1000,SQRT((VLOOKUP($G52,Coords[],3,FALSE)-VLOOKUP(BC$5,Coords[],3,FALSE))^2+(VLOOKUP($G52,Coords[],4,FALSE)-VLOOKUP(BC$5,Coords[],4,FALSE))^2)))</f>
        <v>1000</v>
      </c>
      <c r="BD52" s="10">
        <f>IF($G52=BD$5,1000,IF(BD$4=0,1000,SQRT((VLOOKUP($G52,Coords[],3,FALSE)-VLOOKUP(BD$5,Coords[],3,FALSE))^2+(VLOOKUP($G52,Coords[],4,FALSE)-VLOOKUP(BD$5,Coords[],4,FALSE))^2)))</f>
        <v>1000</v>
      </c>
      <c r="BE52" s="10">
        <f>IF($G52=BE$5,1000,IF(BE$4=0,1000,SQRT((VLOOKUP($G52,Coords[],3,FALSE)-VLOOKUP(BE$5,Coords[],3,FALSE))^2+(VLOOKUP($G52,Coords[],4,FALSE)-VLOOKUP(BE$5,Coords[],4,FALSE))^2)))</f>
        <v>1000</v>
      </c>
      <c r="BF52" s="10">
        <f>IF($G52=BF$5,1000,IF(BF$4=0,1000,SQRT((VLOOKUP($G52,Coords[],3,FALSE)-VLOOKUP(BF$5,Coords[],3,FALSE))^2+(VLOOKUP($G52,Coords[],4,FALSE)-VLOOKUP(BF$5,Coords[],4,FALSE))^2)))</f>
        <v>1000</v>
      </c>
      <c r="BG52" s="4">
        <v>47</v>
      </c>
      <c r="BI52" s="5">
        <f>IF(E52=1,0,VLOOKUP($G52,$G$6:$BF$57,HLOOKUP(MIN(H52:BF52),$H52:$BF$57,((COUNT($G$6:$G$56)+2)-$G52),FALSE),FALSE)*B52)</f>
        <v>324.78454396722759</v>
      </c>
      <c r="BJ52" s="9">
        <f>VLOOKUP($G52,$G$6:$BF$57,HLOOKUP(MIN(H52:BF52),$H52:$BF$57,((COUNT($G$6:$G$56)+2)-$G52),FALSE),FALSE)</f>
        <v>19.104973174542799</v>
      </c>
      <c r="BK52" s="7">
        <f>HLOOKUP(MIN(H52:BF52),$H52:$BF$57,((COUNT($G$6:$G$56)+2)-$G52),FALSE)</f>
        <v>33</v>
      </c>
      <c r="BL52">
        <f>BJ52*Coords[[#This Row],[Demand]]</f>
        <v>324.78454396722759</v>
      </c>
      <c r="BN52">
        <v>47</v>
      </c>
      <c r="BO52">
        <v>7721.6563986239207</v>
      </c>
      <c r="BP52">
        <v>9024.0149894578044</v>
      </c>
    </row>
    <row r="53" spans="1:68" x14ac:dyDescent="0.25">
      <c r="A53" s="8">
        <v>48</v>
      </c>
      <c r="B53" s="3">
        <v>11</v>
      </c>
      <c r="C53" s="3">
        <v>25</v>
      </c>
      <c r="D53" s="3">
        <v>55</v>
      </c>
      <c r="E53">
        <v>0</v>
      </c>
      <c r="G53" s="4">
        <v>48</v>
      </c>
      <c r="H53" s="10">
        <f>IF($G53=H$5,1000,IF(H$4=0,1000,SQRT((VLOOKUP($G53,Coords[],3,FALSE)-VLOOKUP(H$5,Coords[],3,FALSE))^2+(VLOOKUP($G53,Coords[],4,FALSE)-VLOOKUP(H$5,Coords[],4,FALSE))^2)))</f>
        <v>1000</v>
      </c>
      <c r="I53" s="10">
        <f>IF($G53=I$5,1000,IF(I$4=0,1000,SQRT((VLOOKUP($G53,Coords[],3,FALSE)-VLOOKUP(I$5,Coords[],3,FALSE))^2+(VLOOKUP($G53,Coords[],4,FALSE)-VLOOKUP(I$5,Coords[],4,FALSE))^2)))</f>
        <v>1000</v>
      </c>
      <c r="J53" s="10">
        <f>IF($G53=J$5,1000,IF(J$4=0,1000,SQRT((VLOOKUP($G53,Coords[],3,FALSE)-VLOOKUP(J$5,Coords[],3,FALSE))^2+(VLOOKUP($G53,Coords[],4,FALSE)-VLOOKUP(J$5,Coords[],4,FALSE))^2)))</f>
        <v>1000</v>
      </c>
      <c r="K53" s="10">
        <f>IF($G53=K$5,1000,IF(K$4=0,1000,SQRT((VLOOKUP($G53,Coords[],3,FALSE)-VLOOKUP(K$5,Coords[],3,FALSE))^2+(VLOOKUP($G53,Coords[],4,FALSE)-VLOOKUP(K$5,Coords[],4,FALSE))^2)))</f>
        <v>1000</v>
      </c>
      <c r="L53" s="10">
        <f>IF($G53=L$5,1000,IF(L$4=0,1000,SQRT((VLOOKUP($G53,Coords[],3,FALSE)-VLOOKUP(L$5,Coords[],3,FALSE))^2+(VLOOKUP($G53,Coords[],4,FALSE)-VLOOKUP(L$5,Coords[],4,FALSE))^2)))</f>
        <v>1000</v>
      </c>
      <c r="M53" s="10">
        <f>IF($G53=M$5,1000,IF(M$4=0,1000,SQRT((VLOOKUP($G53,Coords[],3,FALSE)-VLOOKUP(M$5,Coords[],3,FALSE))^2+(VLOOKUP($G53,Coords[],4,FALSE)-VLOOKUP(M$5,Coords[],4,FALSE))^2)))</f>
        <v>1000</v>
      </c>
      <c r="N53" s="10">
        <f>IF($G53=N$5,1000,IF(N$4=0,1000,SQRT((VLOOKUP($G53,Coords[],3,FALSE)-VLOOKUP(N$5,Coords[],3,FALSE))^2+(VLOOKUP($G53,Coords[],4,FALSE)-VLOOKUP(N$5,Coords[],4,FALSE))^2)))</f>
        <v>1000</v>
      </c>
      <c r="O53" s="10">
        <f>IF($G53=O$5,1000,IF(O$4=0,1000,SQRT((VLOOKUP($G53,Coords[],3,FALSE)-VLOOKUP(O$5,Coords[],3,FALSE))^2+(VLOOKUP($G53,Coords[],4,FALSE)-VLOOKUP(O$5,Coords[],4,FALSE))^2)))</f>
        <v>9.2195444572928871</v>
      </c>
      <c r="P53" s="10">
        <f>IF($G53=P$5,1000,IF(P$4=0,1000,SQRT((VLOOKUP($G53,Coords[],3,FALSE)-VLOOKUP(P$5,Coords[],3,FALSE))^2+(VLOOKUP($G53,Coords[],4,FALSE)-VLOOKUP(P$5,Coords[],4,FALSE))^2)))</f>
        <v>1000</v>
      </c>
      <c r="Q53" s="10">
        <f>IF($G53=Q$5,1000,IF(Q$4=0,1000,SQRT((VLOOKUP($G53,Coords[],3,FALSE)-VLOOKUP(Q$5,Coords[],3,FALSE))^2+(VLOOKUP($G53,Coords[],4,FALSE)-VLOOKUP(Q$5,Coords[],4,FALSE))^2)))</f>
        <v>1000</v>
      </c>
      <c r="R53" s="10">
        <f>IF($G53=R$5,1000,IF(R$4=0,1000,SQRT((VLOOKUP($G53,Coords[],3,FALSE)-VLOOKUP(R$5,Coords[],3,FALSE))^2+(VLOOKUP($G53,Coords[],4,FALSE)-VLOOKUP(R$5,Coords[],4,FALSE))^2)))</f>
        <v>1000</v>
      </c>
      <c r="S53" s="10">
        <f>IF($G53=S$5,1000,IF(S$4=0,1000,SQRT((VLOOKUP($G53,Coords[],3,FALSE)-VLOOKUP(S$5,Coords[],3,FALSE))^2+(VLOOKUP($G53,Coords[],4,FALSE)-VLOOKUP(S$5,Coords[],4,FALSE))^2)))</f>
        <v>1000</v>
      </c>
      <c r="T53" s="10">
        <f>IF($G53=T$5,1000,IF(T$4=0,1000,SQRT((VLOOKUP($G53,Coords[],3,FALSE)-VLOOKUP(T$5,Coords[],3,FALSE))^2+(VLOOKUP($G53,Coords[],4,FALSE)-VLOOKUP(T$5,Coords[],4,FALSE))^2)))</f>
        <v>1000</v>
      </c>
      <c r="U53" s="10">
        <f>IF($G53=U$5,1000,IF(U$4=0,1000,SQRT((VLOOKUP($G53,Coords[],3,FALSE)-VLOOKUP(U$5,Coords[],3,FALSE))^2+(VLOOKUP($G53,Coords[],4,FALSE)-VLOOKUP(U$5,Coords[],4,FALSE))^2)))</f>
        <v>1000</v>
      </c>
      <c r="V53" s="10">
        <f>IF($G53=V$5,1000,IF(V$4=0,1000,SQRT((VLOOKUP($G53,Coords[],3,FALSE)-VLOOKUP(V$5,Coords[],3,FALSE))^2+(VLOOKUP($G53,Coords[],4,FALSE)-VLOOKUP(V$5,Coords[],4,FALSE))^2)))</f>
        <v>1000</v>
      </c>
      <c r="W53" s="10">
        <f>IF($G53=W$5,1000,IF(W$4=0,1000,SQRT((VLOOKUP($G53,Coords[],3,FALSE)-VLOOKUP(W$5,Coords[],3,FALSE))^2+(VLOOKUP($G53,Coords[],4,FALSE)-VLOOKUP(W$5,Coords[],4,FALSE))^2)))</f>
        <v>1000</v>
      </c>
      <c r="X53" s="10">
        <f>IF($G53=X$5,1000,IF(X$4=0,1000,SQRT((VLOOKUP($G53,Coords[],3,FALSE)-VLOOKUP(X$5,Coords[],3,FALSE))^2+(VLOOKUP($G53,Coords[],4,FALSE)-VLOOKUP(X$5,Coords[],4,FALSE))^2)))</f>
        <v>1000</v>
      </c>
      <c r="Y53" s="10">
        <f>IF($G53=Y$5,1000,IF(Y$4=0,1000,SQRT((VLOOKUP($G53,Coords[],3,FALSE)-VLOOKUP(Y$5,Coords[],3,FALSE))^2+(VLOOKUP($G53,Coords[],4,FALSE)-VLOOKUP(Y$5,Coords[],4,FALSE))^2)))</f>
        <v>1000</v>
      </c>
      <c r="Z53" s="10">
        <f>IF($G53=Z$5,1000,IF(Z$4=0,1000,SQRT((VLOOKUP($G53,Coords[],3,FALSE)-VLOOKUP(Z$5,Coords[],3,FALSE))^2+(VLOOKUP($G53,Coords[],4,FALSE)-VLOOKUP(Z$5,Coords[],4,FALSE))^2)))</f>
        <v>1000</v>
      </c>
      <c r="AA53" s="10">
        <f>IF($G53=AA$5,1000,IF(AA$4=0,1000,SQRT((VLOOKUP($G53,Coords[],3,FALSE)-VLOOKUP(AA$5,Coords[],3,FALSE))^2+(VLOOKUP($G53,Coords[],4,FALSE)-VLOOKUP(AA$5,Coords[],4,FALSE))^2)))</f>
        <v>32.140317359976393</v>
      </c>
      <c r="AB53" s="10">
        <f>IF($G53=AB$5,1000,IF(AB$4=0,1000,SQRT((VLOOKUP($G53,Coords[],3,FALSE)-VLOOKUP(AB$5,Coords[],3,FALSE))^2+(VLOOKUP($G53,Coords[],4,FALSE)-VLOOKUP(AB$5,Coords[],4,FALSE))^2)))</f>
        <v>1000</v>
      </c>
      <c r="AC53" s="10">
        <f>IF($G53=AC$5,1000,IF(AC$4=0,1000,SQRT((VLOOKUP($G53,Coords[],3,FALSE)-VLOOKUP(AC$5,Coords[],3,FALSE))^2+(VLOOKUP($G53,Coords[],4,FALSE)-VLOOKUP(AC$5,Coords[],4,FALSE))^2)))</f>
        <v>1000</v>
      </c>
      <c r="AD53" s="10">
        <f>IF($G53=AD$5,1000,IF(AD$4=0,1000,SQRT((VLOOKUP($G53,Coords[],3,FALSE)-VLOOKUP(AD$5,Coords[],3,FALSE))^2+(VLOOKUP($G53,Coords[],4,FALSE)-VLOOKUP(AD$5,Coords[],4,FALSE))^2)))</f>
        <v>1000</v>
      </c>
      <c r="AE53" s="10">
        <f>IF($G53=AE$5,1000,IF(AE$4=0,1000,SQRT((VLOOKUP($G53,Coords[],3,FALSE)-VLOOKUP(AE$5,Coords[],3,FALSE))^2+(VLOOKUP($G53,Coords[],4,FALSE)-VLOOKUP(AE$5,Coords[],4,FALSE))^2)))</f>
        <v>1000</v>
      </c>
      <c r="AF53" s="10">
        <f>IF($G53=AF$5,1000,IF(AF$4=0,1000,SQRT((VLOOKUP($G53,Coords[],3,FALSE)-VLOOKUP(AF$5,Coords[],3,FALSE))^2+(VLOOKUP($G53,Coords[],4,FALSE)-VLOOKUP(AF$5,Coords[],4,FALSE))^2)))</f>
        <v>1000</v>
      </c>
      <c r="AG53" s="10">
        <f>IF($G53=AG$5,1000,IF(AG$4=0,1000,SQRT((VLOOKUP($G53,Coords[],3,FALSE)-VLOOKUP(AG$5,Coords[],3,FALSE))^2+(VLOOKUP($G53,Coords[],4,FALSE)-VLOOKUP(AG$5,Coords[],4,FALSE))^2)))</f>
        <v>1000</v>
      </c>
      <c r="AH53" s="10">
        <f>IF($G53=AH$5,1000,IF(AH$4=0,1000,SQRT((VLOOKUP($G53,Coords[],3,FALSE)-VLOOKUP(AH$5,Coords[],3,FALSE))^2+(VLOOKUP($G53,Coords[],4,FALSE)-VLOOKUP(AH$5,Coords[],4,FALSE))^2)))</f>
        <v>1000</v>
      </c>
      <c r="AI53" s="10">
        <f>IF($G53=AI$5,1000,IF(AI$4=0,1000,SQRT((VLOOKUP($G53,Coords[],3,FALSE)-VLOOKUP(AI$5,Coords[],3,FALSE))^2+(VLOOKUP($G53,Coords[],4,FALSE)-VLOOKUP(AI$5,Coords[],4,FALSE))^2)))</f>
        <v>1000</v>
      </c>
      <c r="AJ53" s="10">
        <f>IF($G53=AJ$5,1000,IF(AJ$4=0,1000,SQRT((VLOOKUP($G53,Coords[],3,FALSE)-VLOOKUP(AJ$5,Coords[],3,FALSE))^2+(VLOOKUP($G53,Coords[],4,FALSE)-VLOOKUP(AJ$5,Coords[],4,FALSE))^2)))</f>
        <v>33.734255586865999</v>
      </c>
      <c r="AK53" s="10">
        <f>IF($G53=AK$5,1000,IF(AK$4=0,1000,SQRT((VLOOKUP($G53,Coords[],3,FALSE)-VLOOKUP(AK$5,Coords[],3,FALSE))^2+(VLOOKUP($G53,Coords[],4,FALSE)-VLOOKUP(AK$5,Coords[],4,FALSE))^2)))</f>
        <v>1000</v>
      </c>
      <c r="AL53" s="10">
        <f>IF($G53=AL$5,1000,IF(AL$4=0,1000,SQRT((VLOOKUP($G53,Coords[],3,FALSE)-VLOOKUP(AL$5,Coords[],3,FALSE))^2+(VLOOKUP($G53,Coords[],4,FALSE)-VLOOKUP(AL$5,Coords[],4,FALSE))^2)))</f>
        <v>1000</v>
      </c>
      <c r="AM53" s="10">
        <f>IF($G53=AM$5,1000,IF(AM$4=0,1000,SQRT((VLOOKUP($G53,Coords[],3,FALSE)-VLOOKUP(AM$5,Coords[],3,FALSE))^2+(VLOOKUP($G53,Coords[],4,FALSE)-VLOOKUP(AM$5,Coords[],4,FALSE))^2)))</f>
        <v>15.811388300841896</v>
      </c>
      <c r="AN53" s="10">
        <f>IF($G53=AN$5,1000,IF(AN$4=0,1000,SQRT((VLOOKUP($G53,Coords[],3,FALSE)-VLOOKUP(AN$5,Coords[],3,FALSE))^2+(VLOOKUP($G53,Coords[],4,FALSE)-VLOOKUP(AN$5,Coords[],4,FALSE))^2)))</f>
        <v>1000</v>
      </c>
      <c r="AO53" s="10">
        <f>IF($G53=AO$5,1000,IF(AO$4=0,1000,SQRT((VLOOKUP($G53,Coords[],3,FALSE)-VLOOKUP(AO$5,Coords[],3,FALSE))^2+(VLOOKUP($G53,Coords[],4,FALSE)-VLOOKUP(AO$5,Coords[],4,FALSE))^2)))</f>
        <v>1000</v>
      </c>
      <c r="AP53" s="10">
        <f>IF($G53=AP$5,1000,IF(AP$4=0,1000,SQRT((VLOOKUP($G53,Coords[],3,FALSE)-VLOOKUP(AP$5,Coords[],3,FALSE))^2+(VLOOKUP($G53,Coords[],4,FALSE)-VLOOKUP(AP$5,Coords[],4,FALSE))^2)))</f>
        <v>1000</v>
      </c>
      <c r="AQ53" s="10">
        <f>IF($G53=AQ$5,1000,IF(AQ$4=0,1000,SQRT((VLOOKUP($G53,Coords[],3,FALSE)-VLOOKUP(AQ$5,Coords[],3,FALSE))^2+(VLOOKUP($G53,Coords[],4,FALSE)-VLOOKUP(AQ$5,Coords[],4,FALSE))^2)))</f>
        <v>1000</v>
      </c>
      <c r="AR53" s="10">
        <f>IF($G53=AR$5,1000,IF(AR$4=0,1000,SQRT((VLOOKUP($G53,Coords[],3,FALSE)-VLOOKUP(AR$5,Coords[],3,FALSE))^2+(VLOOKUP($G53,Coords[],4,FALSE)-VLOOKUP(AR$5,Coords[],4,FALSE))^2)))</f>
        <v>1000</v>
      </c>
      <c r="AS53" s="10">
        <f>IF($G53=AS$5,1000,IF(AS$4=0,1000,SQRT((VLOOKUP($G53,Coords[],3,FALSE)-VLOOKUP(AS$5,Coords[],3,FALSE))^2+(VLOOKUP($G53,Coords[],4,FALSE)-VLOOKUP(AS$5,Coords[],4,FALSE))^2)))</f>
        <v>1000</v>
      </c>
      <c r="AT53" s="10">
        <f>IF($G53=AT$5,1000,IF(AT$4=0,1000,SQRT((VLOOKUP($G53,Coords[],3,FALSE)-VLOOKUP(AT$5,Coords[],3,FALSE))^2+(VLOOKUP($G53,Coords[],4,FALSE)-VLOOKUP(AT$5,Coords[],4,FALSE))^2)))</f>
        <v>1000</v>
      </c>
      <c r="AU53" s="10">
        <f>IF($G53=AU$5,1000,IF(AU$4=0,1000,SQRT((VLOOKUP($G53,Coords[],3,FALSE)-VLOOKUP(AU$5,Coords[],3,FALSE))^2+(VLOOKUP($G53,Coords[],4,FALSE)-VLOOKUP(AU$5,Coords[],4,FALSE))^2)))</f>
        <v>1000</v>
      </c>
      <c r="AV53" s="10">
        <f>IF($G53=AV$5,1000,IF(AV$4=0,1000,SQRT((VLOOKUP($G53,Coords[],3,FALSE)-VLOOKUP(AV$5,Coords[],3,FALSE))^2+(VLOOKUP($G53,Coords[],4,FALSE)-VLOOKUP(AV$5,Coords[],4,FALSE))^2)))</f>
        <v>1000</v>
      </c>
      <c r="AW53" s="10">
        <f>IF($G53=AW$5,1000,IF(AW$4=0,1000,SQRT((VLOOKUP($G53,Coords[],3,FALSE)-VLOOKUP(AW$5,Coords[],3,FALSE))^2+(VLOOKUP($G53,Coords[],4,FALSE)-VLOOKUP(AW$5,Coords[],4,FALSE))^2)))</f>
        <v>1000</v>
      </c>
      <c r="AX53" s="10">
        <f>IF($G53=AX$5,1000,IF(AX$4=0,1000,SQRT((VLOOKUP($G53,Coords[],3,FALSE)-VLOOKUP(AX$5,Coords[],3,FALSE))^2+(VLOOKUP($G53,Coords[],4,FALSE)-VLOOKUP(AX$5,Coords[],4,FALSE))^2)))</f>
        <v>1000</v>
      </c>
      <c r="AY53" s="10">
        <f>IF($G53=AY$5,1000,IF(AY$4=0,1000,SQRT((VLOOKUP($G53,Coords[],3,FALSE)-VLOOKUP(AY$5,Coords[],3,FALSE))^2+(VLOOKUP($G53,Coords[],4,FALSE)-VLOOKUP(AY$5,Coords[],4,FALSE))^2)))</f>
        <v>1000</v>
      </c>
      <c r="AZ53" s="10">
        <f>IF($G53=AZ$5,1000,IF(AZ$4=0,1000,SQRT((VLOOKUP($G53,Coords[],3,FALSE)-VLOOKUP(AZ$5,Coords[],3,FALSE))^2+(VLOOKUP($G53,Coords[],4,FALSE)-VLOOKUP(AZ$5,Coords[],4,FALSE))^2)))</f>
        <v>1000</v>
      </c>
      <c r="BA53" s="10">
        <f>IF($G53=BA$5,1000,IF(BA$4=0,1000,SQRT((VLOOKUP($G53,Coords[],3,FALSE)-VLOOKUP(BA$5,Coords[],3,FALSE))^2+(VLOOKUP($G53,Coords[],4,FALSE)-VLOOKUP(BA$5,Coords[],4,FALSE))^2)))</f>
        <v>1000</v>
      </c>
      <c r="BB53" s="10">
        <f>IF($G53=BB$5,1000,IF(BB$4=0,1000,SQRT((VLOOKUP($G53,Coords[],3,FALSE)-VLOOKUP(BB$5,Coords[],3,FALSE))^2+(VLOOKUP($G53,Coords[],4,FALSE)-VLOOKUP(BB$5,Coords[],4,FALSE))^2)))</f>
        <v>1000</v>
      </c>
      <c r="BC53" s="10">
        <f>IF($G53=BC$5,1000,IF(BC$4=0,1000,SQRT((VLOOKUP($G53,Coords[],3,FALSE)-VLOOKUP(BC$5,Coords[],3,FALSE))^2+(VLOOKUP($G53,Coords[],4,FALSE)-VLOOKUP(BC$5,Coords[],4,FALSE))^2)))</f>
        <v>1000</v>
      </c>
      <c r="BD53" s="10">
        <f>IF($G53=BD$5,1000,IF(BD$4=0,1000,SQRT((VLOOKUP($G53,Coords[],3,FALSE)-VLOOKUP(BD$5,Coords[],3,FALSE))^2+(VLOOKUP($G53,Coords[],4,FALSE)-VLOOKUP(BD$5,Coords[],4,FALSE))^2)))</f>
        <v>1000</v>
      </c>
      <c r="BE53" s="10">
        <f>IF($G53=BE$5,1000,IF(BE$4=0,1000,SQRT((VLOOKUP($G53,Coords[],3,FALSE)-VLOOKUP(BE$5,Coords[],3,FALSE))^2+(VLOOKUP($G53,Coords[],4,FALSE)-VLOOKUP(BE$5,Coords[],4,FALSE))^2)))</f>
        <v>1000</v>
      </c>
      <c r="BF53" s="10">
        <f>IF($G53=BF$5,1000,IF(BF$4=0,1000,SQRT((VLOOKUP($G53,Coords[],3,FALSE)-VLOOKUP(BF$5,Coords[],3,FALSE))^2+(VLOOKUP($G53,Coords[],4,FALSE)-VLOOKUP(BF$5,Coords[],4,FALSE))^2)))</f>
        <v>1000</v>
      </c>
      <c r="BG53" s="4">
        <v>48</v>
      </c>
      <c r="BI53" s="5">
        <f>IF(E53=1,0,VLOOKUP($G53,$G$6:$BF$57,HLOOKUP(MIN(H53:BF53),$H53:$BF$57,((COUNT($G$6:$G$56)+2)-$G53),FALSE),FALSE)*B53)</f>
        <v>11000</v>
      </c>
      <c r="BJ53" s="9">
        <f>VLOOKUP($G53,$G$6:$BF$57,HLOOKUP(MIN(H53:BF53),$H53:$BF$57,((COUNT($G$6:$G$56)+2)-$G53),FALSE),FALSE)</f>
        <v>1000</v>
      </c>
      <c r="BK53" s="7">
        <f>HLOOKUP(MIN(H53:BF53),$H53:$BF$57,((COUNT($G$6:$G$56)+2)-$G53),FALSE)</f>
        <v>8</v>
      </c>
      <c r="BL53">
        <f>BJ53*Coords[[#This Row],[Demand]]</f>
        <v>11000</v>
      </c>
      <c r="BN53">
        <v>48</v>
      </c>
      <c r="BO53">
        <v>7721.6563986239207</v>
      </c>
      <c r="BP53">
        <v>10724.586255482805</v>
      </c>
    </row>
    <row r="54" spans="1:68" x14ac:dyDescent="0.25">
      <c r="A54" s="8">
        <v>49</v>
      </c>
      <c r="B54" s="3">
        <v>20</v>
      </c>
      <c r="C54" s="3">
        <v>48</v>
      </c>
      <c r="D54" s="3">
        <v>28</v>
      </c>
      <c r="E54">
        <v>0</v>
      </c>
      <c r="G54" s="4">
        <v>49</v>
      </c>
      <c r="H54" s="10">
        <f>IF($G54=H$5,1000,IF(H$4=0,1000,SQRT((VLOOKUP($G54,Coords[],3,FALSE)-VLOOKUP(H$5,Coords[],3,FALSE))^2+(VLOOKUP($G54,Coords[],4,FALSE)-VLOOKUP(H$5,Coords[],4,FALSE))^2)))</f>
        <v>1000</v>
      </c>
      <c r="I54" s="10">
        <f>IF($G54=I$5,1000,IF(I$4=0,1000,SQRT((VLOOKUP($G54,Coords[],3,FALSE)-VLOOKUP(I$5,Coords[],3,FALSE))^2+(VLOOKUP($G54,Coords[],4,FALSE)-VLOOKUP(I$5,Coords[],4,FALSE))^2)))</f>
        <v>1000</v>
      </c>
      <c r="J54" s="10">
        <f>IF($G54=J$5,1000,IF(J$4=0,1000,SQRT((VLOOKUP($G54,Coords[],3,FALSE)-VLOOKUP(J$5,Coords[],3,FALSE))^2+(VLOOKUP($G54,Coords[],4,FALSE)-VLOOKUP(J$5,Coords[],4,FALSE))^2)))</f>
        <v>1000</v>
      </c>
      <c r="K54" s="10">
        <f>IF($G54=K$5,1000,IF(K$4=0,1000,SQRT((VLOOKUP($G54,Coords[],3,FALSE)-VLOOKUP(K$5,Coords[],3,FALSE))^2+(VLOOKUP($G54,Coords[],4,FALSE)-VLOOKUP(K$5,Coords[],4,FALSE))^2)))</f>
        <v>1000</v>
      </c>
      <c r="L54" s="10">
        <f>IF($G54=L$5,1000,IF(L$4=0,1000,SQRT((VLOOKUP($G54,Coords[],3,FALSE)-VLOOKUP(L$5,Coords[],3,FALSE))^2+(VLOOKUP($G54,Coords[],4,FALSE)-VLOOKUP(L$5,Coords[],4,FALSE))^2)))</f>
        <v>1000</v>
      </c>
      <c r="M54" s="10">
        <f>IF($G54=M$5,1000,IF(M$4=0,1000,SQRT((VLOOKUP($G54,Coords[],3,FALSE)-VLOOKUP(M$5,Coords[],3,FALSE))^2+(VLOOKUP($G54,Coords[],4,FALSE)-VLOOKUP(M$5,Coords[],4,FALSE))^2)))</f>
        <v>1000</v>
      </c>
      <c r="N54" s="10">
        <f>IF($G54=N$5,1000,IF(N$4=0,1000,SQRT((VLOOKUP($G54,Coords[],3,FALSE)-VLOOKUP(N$5,Coords[],3,FALSE))^2+(VLOOKUP($G54,Coords[],4,FALSE)-VLOOKUP(N$5,Coords[],4,FALSE))^2)))</f>
        <v>1000</v>
      </c>
      <c r="O54" s="10">
        <f>IF($G54=O$5,1000,IF(O$4=0,1000,SQRT((VLOOKUP($G54,Coords[],3,FALSE)-VLOOKUP(O$5,Coords[],3,FALSE))^2+(VLOOKUP($G54,Coords[],4,FALSE)-VLOOKUP(O$5,Coords[],4,FALSE))^2)))</f>
        <v>38.013155617496423</v>
      </c>
      <c r="P54" s="10">
        <f>IF($G54=P$5,1000,IF(P$4=0,1000,SQRT((VLOOKUP($G54,Coords[],3,FALSE)-VLOOKUP(P$5,Coords[],3,FALSE))^2+(VLOOKUP($G54,Coords[],4,FALSE)-VLOOKUP(P$5,Coords[],4,FALSE))^2)))</f>
        <v>1000</v>
      </c>
      <c r="Q54" s="10">
        <f>IF($G54=Q$5,1000,IF(Q$4=0,1000,SQRT((VLOOKUP($G54,Coords[],3,FALSE)-VLOOKUP(Q$5,Coords[],3,FALSE))^2+(VLOOKUP($G54,Coords[],4,FALSE)-VLOOKUP(Q$5,Coords[],4,FALSE))^2)))</f>
        <v>1000</v>
      </c>
      <c r="R54" s="10">
        <f>IF($G54=R$5,1000,IF(R$4=0,1000,SQRT((VLOOKUP($G54,Coords[],3,FALSE)-VLOOKUP(R$5,Coords[],3,FALSE))^2+(VLOOKUP($G54,Coords[],4,FALSE)-VLOOKUP(R$5,Coords[],4,FALSE))^2)))</f>
        <v>1000</v>
      </c>
      <c r="S54" s="10">
        <f>IF($G54=S$5,1000,IF(S$4=0,1000,SQRT((VLOOKUP($G54,Coords[],3,FALSE)-VLOOKUP(S$5,Coords[],3,FALSE))^2+(VLOOKUP($G54,Coords[],4,FALSE)-VLOOKUP(S$5,Coords[],4,FALSE))^2)))</f>
        <v>1000</v>
      </c>
      <c r="T54" s="10">
        <f>IF($G54=T$5,1000,IF(T$4=0,1000,SQRT((VLOOKUP($G54,Coords[],3,FALSE)-VLOOKUP(T$5,Coords[],3,FALSE))^2+(VLOOKUP($G54,Coords[],4,FALSE)-VLOOKUP(T$5,Coords[],4,FALSE))^2)))</f>
        <v>1000</v>
      </c>
      <c r="U54" s="10">
        <f>IF($G54=U$5,1000,IF(U$4=0,1000,SQRT((VLOOKUP($G54,Coords[],3,FALSE)-VLOOKUP(U$5,Coords[],3,FALSE))^2+(VLOOKUP($G54,Coords[],4,FALSE)-VLOOKUP(U$5,Coords[],4,FALSE))^2)))</f>
        <v>1000</v>
      </c>
      <c r="V54" s="10">
        <f>IF($G54=V$5,1000,IF(V$4=0,1000,SQRT((VLOOKUP($G54,Coords[],3,FALSE)-VLOOKUP(V$5,Coords[],3,FALSE))^2+(VLOOKUP($G54,Coords[],4,FALSE)-VLOOKUP(V$5,Coords[],4,FALSE))^2)))</f>
        <v>1000</v>
      </c>
      <c r="W54" s="10">
        <f>IF($G54=W$5,1000,IF(W$4=0,1000,SQRT((VLOOKUP($G54,Coords[],3,FALSE)-VLOOKUP(W$5,Coords[],3,FALSE))^2+(VLOOKUP($G54,Coords[],4,FALSE)-VLOOKUP(W$5,Coords[],4,FALSE))^2)))</f>
        <v>1000</v>
      </c>
      <c r="X54" s="10">
        <f>IF($G54=X$5,1000,IF(X$4=0,1000,SQRT((VLOOKUP($G54,Coords[],3,FALSE)-VLOOKUP(X$5,Coords[],3,FALSE))^2+(VLOOKUP($G54,Coords[],4,FALSE)-VLOOKUP(X$5,Coords[],4,FALSE))^2)))</f>
        <v>1000</v>
      </c>
      <c r="Y54" s="10">
        <f>IF($G54=Y$5,1000,IF(Y$4=0,1000,SQRT((VLOOKUP($G54,Coords[],3,FALSE)-VLOOKUP(Y$5,Coords[],3,FALSE))^2+(VLOOKUP($G54,Coords[],4,FALSE)-VLOOKUP(Y$5,Coords[],4,FALSE))^2)))</f>
        <v>1000</v>
      </c>
      <c r="Z54" s="10">
        <f>IF($G54=Z$5,1000,IF(Z$4=0,1000,SQRT((VLOOKUP($G54,Coords[],3,FALSE)-VLOOKUP(Z$5,Coords[],3,FALSE))^2+(VLOOKUP($G54,Coords[],4,FALSE)-VLOOKUP(Z$5,Coords[],4,FALSE))^2)))</f>
        <v>1000</v>
      </c>
      <c r="AA54" s="10">
        <f>IF($G54=AA$5,1000,IF(AA$4=0,1000,SQRT((VLOOKUP($G54,Coords[],3,FALSE)-VLOOKUP(AA$5,Coords[],3,FALSE))^2+(VLOOKUP($G54,Coords[],4,FALSE)-VLOOKUP(AA$5,Coords[],4,FALSE))^2)))</f>
        <v>31.32091952673165</v>
      </c>
      <c r="AB54" s="10">
        <f>IF($G54=AB$5,1000,IF(AB$4=0,1000,SQRT((VLOOKUP($G54,Coords[],3,FALSE)-VLOOKUP(AB$5,Coords[],3,FALSE))^2+(VLOOKUP($G54,Coords[],4,FALSE)-VLOOKUP(AB$5,Coords[],4,FALSE))^2)))</f>
        <v>1000</v>
      </c>
      <c r="AC54" s="10">
        <f>IF($G54=AC$5,1000,IF(AC$4=0,1000,SQRT((VLOOKUP($G54,Coords[],3,FALSE)-VLOOKUP(AC$5,Coords[],3,FALSE))^2+(VLOOKUP($G54,Coords[],4,FALSE)-VLOOKUP(AC$5,Coords[],4,FALSE))^2)))</f>
        <v>1000</v>
      </c>
      <c r="AD54" s="10">
        <f>IF($G54=AD$5,1000,IF(AD$4=0,1000,SQRT((VLOOKUP($G54,Coords[],3,FALSE)-VLOOKUP(AD$5,Coords[],3,FALSE))^2+(VLOOKUP($G54,Coords[],4,FALSE)-VLOOKUP(AD$5,Coords[],4,FALSE))^2)))</f>
        <v>1000</v>
      </c>
      <c r="AE54" s="10">
        <f>IF($G54=AE$5,1000,IF(AE$4=0,1000,SQRT((VLOOKUP($G54,Coords[],3,FALSE)-VLOOKUP(AE$5,Coords[],3,FALSE))^2+(VLOOKUP($G54,Coords[],4,FALSE)-VLOOKUP(AE$5,Coords[],4,FALSE))^2)))</f>
        <v>1000</v>
      </c>
      <c r="AF54" s="10">
        <f>IF($G54=AF$5,1000,IF(AF$4=0,1000,SQRT((VLOOKUP($G54,Coords[],3,FALSE)-VLOOKUP(AF$5,Coords[],3,FALSE))^2+(VLOOKUP($G54,Coords[],4,FALSE)-VLOOKUP(AF$5,Coords[],4,FALSE))^2)))</f>
        <v>1000</v>
      </c>
      <c r="AG54" s="10">
        <f>IF($G54=AG$5,1000,IF(AG$4=0,1000,SQRT((VLOOKUP($G54,Coords[],3,FALSE)-VLOOKUP(AG$5,Coords[],3,FALSE))^2+(VLOOKUP($G54,Coords[],4,FALSE)-VLOOKUP(AG$5,Coords[],4,FALSE))^2)))</f>
        <v>1000</v>
      </c>
      <c r="AH54" s="10">
        <f>IF($G54=AH$5,1000,IF(AH$4=0,1000,SQRT((VLOOKUP($G54,Coords[],3,FALSE)-VLOOKUP(AH$5,Coords[],3,FALSE))^2+(VLOOKUP($G54,Coords[],4,FALSE)-VLOOKUP(AH$5,Coords[],4,FALSE))^2)))</f>
        <v>1000</v>
      </c>
      <c r="AI54" s="10">
        <f>IF($G54=AI$5,1000,IF(AI$4=0,1000,SQRT((VLOOKUP($G54,Coords[],3,FALSE)-VLOOKUP(AI$5,Coords[],3,FALSE))^2+(VLOOKUP($G54,Coords[],4,FALSE)-VLOOKUP(AI$5,Coords[],4,FALSE))^2)))</f>
        <v>1000</v>
      </c>
      <c r="AJ54" s="10">
        <f>IF($G54=AJ$5,1000,IF(AJ$4=0,1000,SQRT((VLOOKUP($G54,Coords[],3,FALSE)-VLOOKUP(AJ$5,Coords[],3,FALSE))^2+(VLOOKUP($G54,Coords[],4,FALSE)-VLOOKUP(AJ$5,Coords[],4,FALSE))^2)))</f>
        <v>22.360679774997898</v>
      </c>
      <c r="AK54" s="10">
        <f>IF($G54=AK$5,1000,IF(AK$4=0,1000,SQRT((VLOOKUP($G54,Coords[],3,FALSE)-VLOOKUP(AK$5,Coords[],3,FALSE))^2+(VLOOKUP($G54,Coords[],4,FALSE)-VLOOKUP(AK$5,Coords[],4,FALSE))^2)))</f>
        <v>1000</v>
      </c>
      <c r="AL54" s="10">
        <f>IF($G54=AL$5,1000,IF(AL$4=0,1000,SQRT((VLOOKUP($G54,Coords[],3,FALSE)-VLOOKUP(AL$5,Coords[],3,FALSE))^2+(VLOOKUP($G54,Coords[],4,FALSE)-VLOOKUP(AL$5,Coords[],4,FALSE))^2)))</f>
        <v>1000</v>
      </c>
      <c r="AM54" s="10">
        <f>IF($G54=AM$5,1000,IF(AM$4=0,1000,SQRT((VLOOKUP($G54,Coords[],3,FALSE)-VLOOKUP(AM$5,Coords[],3,FALSE))^2+(VLOOKUP($G54,Coords[],4,FALSE)-VLOOKUP(AM$5,Coords[],4,FALSE))^2)))</f>
        <v>20.591260281974002</v>
      </c>
      <c r="AN54" s="10">
        <f>IF($G54=AN$5,1000,IF(AN$4=0,1000,SQRT((VLOOKUP($G54,Coords[],3,FALSE)-VLOOKUP(AN$5,Coords[],3,FALSE))^2+(VLOOKUP($G54,Coords[],4,FALSE)-VLOOKUP(AN$5,Coords[],4,FALSE))^2)))</f>
        <v>1000</v>
      </c>
      <c r="AO54" s="10">
        <f>IF($G54=AO$5,1000,IF(AO$4=0,1000,SQRT((VLOOKUP($G54,Coords[],3,FALSE)-VLOOKUP(AO$5,Coords[],3,FALSE))^2+(VLOOKUP($G54,Coords[],4,FALSE)-VLOOKUP(AO$5,Coords[],4,FALSE))^2)))</f>
        <v>1000</v>
      </c>
      <c r="AP54" s="10">
        <f>IF($G54=AP$5,1000,IF(AP$4=0,1000,SQRT((VLOOKUP($G54,Coords[],3,FALSE)-VLOOKUP(AP$5,Coords[],3,FALSE))^2+(VLOOKUP($G54,Coords[],4,FALSE)-VLOOKUP(AP$5,Coords[],4,FALSE))^2)))</f>
        <v>1000</v>
      </c>
      <c r="AQ54" s="10">
        <f>IF($G54=AQ$5,1000,IF(AQ$4=0,1000,SQRT((VLOOKUP($G54,Coords[],3,FALSE)-VLOOKUP(AQ$5,Coords[],3,FALSE))^2+(VLOOKUP($G54,Coords[],4,FALSE)-VLOOKUP(AQ$5,Coords[],4,FALSE))^2)))</f>
        <v>1000</v>
      </c>
      <c r="AR54" s="10">
        <f>IF($G54=AR$5,1000,IF(AR$4=0,1000,SQRT((VLOOKUP($G54,Coords[],3,FALSE)-VLOOKUP(AR$5,Coords[],3,FALSE))^2+(VLOOKUP($G54,Coords[],4,FALSE)-VLOOKUP(AR$5,Coords[],4,FALSE))^2)))</f>
        <v>1000</v>
      </c>
      <c r="AS54" s="10">
        <f>IF($G54=AS$5,1000,IF(AS$4=0,1000,SQRT((VLOOKUP($G54,Coords[],3,FALSE)-VLOOKUP(AS$5,Coords[],3,FALSE))^2+(VLOOKUP($G54,Coords[],4,FALSE)-VLOOKUP(AS$5,Coords[],4,FALSE))^2)))</f>
        <v>1000</v>
      </c>
      <c r="AT54" s="10">
        <f>IF($G54=AT$5,1000,IF(AT$4=0,1000,SQRT((VLOOKUP($G54,Coords[],3,FALSE)-VLOOKUP(AT$5,Coords[],3,FALSE))^2+(VLOOKUP($G54,Coords[],4,FALSE)-VLOOKUP(AT$5,Coords[],4,FALSE))^2)))</f>
        <v>1000</v>
      </c>
      <c r="AU54" s="10">
        <f>IF($G54=AU$5,1000,IF(AU$4=0,1000,SQRT((VLOOKUP($G54,Coords[],3,FALSE)-VLOOKUP(AU$5,Coords[],3,FALSE))^2+(VLOOKUP($G54,Coords[],4,FALSE)-VLOOKUP(AU$5,Coords[],4,FALSE))^2)))</f>
        <v>1000</v>
      </c>
      <c r="AV54" s="10">
        <f>IF($G54=AV$5,1000,IF(AV$4=0,1000,SQRT((VLOOKUP($G54,Coords[],3,FALSE)-VLOOKUP(AV$5,Coords[],3,FALSE))^2+(VLOOKUP($G54,Coords[],4,FALSE)-VLOOKUP(AV$5,Coords[],4,FALSE))^2)))</f>
        <v>1000</v>
      </c>
      <c r="AW54" s="10">
        <f>IF($G54=AW$5,1000,IF(AW$4=0,1000,SQRT((VLOOKUP($G54,Coords[],3,FALSE)-VLOOKUP(AW$5,Coords[],3,FALSE))^2+(VLOOKUP($G54,Coords[],4,FALSE)-VLOOKUP(AW$5,Coords[],4,FALSE))^2)))</f>
        <v>1000</v>
      </c>
      <c r="AX54" s="10">
        <f>IF($G54=AX$5,1000,IF(AX$4=0,1000,SQRT((VLOOKUP($G54,Coords[],3,FALSE)-VLOOKUP(AX$5,Coords[],3,FALSE))^2+(VLOOKUP($G54,Coords[],4,FALSE)-VLOOKUP(AX$5,Coords[],4,FALSE))^2)))</f>
        <v>1000</v>
      </c>
      <c r="AY54" s="10">
        <f>IF($G54=AY$5,1000,IF(AY$4=0,1000,SQRT((VLOOKUP($G54,Coords[],3,FALSE)-VLOOKUP(AY$5,Coords[],3,FALSE))^2+(VLOOKUP($G54,Coords[],4,FALSE)-VLOOKUP(AY$5,Coords[],4,FALSE))^2)))</f>
        <v>1000</v>
      </c>
      <c r="AZ54" s="10">
        <f>IF($G54=AZ$5,1000,IF(AZ$4=0,1000,SQRT((VLOOKUP($G54,Coords[],3,FALSE)-VLOOKUP(AZ$5,Coords[],3,FALSE))^2+(VLOOKUP($G54,Coords[],4,FALSE)-VLOOKUP(AZ$5,Coords[],4,FALSE))^2)))</f>
        <v>1000</v>
      </c>
      <c r="BA54" s="10">
        <f>IF($G54=BA$5,1000,IF(BA$4=0,1000,SQRT((VLOOKUP($G54,Coords[],3,FALSE)-VLOOKUP(BA$5,Coords[],3,FALSE))^2+(VLOOKUP($G54,Coords[],4,FALSE)-VLOOKUP(BA$5,Coords[],4,FALSE))^2)))</f>
        <v>1000</v>
      </c>
      <c r="BB54" s="10">
        <f>IF($G54=BB$5,1000,IF(BB$4=0,1000,SQRT((VLOOKUP($G54,Coords[],3,FALSE)-VLOOKUP(BB$5,Coords[],3,FALSE))^2+(VLOOKUP($G54,Coords[],4,FALSE)-VLOOKUP(BB$5,Coords[],4,FALSE))^2)))</f>
        <v>1000</v>
      </c>
      <c r="BC54" s="10">
        <f>IF($G54=BC$5,1000,IF(BC$4=0,1000,SQRT((VLOOKUP($G54,Coords[],3,FALSE)-VLOOKUP(BC$5,Coords[],3,FALSE))^2+(VLOOKUP($G54,Coords[],4,FALSE)-VLOOKUP(BC$5,Coords[],4,FALSE))^2)))</f>
        <v>1000</v>
      </c>
      <c r="BD54" s="10">
        <f>IF($G54=BD$5,1000,IF(BD$4=0,1000,SQRT((VLOOKUP($G54,Coords[],3,FALSE)-VLOOKUP(BD$5,Coords[],3,FALSE))^2+(VLOOKUP($G54,Coords[],4,FALSE)-VLOOKUP(BD$5,Coords[],4,FALSE))^2)))</f>
        <v>1000</v>
      </c>
      <c r="BE54" s="10">
        <f>IF($G54=BE$5,1000,IF(BE$4=0,1000,SQRT((VLOOKUP($G54,Coords[],3,FALSE)-VLOOKUP(BE$5,Coords[],3,FALSE))^2+(VLOOKUP($G54,Coords[],4,FALSE)-VLOOKUP(BE$5,Coords[],4,FALSE))^2)))</f>
        <v>1000</v>
      </c>
      <c r="BF54" s="10">
        <f>IF($G54=BF$5,1000,IF(BF$4=0,1000,SQRT((VLOOKUP($G54,Coords[],3,FALSE)-VLOOKUP(BF$5,Coords[],3,FALSE))^2+(VLOOKUP($G54,Coords[],4,FALSE)-VLOOKUP(BF$5,Coords[],4,FALSE))^2)))</f>
        <v>1000</v>
      </c>
      <c r="BG54" s="4">
        <v>49</v>
      </c>
      <c r="BI54" s="5">
        <f>IF(E54=1,0,VLOOKUP($G54,$G$6:$BF$57,HLOOKUP(MIN(H54:BF54),$H54:$BF$57,((COUNT($G$6:$G$56)+2)-$G54),FALSE),FALSE)*B54)</f>
        <v>411.82520563948003</v>
      </c>
      <c r="BJ54" s="9">
        <f>VLOOKUP($G54,$G$6:$BF$57,HLOOKUP(MIN(H54:BF54),$H54:$BF$57,((COUNT($G$6:$G$56)+2)-$G54),FALSE),FALSE)</f>
        <v>20.591260281974002</v>
      </c>
      <c r="BK54" s="7">
        <f>HLOOKUP(MIN(H54:BF54),$H54:$BF$57,((COUNT($G$6:$G$56)+2)-$G54),FALSE)</f>
        <v>33</v>
      </c>
      <c r="BL54">
        <f>BJ54*Coords[[#This Row],[Demand]]</f>
        <v>411.82520563948003</v>
      </c>
      <c r="BN54">
        <v>49</v>
      </c>
      <c r="BO54">
        <v>7721.6563986239207</v>
      </c>
      <c r="BP54">
        <v>9338.8679677613782</v>
      </c>
    </row>
    <row r="55" spans="1:68" x14ac:dyDescent="0.25">
      <c r="A55" s="8">
        <v>50</v>
      </c>
      <c r="B55" s="3">
        <v>14</v>
      </c>
      <c r="C55" s="3">
        <v>56</v>
      </c>
      <c r="D55" s="3">
        <v>37</v>
      </c>
      <c r="E55">
        <v>0</v>
      </c>
      <c r="G55" s="4">
        <v>50</v>
      </c>
      <c r="H55" s="10">
        <f>IF($G55=H$5,1000,IF(H$4=0,1000,SQRT((VLOOKUP($G55,Coords[],3,FALSE)-VLOOKUP(H$5,Coords[],3,FALSE))^2+(VLOOKUP($G55,Coords[],4,FALSE)-VLOOKUP(H$5,Coords[],4,FALSE))^2)))</f>
        <v>1000</v>
      </c>
      <c r="I55" s="10">
        <f>IF($G55=I$5,1000,IF(I$4=0,1000,SQRT((VLOOKUP($G55,Coords[],3,FALSE)-VLOOKUP(I$5,Coords[],3,FALSE))^2+(VLOOKUP($G55,Coords[],4,FALSE)-VLOOKUP(I$5,Coords[],4,FALSE))^2)))</f>
        <v>1000</v>
      </c>
      <c r="J55" s="10">
        <f>IF($G55=J$5,1000,IF(J$4=0,1000,SQRT((VLOOKUP($G55,Coords[],3,FALSE)-VLOOKUP(J$5,Coords[],3,FALSE))^2+(VLOOKUP($G55,Coords[],4,FALSE)-VLOOKUP(J$5,Coords[],4,FALSE))^2)))</f>
        <v>1000</v>
      </c>
      <c r="K55" s="10">
        <f>IF($G55=K$5,1000,IF(K$4=0,1000,SQRT((VLOOKUP($G55,Coords[],3,FALSE)-VLOOKUP(K$5,Coords[],3,FALSE))^2+(VLOOKUP($G55,Coords[],4,FALSE)-VLOOKUP(K$5,Coords[],4,FALSE))^2)))</f>
        <v>1000</v>
      </c>
      <c r="L55" s="10">
        <f>IF($G55=L$5,1000,IF(L$4=0,1000,SQRT((VLOOKUP($G55,Coords[],3,FALSE)-VLOOKUP(L$5,Coords[],3,FALSE))^2+(VLOOKUP($G55,Coords[],4,FALSE)-VLOOKUP(L$5,Coords[],4,FALSE))^2)))</f>
        <v>1000</v>
      </c>
      <c r="M55" s="10">
        <f>IF($G55=M$5,1000,IF(M$4=0,1000,SQRT((VLOOKUP($G55,Coords[],3,FALSE)-VLOOKUP(M$5,Coords[],3,FALSE))^2+(VLOOKUP($G55,Coords[],4,FALSE)-VLOOKUP(M$5,Coords[],4,FALSE))^2)))</f>
        <v>1000</v>
      </c>
      <c r="N55" s="10">
        <f>IF($G55=N$5,1000,IF(N$4=0,1000,SQRT((VLOOKUP($G55,Coords[],3,FALSE)-VLOOKUP(N$5,Coords[],3,FALSE))^2+(VLOOKUP($G55,Coords[],4,FALSE)-VLOOKUP(N$5,Coords[],4,FALSE))^2)))</f>
        <v>1000</v>
      </c>
      <c r="O55" s="10">
        <f>IF($G55=O$5,1000,IF(O$4=0,1000,SQRT((VLOOKUP($G55,Coords[],3,FALSE)-VLOOKUP(O$5,Coords[],3,FALSE))^2+(VLOOKUP($G55,Coords[],4,FALSE)-VLOOKUP(O$5,Coords[],4,FALSE))^2)))</f>
        <v>35.355339059327378</v>
      </c>
      <c r="P55" s="10">
        <f>IF($G55=P$5,1000,IF(P$4=0,1000,SQRT((VLOOKUP($G55,Coords[],3,FALSE)-VLOOKUP(P$5,Coords[],3,FALSE))^2+(VLOOKUP($G55,Coords[],4,FALSE)-VLOOKUP(P$5,Coords[],4,FALSE))^2)))</f>
        <v>1000</v>
      </c>
      <c r="Q55" s="10">
        <f>IF($G55=Q$5,1000,IF(Q$4=0,1000,SQRT((VLOOKUP($G55,Coords[],3,FALSE)-VLOOKUP(Q$5,Coords[],3,FALSE))^2+(VLOOKUP($G55,Coords[],4,FALSE)-VLOOKUP(Q$5,Coords[],4,FALSE))^2)))</f>
        <v>1000</v>
      </c>
      <c r="R55" s="10">
        <f>IF($G55=R$5,1000,IF(R$4=0,1000,SQRT((VLOOKUP($G55,Coords[],3,FALSE)-VLOOKUP(R$5,Coords[],3,FALSE))^2+(VLOOKUP($G55,Coords[],4,FALSE)-VLOOKUP(R$5,Coords[],4,FALSE))^2)))</f>
        <v>1000</v>
      </c>
      <c r="S55" s="10">
        <f>IF($G55=S$5,1000,IF(S$4=0,1000,SQRT((VLOOKUP($G55,Coords[],3,FALSE)-VLOOKUP(S$5,Coords[],3,FALSE))^2+(VLOOKUP($G55,Coords[],4,FALSE)-VLOOKUP(S$5,Coords[],4,FALSE))^2)))</f>
        <v>1000</v>
      </c>
      <c r="T55" s="10">
        <f>IF($G55=T$5,1000,IF(T$4=0,1000,SQRT((VLOOKUP($G55,Coords[],3,FALSE)-VLOOKUP(T$5,Coords[],3,FALSE))^2+(VLOOKUP($G55,Coords[],4,FALSE)-VLOOKUP(T$5,Coords[],4,FALSE))^2)))</f>
        <v>1000</v>
      </c>
      <c r="U55" s="10">
        <f>IF($G55=U$5,1000,IF(U$4=0,1000,SQRT((VLOOKUP($G55,Coords[],3,FALSE)-VLOOKUP(U$5,Coords[],3,FALSE))^2+(VLOOKUP($G55,Coords[],4,FALSE)-VLOOKUP(U$5,Coords[],4,FALSE))^2)))</f>
        <v>1000</v>
      </c>
      <c r="V55" s="10">
        <f>IF($G55=V$5,1000,IF(V$4=0,1000,SQRT((VLOOKUP($G55,Coords[],3,FALSE)-VLOOKUP(V$5,Coords[],3,FALSE))^2+(VLOOKUP($G55,Coords[],4,FALSE)-VLOOKUP(V$5,Coords[],4,FALSE))^2)))</f>
        <v>1000</v>
      </c>
      <c r="W55" s="10">
        <f>IF($G55=W$5,1000,IF(W$4=0,1000,SQRT((VLOOKUP($G55,Coords[],3,FALSE)-VLOOKUP(W$5,Coords[],3,FALSE))^2+(VLOOKUP($G55,Coords[],4,FALSE)-VLOOKUP(W$5,Coords[],4,FALSE))^2)))</f>
        <v>1000</v>
      </c>
      <c r="X55" s="10">
        <f>IF($G55=X$5,1000,IF(X$4=0,1000,SQRT((VLOOKUP($G55,Coords[],3,FALSE)-VLOOKUP(X$5,Coords[],3,FALSE))^2+(VLOOKUP($G55,Coords[],4,FALSE)-VLOOKUP(X$5,Coords[],4,FALSE))^2)))</f>
        <v>1000</v>
      </c>
      <c r="Y55" s="10">
        <f>IF($G55=Y$5,1000,IF(Y$4=0,1000,SQRT((VLOOKUP($G55,Coords[],3,FALSE)-VLOOKUP(Y$5,Coords[],3,FALSE))^2+(VLOOKUP($G55,Coords[],4,FALSE)-VLOOKUP(Y$5,Coords[],4,FALSE))^2)))</f>
        <v>1000</v>
      </c>
      <c r="Z55" s="10">
        <f>IF($G55=Z$5,1000,IF(Z$4=0,1000,SQRT((VLOOKUP($G55,Coords[],3,FALSE)-VLOOKUP(Z$5,Coords[],3,FALSE))^2+(VLOOKUP($G55,Coords[],4,FALSE)-VLOOKUP(Z$5,Coords[],4,FALSE))^2)))</f>
        <v>1000</v>
      </c>
      <c r="AA55" s="10">
        <f>IF($G55=AA$5,1000,IF(AA$4=0,1000,SQRT((VLOOKUP($G55,Coords[],3,FALSE)-VLOOKUP(AA$5,Coords[],3,FALSE))^2+(VLOOKUP($G55,Coords[],4,FALSE)-VLOOKUP(AA$5,Coords[],4,FALSE))^2)))</f>
        <v>21.023796041628639</v>
      </c>
      <c r="AB55" s="10">
        <f>IF($G55=AB$5,1000,IF(AB$4=0,1000,SQRT((VLOOKUP($G55,Coords[],3,FALSE)-VLOOKUP(AB$5,Coords[],3,FALSE))^2+(VLOOKUP($G55,Coords[],4,FALSE)-VLOOKUP(AB$5,Coords[],4,FALSE))^2)))</f>
        <v>1000</v>
      </c>
      <c r="AC55" s="10">
        <f>IF($G55=AC$5,1000,IF(AC$4=0,1000,SQRT((VLOOKUP($G55,Coords[],3,FALSE)-VLOOKUP(AC$5,Coords[],3,FALSE))^2+(VLOOKUP($G55,Coords[],4,FALSE)-VLOOKUP(AC$5,Coords[],4,FALSE))^2)))</f>
        <v>1000</v>
      </c>
      <c r="AD55" s="10">
        <f>IF($G55=AD$5,1000,IF(AD$4=0,1000,SQRT((VLOOKUP($G55,Coords[],3,FALSE)-VLOOKUP(AD$5,Coords[],3,FALSE))^2+(VLOOKUP($G55,Coords[],4,FALSE)-VLOOKUP(AD$5,Coords[],4,FALSE))^2)))</f>
        <v>1000</v>
      </c>
      <c r="AE55" s="10">
        <f>IF($G55=AE$5,1000,IF(AE$4=0,1000,SQRT((VLOOKUP($G55,Coords[],3,FALSE)-VLOOKUP(AE$5,Coords[],3,FALSE))^2+(VLOOKUP($G55,Coords[],4,FALSE)-VLOOKUP(AE$5,Coords[],4,FALSE))^2)))</f>
        <v>1000</v>
      </c>
      <c r="AF55" s="10">
        <f>IF($G55=AF$5,1000,IF(AF$4=0,1000,SQRT((VLOOKUP($G55,Coords[],3,FALSE)-VLOOKUP(AF$5,Coords[],3,FALSE))^2+(VLOOKUP($G55,Coords[],4,FALSE)-VLOOKUP(AF$5,Coords[],4,FALSE))^2)))</f>
        <v>1000</v>
      </c>
      <c r="AG55" s="10">
        <f>IF($G55=AG$5,1000,IF(AG$4=0,1000,SQRT((VLOOKUP($G55,Coords[],3,FALSE)-VLOOKUP(AG$5,Coords[],3,FALSE))^2+(VLOOKUP($G55,Coords[],4,FALSE)-VLOOKUP(AG$5,Coords[],4,FALSE))^2)))</f>
        <v>1000</v>
      </c>
      <c r="AH55" s="10">
        <f>IF($G55=AH$5,1000,IF(AH$4=0,1000,SQRT((VLOOKUP($G55,Coords[],3,FALSE)-VLOOKUP(AH$5,Coords[],3,FALSE))^2+(VLOOKUP($G55,Coords[],4,FALSE)-VLOOKUP(AH$5,Coords[],4,FALSE))^2)))</f>
        <v>1000</v>
      </c>
      <c r="AI55" s="10">
        <f>IF($G55=AI$5,1000,IF(AI$4=0,1000,SQRT((VLOOKUP($G55,Coords[],3,FALSE)-VLOOKUP(AI$5,Coords[],3,FALSE))^2+(VLOOKUP($G55,Coords[],4,FALSE)-VLOOKUP(AI$5,Coords[],4,FALSE))^2)))</f>
        <v>1000</v>
      </c>
      <c r="AJ55" s="10">
        <f>IF($G55=AJ$5,1000,IF(AJ$4=0,1000,SQRT((VLOOKUP($G55,Coords[],3,FALSE)-VLOOKUP(AJ$5,Coords[],3,FALSE))^2+(VLOOKUP($G55,Coords[],4,FALSE)-VLOOKUP(AJ$5,Coords[],4,FALSE))^2)))</f>
        <v>11.180339887498949</v>
      </c>
      <c r="AK55" s="10">
        <f>IF($G55=AK$5,1000,IF(AK$4=0,1000,SQRT((VLOOKUP($G55,Coords[],3,FALSE)-VLOOKUP(AK$5,Coords[],3,FALSE))^2+(VLOOKUP($G55,Coords[],4,FALSE)-VLOOKUP(AK$5,Coords[],4,FALSE))^2)))</f>
        <v>1000</v>
      </c>
      <c r="AL55" s="10">
        <f>IF($G55=AL$5,1000,IF(AL$4=0,1000,SQRT((VLOOKUP($G55,Coords[],3,FALSE)-VLOOKUP(AL$5,Coords[],3,FALSE))^2+(VLOOKUP($G55,Coords[],4,FALSE)-VLOOKUP(AL$5,Coords[],4,FALSE))^2)))</f>
        <v>1000</v>
      </c>
      <c r="AM55" s="10">
        <f>IF($G55=AM$5,1000,IF(AM$4=0,1000,SQRT((VLOOKUP($G55,Coords[],3,FALSE)-VLOOKUP(AM$5,Coords[],3,FALSE))^2+(VLOOKUP($G55,Coords[],4,FALSE)-VLOOKUP(AM$5,Coords[],4,FALSE))^2)))</f>
        <v>20.124611797498108</v>
      </c>
      <c r="AN55" s="10">
        <f>IF($G55=AN$5,1000,IF(AN$4=0,1000,SQRT((VLOOKUP($G55,Coords[],3,FALSE)-VLOOKUP(AN$5,Coords[],3,FALSE))^2+(VLOOKUP($G55,Coords[],4,FALSE)-VLOOKUP(AN$5,Coords[],4,FALSE))^2)))</f>
        <v>1000</v>
      </c>
      <c r="AO55" s="10">
        <f>IF($G55=AO$5,1000,IF(AO$4=0,1000,SQRT((VLOOKUP($G55,Coords[],3,FALSE)-VLOOKUP(AO$5,Coords[],3,FALSE))^2+(VLOOKUP($G55,Coords[],4,FALSE)-VLOOKUP(AO$5,Coords[],4,FALSE))^2)))</f>
        <v>1000</v>
      </c>
      <c r="AP55" s="10">
        <f>IF($G55=AP$5,1000,IF(AP$4=0,1000,SQRT((VLOOKUP($G55,Coords[],3,FALSE)-VLOOKUP(AP$5,Coords[],3,FALSE))^2+(VLOOKUP($G55,Coords[],4,FALSE)-VLOOKUP(AP$5,Coords[],4,FALSE))^2)))</f>
        <v>1000</v>
      </c>
      <c r="AQ55" s="10">
        <f>IF($G55=AQ$5,1000,IF(AQ$4=0,1000,SQRT((VLOOKUP($G55,Coords[],3,FALSE)-VLOOKUP(AQ$5,Coords[],3,FALSE))^2+(VLOOKUP($G55,Coords[],4,FALSE)-VLOOKUP(AQ$5,Coords[],4,FALSE))^2)))</f>
        <v>1000</v>
      </c>
      <c r="AR55" s="10">
        <f>IF($G55=AR$5,1000,IF(AR$4=0,1000,SQRT((VLOOKUP($G55,Coords[],3,FALSE)-VLOOKUP(AR$5,Coords[],3,FALSE))^2+(VLOOKUP($G55,Coords[],4,FALSE)-VLOOKUP(AR$5,Coords[],4,FALSE))^2)))</f>
        <v>1000</v>
      </c>
      <c r="AS55" s="10">
        <f>IF($G55=AS$5,1000,IF(AS$4=0,1000,SQRT((VLOOKUP($G55,Coords[],3,FALSE)-VLOOKUP(AS$5,Coords[],3,FALSE))^2+(VLOOKUP($G55,Coords[],4,FALSE)-VLOOKUP(AS$5,Coords[],4,FALSE))^2)))</f>
        <v>1000</v>
      </c>
      <c r="AT55" s="10">
        <f>IF($G55=AT$5,1000,IF(AT$4=0,1000,SQRT((VLOOKUP($G55,Coords[],3,FALSE)-VLOOKUP(AT$5,Coords[],3,FALSE))^2+(VLOOKUP($G55,Coords[],4,FALSE)-VLOOKUP(AT$5,Coords[],4,FALSE))^2)))</f>
        <v>1000</v>
      </c>
      <c r="AU55" s="10">
        <f>IF($G55=AU$5,1000,IF(AU$4=0,1000,SQRT((VLOOKUP($G55,Coords[],3,FALSE)-VLOOKUP(AU$5,Coords[],3,FALSE))^2+(VLOOKUP($G55,Coords[],4,FALSE)-VLOOKUP(AU$5,Coords[],4,FALSE))^2)))</f>
        <v>1000</v>
      </c>
      <c r="AV55" s="10">
        <f>IF($G55=AV$5,1000,IF(AV$4=0,1000,SQRT((VLOOKUP($G55,Coords[],3,FALSE)-VLOOKUP(AV$5,Coords[],3,FALSE))^2+(VLOOKUP($G55,Coords[],4,FALSE)-VLOOKUP(AV$5,Coords[],4,FALSE))^2)))</f>
        <v>1000</v>
      </c>
      <c r="AW55" s="10">
        <f>IF($G55=AW$5,1000,IF(AW$4=0,1000,SQRT((VLOOKUP($G55,Coords[],3,FALSE)-VLOOKUP(AW$5,Coords[],3,FALSE))^2+(VLOOKUP($G55,Coords[],4,FALSE)-VLOOKUP(AW$5,Coords[],4,FALSE))^2)))</f>
        <v>1000</v>
      </c>
      <c r="AX55" s="10">
        <f>IF($G55=AX$5,1000,IF(AX$4=0,1000,SQRT((VLOOKUP($G55,Coords[],3,FALSE)-VLOOKUP(AX$5,Coords[],3,FALSE))^2+(VLOOKUP($G55,Coords[],4,FALSE)-VLOOKUP(AX$5,Coords[],4,FALSE))^2)))</f>
        <v>1000</v>
      </c>
      <c r="AY55" s="10">
        <f>IF($G55=AY$5,1000,IF(AY$4=0,1000,SQRT((VLOOKUP($G55,Coords[],3,FALSE)-VLOOKUP(AY$5,Coords[],3,FALSE))^2+(VLOOKUP($G55,Coords[],4,FALSE)-VLOOKUP(AY$5,Coords[],4,FALSE))^2)))</f>
        <v>1000</v>
      </c>
      <c r="AZ55" s="10">
        <f>IF($G55=AZ$5,1000,IF(AZ$4=0,1000,SQRT((VLOOKUP($G55,Coords[],3,FALSE)-VLOOKUP(AZ$5,Coords[],3,FALSE))^2+(VLOOKUP($G55,Coords[],4,FALSE)-VLOOKUP(AZ$5,Coords[],4,FALSE))^2)))</f>
        <v>1000</v>
      </c>
      <c r="BA55" s="10">
        <f>IF($G55=BA$5,1000,IF(BA$4=0,1000,SQRT((VLOOKUP($G55,Coords[],3,FALSE)-VLOOKUP(BA$5,Coords[],3,FALSE))^2+(VLOOKUP($G55,Coords[],4,FALSE)-VLOOKUP(BA$5,Coords[],4,FALSE))^2)))</f>
        <v>1000</v>
      </c>
      <c r="BB55" s="10">
        <f>IF($G55=BB$5,1000,IF(BB$4=0,1000,SQRT((VLOOKUP($G55,Coords[],3,FALSE)-VLOOKUP(BB$5,Coords[],3,FALSE))^2+(VLOOKUP($G55,Coords[],4,FALSE)-VLOOKUP(BB$5,Coords[],4,FALSE))^2)))</f>
        <v>1000</v>
      </c>
      <c r="BC55" s="10">
        <f>IF($G55=BC$5,1000,IF(BC$4=0,1000,SQRT((VLOOKUP($G55,Coords[],3,FALSE)-VLOOKUP(BC$5,Coords[],3,FALSE))^2+(VLOOKUP($G55,Coords[],4,FALSE)-VLOOKUP(BC$5,Coords[],4,FALSE))^2)))</f>
        <v>1000</v>
      </c>
      <c r="BD55" s="10">
        <f>IF($G55=BD$5,1000,IF(BD$4=0,1000,SQRT((VLOOKUP($G55,Coords[],3,FALSE)-VLOOKUP(BD$5,Coords[],3,FALSE))^2+(VLOOKUP($G55,Coords[],4,FALSE)-VLOOKUP(BD$5,Coords[],4,FALSE))^2)))</f>
        <v>1000</v>
      </c>
      <c r="BE55" s="10">
        <f>IF($G55=BE$5,1000,IF(BE$4=0,1000,SQRT((VLOOKUP($G55,Coords[],3,FALSE)-VLOOKUP(BE$5,Coords[],3,FALSE))^2+(VLOOKUP($G55,Coords[],4,FALSE)-VLOOKUP(BE$5,Coords[],4,FALSE))^2)))</f>
        <v>1000</v>
      </c>
      <c r="BF55" s="10">
        <f>IF($G55=BF$5,1000,IF(BF$4=0,1000,SQRT((VLOOKUP($G55,Coords[],3,FALSE)-VLOOKUP(BF$5,Coords[],3,FALSE))^2+(VLOOKUP($G55,Coords[],4,FALSE)-VLOOKUP(BF$5,Coords[],4,FALSE))^2)))</f>
        <v>1000</v>
      </c>
      <c r="BG55" s="4">
        <v>50</v>
      </c>
      <c r="BI55" s="5">
        <f>IF(E55=1,0,VLOOKUP($G55,$G$6:$BF$57,HLOOKUP(MIN(H55:BF55),$H55:$BF$57,((COUNT($G$6:$G$56)+2)-$G55),FALSE),FALSE)*B55)</f>
        <v>156.52475842498529</v>
      </c>
      <c r="BJ55" s="9">
        <f>VLOOKUP($G55,$G$6:$BF$57,HLOOKUP(MIN(H55:BF55),$H55:$BF$57,((COUNT($G$6:$G$56)+2)-$G55),FALSE),FALSE)</f>
        <v>11.180339887498949</v>
      </c>
      <c r="BK55" s="7">
        <f>HLOOKUP(MIN(H55:BF55),$H55:$BF$57,((COUNT($G$6:$G$56)+2)-$G55),FALSE)</f>
        <v>30</v>
      </c>
      <c r="BL55">
        <f>BJ55*Coords[[#This Row],[Demand]]</f>
        <v>156.52475842498529</v>
      </c>
      <c r="BN55">
        <v>50</v>
      </c>
      <c r="BO55">
        <v>7721.6563986239207</v>
      </c>
      <c r="BP55">
        <v>8682.3058725478932</v>
      </c>
    </row>
    <row r="56" spans="1:68" x14ac:dyDescent="0.25">
      <c r="A56" s="8">
        <v>51</v>
      </c>
      <c r="B56" s="3">
        <v>2</v>
      </c>
      <c r="C56" s="3">
        <v>30</v>
      </c>
      <c r="D56" s="3">
        <v>40</v>
      </c>
      <c r="E56">
        <v>0</v>
      </c>
      <c r="G56" s="4">
        <v>51</v>
      </c>
      <c r="H56" s="10">
        <f>IF($G56=H$5,1000,IF(H$4=0,1000,SQRT((VLOOKUP($G56,Coords[],3,FALSE)-VLOOKUP(H$5,Coords[],3,FALSE))^2+(VLOOKUP($G56,Coords[],4,FALSE)-VLOOKUP(H$5,Coords[],4,FALSE))^2)))</f>
        <v>1000</v>
      </c>
      <c r="I56" s="10">
        <f>IF($G56=I$5,1000,IF(I$4=0,1000,SQRT((VLOOKUP($G56,Coords[],3,FALSE)-VLOOKUP(I$5,Coords[],3,FALSE))^2+(VLOOKUP($G56,Coords[],4,FALSE)-VLOOKUP(I$5,Coords[],4,FALSE))^2)))</f>
        <v>1000</v>
      </c>
      <c r="J56" s="10">
        <f>IF($G56=J$5,1000,IF(J$4=0,1000,SQRT((VLOOKUP($G56,Coords[],3,FALSE)-VLOOKUP(J$5,Coords[],3,FALSE))^2+(VLOOKUP($G56,Coords[],4,FALSE)-VLOOKUP(J$5,Coords[],4,FALSE))^2)))</f>
        <v>1000</v>
      </c>
      <c r="K56" s="10">
        <f>IF($G56=K$5,1000,IF(K$4=0,1000,SQRT((VLOOKUP($G56,Coords[],3,FALSE)-VLOOKUP(K$5,Coords[],3,FALSE))^2+(VLOOKUP($G56,Coords[],4,FALSE)-VLOOKUP(K$5,Coords[],4,FALSE))^2)))</f>
        <v>1000</v>
      </c>
      <c r="L56" s="10">
        <f>IF($G56=L$5,1000,IF(L$4=0,1000,SQRT((VLOOKUP($G56,Coords[],3,FALSE)-VLOOKUP(L$5,Coords[],3,FALSE))^2+(VLOOKUP($G56,Coords[],4,FALSE)-VLOOKUP(L$5,Coords[],4,FALSE))^2)))</f>
        <v>1000</v>
      </c>
      <c r="M56" s="10">
        <f>IF($G56=M$5,1000,IF(M$4=0,1000,SQRT((VLOOKUP($G56,Coords[],3,FALSE)-VLOOKUP(M$5,Coords[],3,FALSE))^2+(VLOOKUP($G56,Coords[],4,FALSE)-VLOOKUP(M$5,Coords[],4,FALSE))^2)))</f>
        <v>1000</v>
      </c>
      <c r="N56" s="10">
        <f>IF($G56=N$5,1000,IF(N$4=0,1000,SQRT((VLOOKUP($G56,Coords[],3,FALSE)-VLOOKUP(N$5,Coords[],3,FALSE))^2+(VLOOKUP($G56,Coords[],4,FALSE)-VLOOKUP(N$5,Coords[],4,FALSE))^2)))</f>
        <v>1000</v>
      </c>
      <c r="O56" s="10">
        <f>IF($G56=O$5,1000,IF(O$4=0,1000,SQRT((VLOOKUP($G56,Coords[],3,FALSE)-VLOOKUP(O$5,Coords[],3,FALSE))^2+(VLOOKUP($G56,Coords[],4,FALSE)-VLOOKUP(O$5,Coords[],4,FALSE))^2)))</f>
        <v>22.022715545545239</v>
      </c>
      <c r="P56" s="10">
        <f>IF($G56=P$5,1000,IF(P$4=0,1000,SQRT((VLOOKUP($G56,Coords[],3,FALSE)-VLOOKUP(P$5,Coords[],3,FALSE))^2+(VLOOKUP($G56,Coords[],4,FALSE)-VLOOKUP(P$5,Coords[],4,FALSE))^2)))</f>
        <v>1000</v>
      </c>
      <c r="Q56" s="10">
        <f>IF($G56=Q$5,1000,IF(Q$4=0,1000,SQRT((VLOOKUP($G56,Coords[],3,FALSE)-VLOOKUP(Q$5,Coords[],3,FALSE))^2+(VLOOKUP($G56,Coords[],4,FALSE)-VLOOKUP(Q$5,Coords[],4,FALSE))^2)))</f>
        <v>1000</v>
      </c>
      <c r="R56" s="10">
        <f>IF($G56=R$5,1000,IF(R$4=0,1000,SQRT((VLOOKUP($G56,Coords[],3,FALSE)-VLOOKUP(R$5,Coords[],3,FALSE))^2+(VLOOKUP($G56,Coords[],4,FALSE)-VLOOKUP(R$5,Coords[],4,FALSE))^2)))</f>
        <v>1000</v>
      </c>
      <c r="S56" s="10">
        <f>IF($G56=S$5,1000,IF(S$4=0,1000,SQRT((VLOOKUP($G56,Coords[],3,FALSE)-VLOOKUP(S$5,Coords[],3,FALSE))^2+(VLOOKUP($G56,Coords[],4,FALSE)-VLOOKUP(S$5,Coords[],4,FALSE))^2)))</f>
        <v>1000</v>
      </c>
      <c r="T56" s="10">
        <f>IF($G56=T$5,1000,IF(T$4=0,1000,SQRT((VLOOKUP($G56,Coords[],3,FALSE)-VLOOKUP(T$5,Coords[],3,FALSE))^2+(VLOOKUP($G56,Coords[],4,FALSE)-VLOOKUP(T$5,Coords[],4,FALSE))^2)))</f>
        <v>1000</v>
      </c>
      <c r="U56" s="10">
        <f>IF($G56=U$5,1000,IF(U$4=0,1000,SQRT((VLOOKUP($G56,Coords[],3,FALSE)-VLOOKUP(U$5,Coords[],3,FALSE))^2+(VLOOKUP($G56,Coords[],4,FALSE)-VLOOKUP(U$5,Coords[],4,FALSE))^2)))</f>
        <v>1000</v>
      </c>
      <c r="V56" s="10">
        <f>IF($G56=V$5,1000,IF(V$4=0,1000,SQRT((VLOOKUP($G56,Coords[],3,FALSE)-VLOOKUP(V$5,Coords[],3,FALSE))^2+(VLOOKUP($G56,Coords[],4,FALSE)-VLOOKUP(V$5,Coords[],4,FALSE))^2)))</f>
        <v>1000</v>
      </c>
      <c r="W56" s="10">
        <f>IF($G56=W$5,1000,IF(W$4=0,1000,SQRT((VLOOKUP($G56,Coords[],3,FALSE)-VLOOKUP(W$5,Coords[],3,FALSE))^2+(VLOOKUP($G56,Coords[],4,FALSE)-VLOOKUP(W$5,Coords[],4,FALSE))^2)))</f>
        <v>1000</v>
      </c>
      <c r="X56" s="10">
        <f>IF($G56=X$5,1000,IF(X$4=0,1000,SQRT((VLOOKUP($G56,Coords[],3,FALSE)-VLOOKUP(X$5,Coords[],3,FALSE))^2+(VLOOKUP($G56,Coords[],4,FALSE)-VLOOKUP(X$5,Coords[],4,FALSE))^2)))</f>
        <v>1000</v>
      </c>
      <c r="Y56" s="10">
        <f>IF($G56=Y$5,1000,IF(Y$4=0,1000,SQRT((VLOOKUP($G56,Coords[],3,FALSE)-VLOOKUP(Y$5,Coords[],3,FALSE))^2+(VLOOKUP($G56,Coords[],4,FALSE)-VLOOKUP(Y$5,Coords[],4,FALSE))^2)))</f>
        <v>1000</v>
      </c>
      <c r="Z56" s="10">
        <f>IF($G56=Z$5,1000,IF(Z$4=0,1000,SQRT((VLOOKUP($G56,Coords[],3,FALSE)-VLOOKUP(Z$5,Coords[],3,FALSE))^2+(VLOOKUP($G56,Coords[],4,FALSE)-VLOOKUP(Z$5,Coords[],4,FALSE))^2)))</f>
        <v>1000</v>
      </c>
      <c r="AA56" s="10">
        <f>IF($G56=AA$5,1000,IF(AA$4=0,1000,SQRT((VLOOKUP($G56,Coords[],3,FALSE)-VLOOKUP(AA$5,Coords[],3,FALSE))^2+(VLOOKUP($G56,Coords[],4,FALSE)-VLOOKUP(AA$5,Coords[],4,FALSE))^2)))</f>
        <v>32.449961479175904</v>
      </c>
      <c r="AB56" s="10">
        <f>IF($G56=AB$5,1000,IF(AB$4=0,1000,SQRT((VLOOKUP($G56,Coords[],3,FALSE)-VLOOKUP(AB$5,Coords[],3,FALSE))^2+(VLOOKUP($G56,Coords[],4,FALSE)-VLOOKUP(AB$5,Coords[],4,FALSE))^2)))</f>
        <v>1000</v>
      </c>
      <c r="AC56" s="10">
        <f>IF($G56=AC$5,1000,IF(AC$4=0,1000,SQRT((VLOOKUP($G56,Coords[],3,FALSE)-VLOOKUP(AC$5,Coords[],3,FALSE))^2+(VLOOKUP($G56,Coords[],4,FALSE)-VLOOKUP(AC$5,Coords[],4,FALSE))^2)))</f>
        <v>1000</v>
      </c>
      <c r="AD56" s="10">
        <f>IF($G56=AD$5,1000,IF(AD$4=0,1000,SQRT((VLOOKUP($G56,Coords[],3,FALSE)-VLOOKUP(AD$5,Coords[],3,FALSE))^2+(VLOOKUP($G56,Coords[],4,FALSE)-VLOOKUP(AD$5,Coords[],4,FALSE))^2)))</f>
        <v>1000</v>
      </c>
      <c r="AE56" s="10">
        <f>IF($G56=AE$5,1000,IF(AE$4=0,1000,SQRT((VLOOKUP($G56,Coords[],3,FALSE)-VLOOKUP(AE$5,Coords[],3,FALSE))^2+(VLOOKUP($G56,Coords[],4,FALSE)-VLOOKUP(AE$5,Coords[],4,FALSE))^2)))</f>
        <v>1000</v>
      </c>
      <c r="AF56" s="10">
        <f>IF($G56=AF$5,1000,IF(AF$4=0,1000,SQRT((VLOOKUP($G56,Coords[],3,FALSE)-VLOOKUP(AF$5,Coords[],3,FALSE))^2+(VLOOKUP($G56,Coords[],4,FALSE)-VLOOKUP(AF$5,Coords[],4,FALSE))^2)))</f>
        <v>1000</v>
      </c>
      <c r="AG56" s="10">
        <f>IF($G56=AG$5,1000,IF(AG$4=0,1000,SQRT((VLOOKUP($G56,Coords[],3,FALSE)-VLOOKUP(AG$5,Coords[],3,FALSE))^2+(VLOOKUP($G56,Coords[],4,FALSE)-VLOOKUP(AG$5,Coords[],4,FALSE))^2)))</f>
        <v>1000</v>
      </c>
      <c r="AH56" s="10">
        <f>IF($G56=AH$5,1000,IF(AH$4=0,1000,SQRT((VLOOKUP($G56,Coords[],3,FALSE)-VLOOKUP(AH$5,Coords[],3,FALSE))^2+(VLOOKUP($G56,Coords[],4,FALSE)-VLOOKUP(AH$5,Coords[],4,FALSE))^2)))</f>
        <v>1000</v>
      </c>
      <c r="AI56" s="10">
        <f>IF($G56=AI$5,1000,IF(AI$4=0,1000,SQRT((VLOOKUP($G56,Coords[],3,FALSE)-VLOOKUP(AI$5,Coords[],3,FALSE))^2+(VLOOKUP($G56,Coords[],4,FALSE)-VLOOKUP(AI$5,Coords[],4,FALSE))^2)))</f>
        <v>1000</v>
      </c>
      <c r="AJ56" s="10">
        <f>IF($G56=AJ$5,1000,IF(AJ$4=0,1000,SQRT((VLOOKUP($G56,Coords[],3,FALSE)-VLOOKUP(AJ$5,Coords[],3,FALSE))^2+(VLOOKUP($G56,Coords[],4,FALSE)-VLOOKUP(AJ$5,Coords[],4,FALSE))^2)))</f>
        <v>29.120439557122072</v>
      </c>
      <c r="AK56" s="10">
        <f>IF($G56=AK$5,1000,IF(AK$4=0,1000,SQRT((VLOOKUP($G56,Coords[],3,FALSE)-VLOOKUP(AK$5,Coords[],3,FALSE))^2+(VLOOKUP($G56,Coords[],4,FALSE)-VLOOKUP(AK$5,Coords[],4,FALSE))^2)))</f>
        <v>1000</v>
      </c>
      <c r="AL56" s="10">
        <f>IF($G56=AL$5,1000,IF(AL$4=0,1000,SQRT((VLOOKUP($G56,Coords[],3,FALSE)-VLOOKUP(AL$5,Coords[],3,FALSE))^2+(VLOOKUP($G56,Coords[],4,FALSE)-VLOOKUP(AL$5,Coords[],4,FALSE))^2)))</f>
        <v>1000</v>
      </c>
      <c r="AM56" s="10">
        <f>IF($G56=AM$5,1000,IF(AM$4=0,1000,SQRT((VLOOKUP($G56,Coords[],3,FALSE)-VLOOKUP(AM$5,Coords[],3,FALSE))^2+(VLOOKUP($G56,Coords[],4,FALSE)-VLOOKUP(AM$5,Coords[],4,FALSE))^2)))</f>
        <v>10</v>
      </c>
      <c r="AN56" s="10">
        <f>IF($G56=AN$5,1000,IF(AN$4=0,1000,SQRT((VLOOKUP($G56,Coords[],3,FALSE)-VLOOKUP(AN$5,Coords[],3,FALSE))^2+(VLOOKUP($G56,Coords[],4,FALSE)-VLOOKUP(AN$5,Coords[],4,FALSE))^2)))</f>
        <v>1000</v>
      </c>
      <c r="AO56" s="10">
        <f>IF($G56=AO$5,1000,IF(AO$4=0,1000,SQRT((VLOOKUP($G56,Coords[],3,FALSE)-VLOOKUP(AO$5,Coords[],3,FALSE))^2+(VLOOKUP($G56,Coords[],4,FALSE)-VLOOKUP(AO$5,Coords[],4,FALSE))^2)))</f>
        <v>1000</v>
      </c>
      <c r="AP56" s="10">
        <f>IF($G56=AP$5,1000,IF(AP$4=0,1000,SQRT((VLOOKUP($G56,Coords[],3,FALSE)-VLOOKUP(AP$5,Coords[],3,FALSE))^2+(VLOOKUP($G56,Coords[],4,FALSE)-VLOOKUP(AP$5,Coords[],4,FALSE))^2)))</f>
        <v>1000</v>
      </c>
      <c r="AQ56" s="10">
        <f>IF($G56=AQ$5,1000,IF(AQ$4=0,1000,SQRT((VLOOKUP($G56,Coords[],3,FALSE)-VLOOKUP(AQ$5,Coords[],3,FALSE))^2+(VLOOKUP($G56,Coords[],4,FALSE)-VLOOKUP(AQ$5,Coords[],4,FALSE))^2)))</f>
        <v>1000</v>
      </c>
      <c r="AR56" s="10">
        <f>IF($G56=AR$5,1000,IF(AR$4=0,1000,SQRT((VLOOKUP($G56,Coords[],3,FALSE)-VLOOKUP(AR$5,Coords[],3,FALSE))^2+(VLOOKUP($G56,Coords[],4,FALSE)-VLOOKUP(AR$5,Coords[],4,FALSE))^2)))</f>
        <v>1000</v>
      </c>
      <c r="AS56" s="10">
        <f>IF($G56=AS$5,1000,IF(AS$4=0,1000,SQRT((VLOOKUP($G56,Coords[],3,FALSE)-VLOOKUP(AS$5,Coords[],3,FALSE))^2+(VLOOKUP($G56,Coords[],4,FALSE)-VLOOKUP(AS$5,Coords[],4,FALSE))^2)))</f>
        <v>1000</v>
      </c>
      <c r="AT56" s="10">
        <f>IF($G56=AT$5,1000,IF(AT$4=0,1000,SQRT((VLOOKUP($G56,Coords[],3,FALSE)-VLOOKUP(AT$5,Coords[],3,FALSE))^2+(VLOOKUP($G56,Coords[],4,FALSE)-VLOOKUP(AT$5,Coords[],4,FALSE))^2)))</f>
        <v>1000</v>
      </c>
      <c r="AU56" s="10">
        <f>IF($G56=AU$5,1000,IF(AU$4=0,1000,SQRT((VLOOKUP($G56,Coords[],3,FALSE)-VLOOKUP(AU$5,Coords[],3,FALSE))^2+(VLOOKUP($G56,Coords[],4,FALSE)-VLOOKUP(AU$5,Coords[],4,FALSE))^2)))</f>
        <v>1000</v>
      </c>
      <c r="AV56" s="10">
        <f>IF($G56=AV$5,1000,IF(AV$4=0,1000,SQRT((VLOOKUP($G56,Coords[],3,FALSE)-VLOOKUP(AV$5,Coords[],3,FALSE))^2+(VLOOKUP($G56,Coords[],4,FALSE)-VLOOKUP(AV$5,Coords[],4,FALSE))^2)))</f>
        <v>1000</v>
      </c>
      <c r="AW56" s="10">
        <f>IF($G56=AW$5,1000,IF(AW$4=0,1000,SQRT((VLOOKUP($G56,Coords[],3,FALSE)-VLOOKUP(AW$5,Coords[],3,FALSE))^2+(VLOOKUP($G56,Coords[],4,FALSE)-VLOOKUP(AW$5,Coords[],4,FALSE))^2)))</f>
        <v>1000</v>
      </c>
      <c r="AX56" s="10">
        <f>IF($G56=AX$5,1000,IF(AX$4=0,1000,SQRT((VLOOKUP($G56,Coords[],3,FALSE)-VLOOKUP(AX$5,Coords[],3,FALSE))^2+(VLOOKUP($G56,Coords[],4,FALSE)-VLOOKUP(AX$5,Coords[],4,FALSE))^2)))</f>
        <v>1000</v>
      </c>
      <c r="AY56" s="10">
        <f>IF($G56=AY$5,1000,IF(AY$4=0,1000,SQRT((VLOOKUP($G56,Coords[],3,FALSE)-VLOOKUP(AY$5,Coords[],3,FALSE))^2+(VLOOKUP($G56,Coords[],4,FALSE)-VLOOKUP(AY$5,Coords[],4,FALSE))^2)))</f>
        <v>1000</v>
      </c>
      <c r="AZ56" s="10">
        <f>IF($G56=AZ$5,1000,IF(AZ$4=0,1000,SQRT((VLOOKUP($G56,Coords[],3,FALSE)-VLOOKUP(AZ$5,Coords[],3,FALSE))^2+(VLOOKUP($G56,Coords[],4,FALSE)-VLOOKUP(AZ$5,Coords[],4,FALSE))^2)))</f>
        <v>1000</v>
      </c>
      <c r="BA56" s="10">
        <f>IF($G56=BA$5,1000,IF(BA$4=0,1000,SQRT((VLOOKUP($G56,Coords[],3,FALSE)-VLOOKUP(BA$5,Coords[],3,FALSE))^2+(VLOOKUP($G56,Coords[],4,FALSE)-VLOOKUP(BA$5,Coords[],4,FALSE))^2)))</f>
        <v>1000</v>
      </c>
      <c r="BB56" s="10">
        <f>IF($G56=BB$5,1000,IF(BB$4=0,1000,SQRT((VLOOKUP($G56,Coords[],3,FALSE)-VLOOKUP(BB$5,Coords[],3,FALSE))^2+(VLOOKUP($G56,Coords[],4,FALSE)-VLOOKUP(BB$5,Coords[],4,FALSE))^2)))</f>
        <v>1000</v>
      </c>
      <c r="BC56" s="10">
        <f>IF($G56=BC$5,1000,IF(BC$4=0,1000,SQRT((VLOOKUP($G56,Coords[],3,FALSE)-VLOOKUP(BC$5,Coords[],3,FALSE))^2+(VLOOKUP($G56,Coords[],4,FALSE)-VLOOKUP(BC$5,Coords[],4,FALSE))^2)))</f>
        <v>1000</v>
      </c>
      <c r="BD56" s="10">
        <f>IF($G56=BD$5,1000,IF(BD$4=0,1000,SQRT((VLOOKUP($G56,Coords[],3,FALSE)-VLOOKUP(BD$5,Coords[],3,FALSE))^2+(VLOOKUP($G56,Coords[],4,FALSE)-VLOOKUP(BD$5,Coords[],4,FALSE))^2)))</f>
        <v>1000</v>
      </c>
      <c r="BE56" s="10">
        <f>IF($G56=BE$5,1000,IF(BE$4=0,1000,SQRT((VLOOKUP($G56,Coords[],3,FALSE)-VLOOKUP(BE$5,Coords[],3,FALSE))^2+(VLOOKUP($G56,Coords[],4,FALSE)-VLOOKUP(BE$5,Coords[],4,FALSE))^2)))</f>
        <v>1000</v>
      </c>
      <c r="BF56" s="10">
        <f>IF($G56=BF$5,1000,IF(BF$4=0,1000,SQRT((VLOOKUP($G56,Coords[],3,FALSE)-VLOOKUP(BF$5,Coords[],3,FALSE))^2+(VLOOKUP($G56,Coords[],4,FALSE)-VLOOKUP(BF$5,Coords[],4,FALSE))^2)))</f>
        <v>1000</v>
      </c>
      <c r="BG56" s="4">
        <v>51</v>
      </c>
      <c r="BI56" s="5">
        <f>IF(E56=1,0,VLOOKUP($G56,$G$6:$BF$57,HLOOKUP(MIN(H56:BF56),$H56:$BF$57,((COUNT($G$6:$G$56)+2)-$G56),FALSE),FALSE)*B56)</f>
        <v>20</v>
      </c>
      <c r="BJ56" s="9">
        <f>VLOOKUP($G56,$G$6:$BF$57,HLOOKUP(MIN(H56:BF56),$H56:$BF$57,((COUNT($G$6:$G$56)+2)-$G56),FALSE),FALSE)</f>
        <v>10</v>
      </c>
      <c r="BK56" s="7">
        <f>HLOOKUP(MIN(H56:BF56),$H56:$BF$57,((COUNT($G$6:$G$56)+2)-$G56),FALSE)</f>
        <v>33</v>
      </c>
      <c r="BL56">
        <f>BJ56*Coords[[#This Row],[Demand]]</f>
        <v>20</v>
      </c>
      <c r="BN56">
        <v>51</v>
      </c>
      <c r="BO56">
        <v>7721.6563986239207</v>
      </c>
      <c r="BP56">
        <v>8982.7275083053191</v>
      </c>
    </row>
    <row r="57" spans="1:68" ht="18.75" x14ac:dyDescent="0.25">
      <c r="H57" s="4">
        <v>1</v>
      </c>
      <c r="I57" s="4">
        <v>2</v>
      </c>
      <c r="J57" s="4">
        <v>3</v>
      </c>
      <c r="K57" s="4">
        <v>4</v>
      </c>
      <c r="L57" s="4">
        <v>5</v>
      </c>
      <c r="M57" s="4">
        <v>6</v>
      </c>
      <c r="N57" s="4">
        <v>7</v>
      </c>
      <c r="O57" s="4">
        <v>8</v>
      </c>
      <c r="P57" s="4">
        <v>9</v>
      </c>
      <c r="Q57" s="4">
        <v>10</v>
      </c>
      <c r="R57" s="4">
        <v>11</v>
      </c>
      <c r="S57" s="4">
        <v>12</v>
      </c>
      <c r="T57" s="4">
        <v>13</v>
      </c>
      <c r="U57" s="4">
        <v>14</v>
      </c>
      <c r="V57" s="4">
        <v>16</v>
      </c>
      <c r="W57" s="4">
        <v>17</v>
      </c>
      <c r="X57" s="4">
        <v>18</v>
      </c>
      <c r="Y57" s="4">
        <v>19</v>
      </c>
      <c r="Z57" s="4">
        <v>20</v>
      </c>
      <c r="AA57" s="4">
        <v>21</v>
      </c>
      <c r="AB57" s="4">
        <v>22</v>
      </c>
      <c r="AC57" s="4">
        <v>23</v>
      </c>
      <c r="AD57" s="4">
        <v>24</v>
      </c>
      <c r="AE57" s="4">
        <v>25</v>
      </c>
      <c r="AF57" s="4">
        <v>26</v>
      </c>
      <c r="AG57" s="4">
        <v>27</v>
      </c>
      <c r="AH57" s="4">
        <v>28</v>
      </c>
      <c r="AI57" s="4">
        <v>29</v>
      </c>
      <c r="AJ57" s="4">
        <v>30</v>
      </c>
      <c r="AK57" s="4">
        <v>31</v>
      </c>
      <c r="AL57" s="4">
        <v>32</v>
      </c>
      <c r="AM57" s="4">
        <v>33</v>
      </c>
      <c r="AN57" s="4">
        <v>34</v>
      </c>
      <c r="AO57" s="4">
        <v>35</v>
      </c>
      <c r="AP57" s="4">
        <v>36</v>
      </c>
      <c r="AQ57" s="4">
        <v>37</v>
      </c>
      <c r="AR57" s="4">
        <v>38</v>
      </c>
      <c r="AS57" s="4">
        <v>39</v>
      </c>
      <c r="AT57" s="4">
        <v>40</v>
      </c>
      <c r="AU57" s="4">
        <v>41</v>
      </c>
      <c r="AV57" s="4">
        <v>42</v>
      </c>
      <c r="AW57" s="4">
        <v>43</v>
      </c>
      <c r="AX57" s="4">
        <v>44</v>
      </c>
      <c r="AY57" s="4">
        <v>45</v>
      </c>
      <c r="AZ57" s="4">
        <v>46</v>
      </c>
      <c r="BA57" s="4">
        <v>47</v>
      </c>
      <c r="BB57" s="4">
        <v>48</v>
      </c>
      <c r="BC57" s="4">
        <v>49</v>
      </c>
      <c r="BD57" s="4">
        <v>50</v>
      </c>
      <c r="BE57" s="4">
        <v>51</v>
      </c>
      <c r="BF57" s="4">
        <v>52</v>
      </c>
      <c r="BI57" s="15" t="s">
        <v>3</v>
      </c>
      <c r="BJ57" s="15"/>
      <c r="BK57" s="15"/>
      <c r="BN57">
        <v>52</v>
      </c>
      <c r="BO57">
        <v>7721.6563986239207</v>
      </c>
      <c r="BP57">
        <v>501389.63860651798</v>
      </c>
    </row>
    <row r="58" spans="1:68" x14ac:dyDescent="0.25">
      <c r="BI58" s="14">
        <f>SUM(BI6:BI56)</f>
        <v>113743.39254424216</v>
      </c>
      <c r="BJ58" s="14"/>
      <c r="BK58" s="14"/>
      <c r="BN58">
        <v>53</v>
      </c>
      <c r="BO58">
        <v>7721.6563986239207</v>
      </c>
      <c r="BP58">
        <v>8723.8892129171727</v>
      </c>
    </row>
    <row r="59" spans="1:68" x14ac:dyDescent="0.25">
      <c r="BN59">
        <v>54</v>
      </c>
      <c r="BO59">
        <v>7721.6563986239207</v>
      </c>
      <c r="BP59">
        <v>8837.7367699716451</v>
      </c>
    </row>
    <row r="60" spans="1:68" x14ac:dyDescent="0.25">
      <c r="BN60">
        <v>55</v>
      </c>
      <c r="BO60">
        <v>7721.6563986239207</v>
      </c>
      <c r="BP60">
        <v>10299.70526531109</v>
      </c>
    </row>
    <row r="61" spans="1:68" x14ac:dyDescent="0.25">
      <c r="BN61">
        <v>56</v>
      </c>
      <c r="BO61">
        <v>7721.6563986239207</v>
      </c>
      <c r="BP61">
        <v>8218.9665685811487</v>
      </c>
    </row>
    <row r="62" spans="1:68" x14ac:dyDescent="0.25">
      <c r="BN62">
        <v>57</v>
      </c>
      <c r="BO62">
        <v>7721.6563986239207</v>
      </c>
      <c r="BP62">
        <v>11909.464804577779</v>
      </c>
    </row>
    <row r="63" spans="1:68" x14ac:dyDescent="0.25">
      <c r="BN63">
        <v>58</v>
      </c>
      <c r="BO63">
        <v>7721.6563986239207</v>
      </c>
      <c r="BP63">
        <v>10815.307844492376</v>
      </c>
    </row>
    <row r="64" spans="1:68" x14ac:dyDescent="0.25">
      <c r="BN64">
        <v>59</v>
      </c>
      <c r="BO64">
        <v>7721.6563986239207</v>
      </c>
      <c r="BP64">
        <v>14666.474875318347</v>
      </c>
    </row>
    <row r="65" spans="66:68" x14ac:dyDescent="0.25">
      <c r="BN65">
        <v>60</v>
      </c>
      <c r="BO65">
        <v>7721.6563986239207</v>
      </c>
      <c r="BP65">
        <v>8313.8271218248774</v>
      </c>
    </row>
    <row r="66" spans="66:68" x14ac:dyDescent="0.25">
      <c r="BN66">
        <v>61</v>
      </c>
      <c r="BO66">
        <v>7721.6563986239207</v>
      </c>
      <c r="BP66">
        <v>107070.82077775797</v>
      </c>
    </row>
    <row r="67" spans="66:68" x14ac:dyDescent="0.25">
      <c r="BN67">
        <v>62</v>
      </c>
      <c r="BO67">
        <v>7721.6563986239207</v>
      </c>
      <c r="BP67">
        <v>10743.287289061522</v>
      </c>
    </row>
    <row r="68" spans="66:68" x14ac:dyDescent="0.25">
      <c r="BN68">
        <v>63</v>
      </c>
      <c r="BO68">
        <v>7721.6563986239207</v>
      </c>
      <c r="BP68">
        <v>61417.240167599703</v>
      </c>
    </row>
    <row r="69" spans="66:68" x14ac:dyDescent="0.25">
      <c r="BN69">
        <v>64</v>
      </c>
      <c r="BO69">
        <v>7721.6563986239207</v>
      </c>
      <c r="BP69">
        <v>11539.412036134965</v>
      </c>
    </row>
    <row r="70" spans="66:68" x14ac:dyDescent="0.25">
      <c r="BN70">
        <v>65</v>
      </c>
      <c r="BO70">
        <v>7721.6563986239207</v>
      </c>
      <c r="BP70">
        <v>271181.80642709613</v>
      </c>
    </row>
    <row r="71" spans="66:68" x14ac:dyDescent="0.25">
      <c r="BN71">
        <v>66</v>
      </c>
      <c r="BO71">
        <v>7721.6563986239207</v>
      </c>
      <c r="BP71">
        <v>10365.345602447358</v>
      </c>
    </row>
    <row r="72" spans="66:68" x14ac:dyDescent="0.25">
      <c r="BN72">
        <v>67</v>
      </c>
      <c r="BO72">
        <v>7721.6563986239207</v>
      </c>
      <c r="BP72">
        <v>10360.34386798788</v>
      </c>
    </row>
    <row r="73" spans="66:68" x14ac:dyDescent="0.25">
      <c r="BN73">
        <v>68</v>
      </c>
      <c r="BO73">
        <v>7721.6563986239207</v>
      </c>
      <c r="BP73">
        <v>9899.791927310227</v>
      </c>
    </row>
    <row r="74" spans="66:68" x14ac:dyDescent="0.25">
      <c r="BN74">
        <v>69</v>
      </c>
      <c r="BO74">
        <v>7721.6563986239207</v>
      </c>
      <c r="BP74">
        <v>10282.341080690985</v>
      </c>
    </row>
    <row r="75" spans="66:68" x14ac:dyDescent="0.25">
      <c r="BN75">
        <v>70</v>
      </c>
      <c r="BO75">
        <v>7721.6563986239207</v>
      </c>
      <c r="BP75">
        <v>9051.3991666997936</v>
      </c>
    </row>
    <row r="76" spans="66:68" x14ac:dyDescent="0.25">
      <c r="BN76">
        <v>71</v>
      </c>
      <c r="BO76">
        <v>7721.6563986239207</v>
      </c>
      <c r="BP76">
        <v>8784.5510727683686</v>
      </c>
    </row>
    <row r="77" spans="66:68" x14ac:dyDescent="0.25">
      <c r="BN77">
        <v>72</v>
      </c>
      <c r="BO77">
        <v>7721.6563986239207</v>
      </c>
      <c r="BP77">
        <v>10192.307292189043</v>
      </c>
    </row>
    <row r="78" spans="66:68" x14ac:dyDescent="0.25">
      <c r="BN78">
        <v>73</v>
      </c>
      <c r="BO78">
        <v>7721.6563986239207</v>
      </c>
      <c r="BP78">
        <v>170892.78112039546</v>
      </c>
    </row>
    <row r="79" spans="66:68" x14ac:dyDescent="0.25">
      <c r="BN79">
        <v>74</v>
      </c>
      <c r="BO79">
        <v>7721.6563986239207</v>
      </c>
      <c r="BP79">
        <v>8722.801086607491</v>
      </c>
    </row>
    <row r="80" spans="66:68" x14ac:dyDescent="0.25">
      <c r="BN80">
        <v>75</v>
      </c>
      <c r="BO80">
        <v>7721.6563986239207</v>
      </c>
      <c r="BP80">
        <v>9031.4622807691539</v>
      </c>
    </row>
    <row r="81" spans="66:68" x14ac:dyDescent="0.25">
      <c r="BN81">
        <v>76</v>
      </c>
      <c r="BO81">
        <v>7721.6563986239207</v>
      </c>
      <c r="BP81">
        <v>8591.20518741243</v>
      </c>
    </row>
    <row r="82" spans="66:68" x14ac:dyDescent="0.25">
      <c r="BN82">
        <v>77</v>
      </c>
      <c r="BO82">
        <v>7721.6563986239207</v>
      </c>
      <c r="BP82">
        <v>9484.2564406655001</v>
      </c>
    </row>
    <row r="83" spans="66:68" x14ac:dyDescent="0.25">
      <c r="BN83">
        <v>78</v>
      </c>
      <c r="BO83">
        <v>7721.6563986239207</v>
      </c>
      <c r="BP83">
        <v>11142.705159700979</v>
      </c>
    </row>
    <row r="84" spans="66:68" x14ac:dyDescent="0.25">
      <c r="BN84">
        <v>79</v>
      </c>
      <c r="BO84">
        <v>7721.6563986239207</v>
      </c>
      <c r="BP84">
        <v>247114.03686337511</v>
      </c>
    </row>
    <row r="85" spans="66:68" x14ac:dyDescent="0.25">
      <c r="BN85">
        <v>80</v>
      </c>
      <c r="BO85">
        <v>7721.6563986239207</v>
      </c>
      <c r="BP85">
        <v>113743.39254424216</v>
      </c>
    </row>
  </sheetData>
  <mergeCells count="2">
    <mergeCell ref="BI58:BK58"/>
    <mergeCell ref="BI57:BK5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Start">
          <controlPr defaultSize="0" autoLine="0" r:id="rId5">
            <anchor moveWithCells="1">
              <from>
                <xdr:col>4</xdr:col>
                <xdr:colOff>133350</xdr:colOff>
                <xdr:row>0</xdr:row>
                <xdr:rowOff>133350</xdr:rowOff>
              </from>
              <to>
                <xdr:col>6</xdr:col>
                <xdr:colOff>123825</xdr:colOff>
                <xdr:row>3</xdr:row>
                <xdr:rowOff>57150</xdr:rowOff>
              </to>
            </anchor>
          </controlPr>
        </control>
      </mc:Choice>
      <mc:Fallback>
        <control shapeId="3073" r:id="rId4" name="Start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53"/>
  <sheetViews>
    <sheetView zoomScale="55" zoomScaleNormal="55" workbookViewId="0"/>
  </sheetViews>
  <sheetFormatPr defaultRowHeight="15" x14ac:dyDescent="0.25"/>
  <sheetData>
    <row r="1" spans="1:51" x14ac:dyDescent="0.25">
      <c r="A1">
        <v>22</v>
      </c>
      <c r="B1">
        <v>11</v>
      </c>
      <c r="C1">
        <v>45</v>
      </c>
      <c r="D1">
        <v>6</v>
      </c>
      <c r="E1">
        <v>24</v>
      </c>
      <c r="F1">
        <v>20</v>
      </c>
      <c r="G1">
        <v>50</v>
      </c>
      <c r="H1">
        <v>32</v>
      </c>
      <c r="I1">
        <v>48</v>
      </c>
      <c r="J1">
        <v>12</v>
      </c>
      <c r="K1">
        <v>31</v>
      </c>
      <c r="L1">
        <v>8</v>
      </c>
      <c r="M1">
        <v>37</v>
      </c>
      <c r="N1">
        <v>7</v>
      </c>
      <c r="O1">
        <v>28</v>
      </c>
      <c r="P1">
        <v>25</v>
      </c>
      <c r="Q1">
        <v>10</v>
      </c>
      <c r="R1">
        <v>34</v>
      </c>
      <c r="S1">
        <v>46</v>
      </c>
      <c r="T1">
        <v>33</v>
      </c>
      <c r="U1">
        <v>41</v>
      </c>
      <c r="V1">
        <v>17</v>
      </c>
      <c r="W1">
        <v>19</v>
      </c>
      <c r="X1">
        <v>27</v>
      </c>
      <c r="Y1">
        <v>15</v>
      </c>
      <c r="Z1">
        <v>44</v>
      </c>
      <c r="AA1">
        <v>2</v>
      </c>
      <c r="AB1">
        <v>30</v>
      </c>
      <c r="AC1">
        <v>35</v>
      </c>
      <c r="AD1">
        <v>49</v>
      </c>
      <c r="AE1">
        <v>14</v>
      </c>
      <c r="AF1">
        <v>3</v>
      </c>
      <c r="AG1">
        <v>26</v>
      </c>
      <c r="AH1">
        <v>1</v>
      </c>
      <c r="AI1">
        <v>23</v>
      </c>
      <c r="AJ1">
        <v>36</v>
      </c>
      <c r="AK1">
        <v>29</v>
      </c>
      <c r="AL1">
        <v>38</v>
      </c>
      <c r="AM1">
        <v>42</v>
      </c>
      <c r="AN1">
        <v>4</v>
      </c>
      <c r="AO1">
        <v>5</v>
      </c>
      <c r="AP1">
        <v>9</v>
      </c>
      <c r="AQ1">
        <v>16</v>
      </c>
      <c r="AR1">
        <v>47</v>
      </c>
      <c r="AS1">
        <v>21</v>
      </c>
      <c r="AT1">
        <v>43</v>
      </c>
      <c r="AU1">
        <v>13</v>
      </c>
      <c r="AV1">
        <v>40</v>
      </c>
      <c r="AW1">
        <v>51</v>
      </c>
      <c r="AX1">
        <v>39</v>
      </c>
      <c r="AY1">
        <v>18</v>
      </c>
    </row>
    <row r="2" spans="1:51" x14ac:dyDescent="0.25">
      <c r="A2">
        <v>7721.6563986239207</v>
      </c>
      <c r="B2">
        <v>7779.2126269355431</v>
      </c>
      <c r="C2">
        <v>7833.9028538806351</v>
      </c>
      <c r="D2">
        <v>7895.0916218733591</v>
      </c>
      <c r="E2">
        <v>7904.623820520058</v>
      </c>
      <c r="F2">
        <v>7932.2775371735015</v>
      </c>
      <c r="G2">
        <v>7953.3858986889727</v>
      </c>
      <c r="H2">
        <v>7961.8326228445885</v>
      </c>
      <c r="I2">
        <v>7968.306047493279</v>
      </c>
      <c r="J2">
        <v>8023.0213908373116</v>
      </c>
      <c r="K2">
        <v>8027.1329552315919</v>
      </c>
      <c r="L2">
        <v>8029.4948154860022</v>
      </c>
      <c r="M2">
        <v>8067.3344456426576</v>
      </c>
      <c r="N2">
        <v>8084.1289610446393</v>
      </c>
      <c r="O2">
        <v>8093.2354495914387</v>
      </c>
      <c r="P2">
        <v>8096.9787123005608</v>
      </c>
      <c r="Q2">
        <v>8097.0167745111294</v>
      </c>
      <c r="R2">
        <v>8113.7774664422104</v>
      </c>
      <c r="S2">
        <v>8148.8386589589745</v>
      </c>
      <c r="T2">
        <v>8171.7830709678692</v>
      </c>
      <c r="U2">
        <v>8176.0170320003299</v>
      </c>
      <c r="V2">
        <v>8186.921877922593</v>
      </c>
      <c r="W2">
        <v>8199.0087709038726</v>
      </c>
      <c r="X2">
        <v>8199.9719935377252</v>
      </c>
      <c r="Y2">
        <v>8213.6469593689872</v>
      </c>
      <c r="Z2">
        <v>8218.9665685811487</v>
      </c>
      <c r="AA2">
        <v>8227.6386432040836</v>
      </c>
      <c r="AB2">
        <v>8232.1745333003</v>
      </c>
      <c r="AC2">
        <v>8235.2706993153806</v>
      </c>
      <c r="AD2">
        <v>8237.1938712825959</v>
      </c>
      <c r="AE2">
        <v>8263.1988983281408</v>
      </c>
      <c r="AF2">
        <v>8268.2911857289637</v>
      </c>
      <c r="AG2">
        <v>8289.6586262354558</v>
      </c>
      <c r="AH2">
        <v>8313.8271218248774</v>
      </c>
      <c r="AI2">
        <v>8495.8136684337314</v>
      </c>
      <c r="AJ2">
        <v>8535.6104475231623</v>
      </c>
      <c r="AK2">
        <v>8591.20518741243</v>
      </c>
      <c r="AL2">
        <v>8617.6674416240257</v>
      </c>
      <c r="AM2">
        <v>8659.1243944762919</v>
      </c>
      <c r="AN2">
        <v>8682.3058725478932</v>
      </c>
      <c r="AO2">
        <v>8917.0028020452046</v>
      </c>
      <c r="AP2">
        <v>9035.0470858671888</v>
      </c>
      <c r="AQ2">
        <v>9051.3991666997936</v>
      </c>
      <c r="AR2">
        <v>9108.8649707090754</v>
      </c>
      <c r="AS2">
        <v>9117.5606503125982</v>
      </c>
      <c r="AT2">
        <v>9351.1034008170936</v>
      </c>
      <c r="AU2">
        <v>9543.0905693587902</v>
      </c>
      <c r="AV2">
        <v>9813.5251255262119</v>
      </c>
      <c r="AW2">
        <v>11142.705159700979</v>
      </c>
      <c r="AX2">
        <v>14531.709404756706</v>
      </c>
      <c r="AY2">
        <v>113743.39254424216</v>
      </c>
    </row>
    <row r="3" spans="1:51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</row>
    <row r="4" spans="1:51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</row>
    <row r="5" spans="1:51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</row>
    <row r="6" spans="1:51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</row>
    <row r="7" spans="1:51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</row>
    <row r="8" spans="1:51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</row>
    <row r="9" spans="1:51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</row>
    <row r="10" spans="1:51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1</v>
      </c>
    </row>
    <row r="11" spans="1:51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</row>
    <row r="12" spans="1:51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</row>
    <row r="13" spans="1:51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</row>
    <row r="14" spans="1:51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</row>
    <row r="15" spans="1:51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</row>
    <row r="16" spans="1:51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</row>
    <row r="17" spans="1:51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1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1</v>
      </c>
      <c r="AW17">
        <v>0</v>
      </c>
      <c r="AX17">
        <v>0</v>
      </c>
      <c r="AY17">
        <v>0</v>
      </c>
    </row>
    <row r="18" spans="1:51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1</v>
      </c>
      <c r="J18">
        <v>0</v>
      </c>
      <c r="K18">
        <v>0</v>
      </c>
      <c r="L18">
        <v>1</v>
      </c>
      <c r="M18">
        <v>1</v>
      </c>
      <c r="N18">
        <v>0</v>
      </c>
      <c r="O18">
        <v>0</v>
      </c>
      <c r="P18">
        <v>1</v>
      </c>
      <c r="Q18">
        <v>1</v>
      </c>
      <c r="R18">
        <v>1</v>
      </c>
      <c r="S18">
        <v>0</v>
      </c>
      <c r="T18">
        <v>1</v>
      </c>
      <c r="U18">
        <v>1</v>
      </c>
      <c r="V18">
        <v>0</v>
      </c>
      <c r="W18">
        <v>1</v>
      </c>
      <c r="X18">
        <v>0</v>
      </c>
      <c r="Y18">
        <v>1</v>
      </c>
      <c r="Z18">
        <v>0</v>
      </c>
      <c r="AA18">
        <v>1</v>
      </c>
      <c r="AB18">
        <v>0</v>
      </c>
      <c r="AC18">
        <v>0</v>
      </c>
      <c r="AD18">
        <v>0</v>
      </c>
      <c r="AE18">
        <v>0</v>
      </c>
      <c r="AF18">
        <v>1</v>
      </c>
      <c r="AG18">
        <v>0</v>
      </c>
      <c r="AH18">
        <v>1</v>
      </c>
      <c r="AI18">
        <v>0</v>
      </c>
      <c r="AJ18">
        <v>1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1</v>
      </c>
      <c r="AR18">
        <v>0</v>
      </c>
      <c r="AS18">
        <v>0</v>
      </c>
      <c r="AT18">
        <v>1</v>
      </c>
      <c r="AU18">
        <v>0</v>
      </c>
      <c r="AV18">
        <v>0</v>
      </c>
      <c r="AW18">
        <v>0</v>
      </c>
      <c r="AX18">
        <v>0</v>
      </c>
      <c r="AY18">
        <v>0</v>
      </c>
    </row>
    <row r="19" spans="1:51" x14ac:dyDescent="0.25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0</v>
      </c>
      <c r="AK19">
        <v>1</v>
      </c>
      <c r="AL19">
        <v>1</v>
      </c>
      <c r="AM19">
        <v>1</v>
      </c>
      <c r="AN19">
        <v>1</v>
      </c>
      <c r="AO19">
        <v>0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0</v>
      </c>
      <c r="AW19">
        <v>0</v>
      </c>
      <c r="AX19">
        <v>0</v>
      </c>
      <c r="AY19">
        <v>0</v>
      </c>
    </row>
    <row r="20" spans="1:51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</row>
    <row r="21" spans="1:51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1</v>
      </c>
      <c r="AY21">
        <v>0</v>
      </c>
    </row>
    <row r="22" spans="1:51" x14ac:dyDescent="0.25">
      <c r="A22">
        <v>1</v>
      </c>
      <c r="B22">
        <v>0</v>
      </c>
      <c r="C22">
        <v>0</v>
      </c>
      <c r="D22">
        <v>0</v>
      </c>
      <c r="E22">
        <v>1</v>
      </c>
      <c r="F22">
        <v>0</v>
      </c>
      <c r="G22">
        <v>1</v>
      </c>
      <c r="H22">
        <v>0</v>
      </c>
      <c r="I22">
        <v>0</v>
      </c>
      <c r="J22">
        <v>0</v>
      </c>
      <c r="K22">
        <v>1</v>
      </c>
      <c r="L22">
        <v>0</v>
      </c>
      <c r="M22">
        <v>1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  <c r="AB22">
        <v>1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1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1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1</v>
      </c>
    </row>
    <row r="23" spans="1:51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</row>
    <row r="24" spans="1:51" x14ac:dyDescent="0.25">
      <c r="A24">
        <v>0</v>
      </c>
      <c r="B24">
        <v>0</v>
      </c>
      <c r="C24">
        <v>1</v>
      </c>
      <c r="D24">
        <v>1</v>
      </c>
      <c r="E24">
        <v>0</v>
      </c>
      <c r="F24">
        <v>0</v>
      </c>
      <c r="G24">
        <v>0</v>
      </c>
      <c r="H24">
        <v>1</v>
      </c>
      <c r="I24">
        <v>1</v>
      </c>
      <c r="J24">
        <v>1</v>
      </c>
      <c r="K24">
        <v>0</v>
      </c>
      <c r="L24">
        <v>1</v>
      </c>
      <c r="M24">
        <v>0</v>
      </c>
      <c r="N24">
        <v>0</v>
      </c>
      <c r="O24">
        <v>1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1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1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1</v>
      </c>
      <c r="AX24">
        <v>0</v>
      </c>
      <c r="AY24">
        <v>0</v>
      </c>
    </row>
    <row r="25" spans="1:51" x14ac:dyDescent="0.25">
      <c r="A25">
        <v>0</v>
      </c>
      <c r="B25">
        <v>0</v>
      </c>
      <c r="C25">
        <v>1</v>
      </c>
      <c r="D25">
        <v>0</v>
      </c>
      <c r="E25">
        <v>0</v>
      </c>
      <c r="F25">
        <v>0</v>
      </c>
      <c r="G25">
        <v>0</v>
      </c>
      <c r="H25">
        <v>1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  <c r="Z25">
        <v>0</v>
      </c>
      <c r="AA25">
        <v>0</v>
      </c>
      <c r="AB25">
        <v>1</v>
      </c>
      <c r="AC25">
        <v>1</v>
      </c>
      <c r="AD25">
        <v>0</v>
      </c>
      <c r="AE25">
        <v>1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1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1</v>
      </c>
      <c r="AY25">
        <v>0</v>
      </c>
    </row>
    <row r="26" spans="1:51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1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1</v>
      </c>
      <c r="AS26">
        <v>0</v>
      </c>
      <c r="AT26">
        <v>1</v>
      </c>
      <c r="AU26">
        <v>0</v>
      </c>
      <c r="AV26">
        <v>0</v>
      </c>
      <c r="AW26">
        <v>0</v>
      </c>
      <c r="AX26">
        <v>0</v>
      </c>
      <c r="AY26">
        <v>0</v>
      </c>
    </row>
    <row r="27" spans="1:51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1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</row>
    <row r="28" spans="1:51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</v>
      </c>
      <c r="L28">
        <v>0</v>
      </c>
      <c r="M28">
        <v>0</v>
      </c>
      <c r="N28">
        <v>1</v>
      </c>
      <c r="O28">
        <v>1</v>
      </c>
      <c r="P28">
        <v>0</v>
      </c>
      <c r="Q28">
        <v>0</v>
      </c>
      <c r="R28">
        <v>1</v>
      </c>
      <c r="S28">
        <v>0</v>
      </c>
      <c r="T28">
        <v>0</v>
      </c>
      <c r="U28">
        <v>0</v>
      </c>
      <c r="V28">
        <v>0</v>
      </c>
      <c r="W28">
        <v>0</v>
      </c>
      <c r="X28">
        <v>1</v>
      </c>
      <c r="Y28">
        <v>1</v>
      </c>
      <c r="Z28">
        <v>1</v>
      </c>
      <c r="AA28">
        <v>1</v>
      </c>
      <c r="AB28">
        <v>0</v>
      </c>
      <c r="AC28">
        <v>0</v>
      </c>
      <c r="AD28">
        <v>1</v>
      </c>
      <c r="AE28">
        <v>0</v>
      </c>
      <c r="AF28">
        <v>0</v>
      </c>
      <c r="AG28">
        <v>0</v>
      </c>
      <c r="AH28">
        <v>1</v>
      </c>
      <c r="AI28">
        <v>1</v>
      </c>
      <c r="AJ28">
        <v>1</v>
      </c>
      <c r="AK28">
        <v>0</v>
      </c>
      <c r="AL28">
        <v>0</v>
      </c>
      <c r="AM28">
        <v>1</v>
      </c>
      <c r="AN28">
        <v>1</v>
      </c>
      <c r="AO28">
        <v>0</v>
      </c>
      <c r="AP28">
        <v>0</v>
      </c>
      <c r="AQ28">
        <v>0</v>
      </c>
      <c r="AR28">
        <v>0</v>
      </c>
      <c r="AS28">
        <v>1</v>
      </c>
      <c r="AT28">
        <v>0</v>
      </c>
      <c r="AU28">
        <v>1</v>
      </c>
      <c r="AV28">
        <v>0</v>
      </c>
      <c r="AW28">
        <v>0</v>
      </c>
      <c r="AX28">
        <v>1</v>
      </c>
      <c r="AY28">
        <v>0</v>
      </c>
    </row>
    <row r="29" spans="1:51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</row>
    <row r="30" spans="1:51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</row>
    <row r="31" spans="1:51" x14ac:dyDescent="0.25">
      <c r="A31">
        <v>0</v>
      </c>
      <c r="B31">
        <v>1</v>
      </c>
      <c r="C31">
        <v>0</v>
      </c>
      <c r="D31">
        <v>0</v>
      </c>
      <c r="E31">
        <v>0</v>
      </c>
      <c r="F31">
        <v>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0</v>
      </c>
      <c r="AF31">
        <v>1</v>
      </c>
      <c r="AG31">
        <v>0</v>
      </c>
      <c r="AH31">
        <v>0</v>
      </c>
      <c r="AI31">
        <v>1</v>
      </c>
      <c r="AJ31">
        <v>0</v>
      </c>
      <c r="AK31">
        <v>0</v>
      </c>
      <c r="AL31">
        <v>1</v>
      </c>
      <c r="AM31">
        <v>0</v>
      </c>
      <c r="AN31">
        <v>0</v>
      </c>
      <c r="AO31">
        <v>1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1</v>
      </c>
    </row>
    <row r="32" spans="1:51" x14ac:dyDescent="0.25">
      <c r="A32">
        <v>0</v>
      </c>
      <c r="B32">
        <v>0</v>
      </c>
      <c r="C32">
        <v>0</v>
      </c>
      <c r="D32">
        <v>0</v>
      </c>
      <c r="E32">
        <v>1</v>
      </c>
      <c r="F32">
        <v>1</v>
      </c>
      <c r="G32">
        <v>0</v>
      </c>
      <c r="H32">
        <v>1</v>
      </c>
      <c r="I32">
        <v>0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1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1</v>
      </c>
      <c r="AS32">
        <v>0</v>
      </c>
      <c r="AT32">
        <v>1</v>
      </c>
      <c r="AU32">
        <v>0</v>
      </c>
      <c r="AV32">
        <v>0</v>
      </c>
      <c r="AW32">
        <v>1</v>
      </c>
      <c r="AX32">
        <v>0</v>
      </c>
      <c r="AY32">
        <v>0</v>
      </c>
    </row>
    <row r="33" spans="1:51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1</v>
      </c>
      <c r="Q33">
        <v>0</v>
      </c>
      <c r="R33">
        <v>0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1</v>
      </c>
      <c r="AF33">
        <v>0</v>
      </c>
      <c r="AG33">
        <v>1</v>
      </c>
      <c r="AH33">
        <v>0</v>
      </c>
      <c r="AI33">
        <v>0</v>
      </c>
      <c r="AJ33">
        <v>0</v>
      </c>
      <c r="AK33">
        <v>1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1</v>
      </c>
      <c r="AW33">
        <v>0</v>
      </c>
      <c r="AX33">
        <v>0</v>
      </c>
      <c r="AY33">
        <v>0</v>
      </c>
    </row>
    <row r="34" spans="1:51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1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1</v>
      </c>
      <c r="AW34">
        <v>0</v>
      </c>
      <c r="AX34">
        <v>0</v>
      </c>
      <c r="AY34">
        <v>1</v>
      </c>
    </row>
    <row r="35" spans="1:51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</row>
    <row r="36" spans="1:51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1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</row>
    <row r="37" spans="1:51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1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1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0</v>
      </c>
      <c r="AY37">
        <v>0</v>
      </c>
    </row>
    <row r="38" spans="1:51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1</v>
      </c>
      <c r="W38">
        <v>1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</row>
    <row r="39" spans="1:51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</row>
    <row r="40" spans="1:51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0</v>
      </c>
      <c r="U40">
        <v>0</v>
      </c>
      <c r="V40">
        <v>0</v>
      </c>
      <c r="W40">
        <v>0</v>
      </c>
      <c r="X40">
        <v>1</v>
      </c>
      <c r="Y40">
        <v>0</v>
      </c>
      <c r="Z40">
        <v>0</v>
      </c>
      <c r="AA40">
        <v>0</v>
      </c>
      <c r="AB40">
        <v>1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1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</row>
    <row r="41" spans="1:51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</row>
    <row r="42" spans="1:51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1</v>
      </c>
      <c r="AY42">
        <v>0</v>
      </c>
    </row>
    <row r="43" spans="1:51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</row>
    <row r="44" spans="1:51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</row>
    <row r="47" spans="1:51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</row>
    <row r="48" spans="1:51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1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 x14ac:dyDescent="0.25">
      <c r="A50">
        <v>1</v>
      </c>
      <c r="B50">
        <v>1</v>
      </c>
      <c r="C50">
        <v>0</v>
      </c>
      <c r="D50">
        <v>1</v>
      </c>
      <c r="E50">
        <v>1</v>
      </c>
      <c r="F50">
        <v>1</v>
      </c>
      <c r="G50">
        <v>1</v>
      </c>
      <c r="H50">
        <v>0</v>
      </c>
      <c r="I50">
        <v>0</v>
      </c>
      <c r="J50">
        <v>1</v>
      </c>
      <c r="K50">
        <v>0</v>
      </c>
      <c r="L50">
        <v>1</v>
      </c>
      <c r="M50">
        <v>1</v>
      </c>
      <c r="N50">
        <v>0</v>
      </c>
      <c r="O50">
        <v>0</v>
      </c>
      <c r="P50">
        <v>0</v>
      </c>
      <c r="Q50">
        <v>1</v>
      </c>
      <c r="R50">
        <v>0</v>
      </c>
      <c r="S50">
        <v>1</v>
      </c>
      <c r="T50">
        <v>1</v>
      </c>
      <c r="U50">
        <v>1</v>
      </c>
      <c r="V50">
        <v>1</v>
      </c>
      <c r="W50">
        <v>1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1</v>
      </c>
      <c r="AG50">
        <v>1</v>
      </c>
      <c r="AH50">
        <v>0</v>
      </c>
      <c r="AI50">
        <v>1</v>
      </c>
      <c r="AJ50">
        <v>0</v>
      </c>
      <c r="AK50">
        <v>0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0</v>
      </c>
      <c r="AR50">
        <v>1</v>
      </c>
      <c r="AS50">
        <v>1</v>
      </c>
      <c r="AT50">
        <v>0</v>
      </c>
      <c r="AU50">
        <v>1</v>
      </c>
      <c r="AV50">
        <v>1</v>
      </c>
      <c r="AW50">
        <v>1</v>
      </c>
      <c r="AX50">
        <v>0</v>
      </c>
      <c r="AY50">
        <v>0</v>
      </c>
    </row>
    <row r="51" spans="1:51" x14ac:dyDescent="0.25">
      <c r="A51">
        <v>1</v>
      </c>
      <c r="B51">
        <v>1</v>
      </c>
      <c r="C51">
        <v>1</v>
      </c>
      <c r="D51">
        <v>1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1</v>
      </c>
      <c r="L51">
        <v>0</v>
      </c>
      <c r="M51">
        <v>0</v>
      </c>
      <c r="N51">
        <v>1</v>
      </c>
      <c r="O51">
        <v>1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1</v>
      </c>
      <c r="W51">
        <v>0</v>
      </c>
      <c r="X51">
        <v>0</v>
      </c>
      <c r="Y51">
        <v>0</v>
      </c>
      <c r="Z51">
        <v>1</v>
      </c>
      <c r="AA51">
        <v>0</v>
      </c>
      <c r="AB51">
        <v>0</v>
      </c>
      <c r="AC51">
        <v>1</v>
      </c>
      <c r="AD51">
        <v>0</v>
      </c>
      <c r="AE51">
        <v>1</v>
      </c>
      <c r="AF51">
        <v>0</v>
      </c>
      <c r="AG51">
        <v>1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1</v>
      </c>
      <c r="AO51">
        <v>0</v>
      </c>
      <c r="AP51">
        <v>1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Prepare Sheet</vt:lpstr>
      <vt:lpstr>Model</vt:lpstr>
      <vt:lpstr>NextGen</vt:lpstr>
      <vt:lpstr>Chart5</vt:lpstr>
      <vt:lpstr>GenerationDisplayer</vt:lpstr>
      <vt:lpstr>GenerationDisplayerBestFit</vt:lpstr>
      <vt:lpstr>GenerationDisplayerWorstFit</vt:lpstr>
      <vt:lpstr>IsOpen</vt:lpstr>
      <vt:lpstr>index</vt:lpstr>
      <vt:lpstr>Obj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MEFSTUDENT</dc:creator>
  <cp:lastModifiedBy>Poyraz</cp:lastModifiedBy>
  <dcterms:created xsi:type="dcterms:W3CDTF">2017-12-01T09:32:22Z</dcterms:created>
  <dcterms:modified xsi:type="dcterms:W3CDTF">2018-01-17T14:19:31Z</dcterms:modified>
</cp:coreProperties>
</file>