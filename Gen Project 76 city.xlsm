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EN ALTUN\Desktop\"/>
    </mc:Choice>
  </mc:AlternateContent>
  <bookViews>
    <workbookView xWindow="0" yWindow="0" windowWidth="20490" windowHeight="7530" activeTab="2"/>
  </bookViews>
  <sheets>
    <sheet name="Prepare Sheet" sheetId="2" r:id="rId1"/>
    <sheet name="Model" sheetId="1" r:id="rId2"/>
    <sheet name="NextGen" sheetId="3" r:id="rId3"/>
  </sheets>
  <functionGroups builtInGroupCount="19"/>
  <definedNames>
    <definedName name="IsOpen">Coords[[#All],[ısOPen]]</definedName>
    <definedName name="index">Coords[[#All],['#]]</definedName>
    <definedName name="Obj">Model!$CH$6:$CH$19</definedName>
    <definedName name="solver_adj" localSheetId="1" hidden="1">Model!$E$6:$E$15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Model!$E$16</definedName>
    <definedName name="solver_lhs2" localSheetId="1" hidden="1">Model!$E$6:$E$15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Model!$CH$83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5</definedName>
    <definedName name="solver_rhs1" localSheetId="1" hidden="1">5</definedName>
    <definedName name="solver_rhs2" localSheetId="1" hidden="1">binary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4" i="1" l="1"/>
  <c r="BG80" i="1" s="1"/>
  <c r="BH4" i="1"/>
  <c r="BH81" i="1" s="1"/>
  <c r="BI4" i="1"/>
  <c r="BI81" i="1" s="1"/>
  <c r="BJ4" i="1"/>
  <c r="BJ73" i="1" s="1"/>
  <c r="BK4" i="1"/>
  <c r="BK78" i="1" s="1"/>
  <c r="BL4" i="1"/>
  <c r="BL81" i="1" s="1"/>
  <c r="BM4" i="1"/>
  <c r="BM8" i="1" s="1"/>
  <c r="BN4" i="1"/>
  <c r="BN78" i="1" s="1"/>
  <c r="BO4" i="1"/>
  <c r="BO81" i="1" s="1"/>
  <c r="BP4" i="1"/>
  <c r="BP81" i="1" s="1"/>
  <c r="BQ4" i="1"/>
  <c r="BQ78" i="1" s="1"/>
  <c r="BR4" i="1"/>
  <c r="BR79" i="1" s="1"/>
  <c r="BS4" i="1"/>
  <c r="BS81" i="1" s="1"/>
  <c r="BT4" i="1"/>
  <c r="BT77" i="1" s="1"/>
  <c r="BU4" i="1"/>
  <c r="BU6" i="1" s="1"/>
  <c r="BV4" i="1"/>
  <c r="BV79" i="1" s="1"/>
  <c r="BW4" i="1"/>
  <c r="BW78" i="1" s="1"/>
  <c r="BX4" i="1"/>
  <c r="BX80" i="1" s="1"/>
  <c r="BY4" i="1"/>
  <c r="BY81" i="1" s="1"/>
  <c r="BZ4" i="1"/>
  <c r="BZ80" i="1" s="1"/>
  <c r="CA4" i="1"/>
  <c r="CA66" i="1" s="1"/>
  <c r="CB4" i="1"/>
  <c r="CB80" i="1" s="1"/>
  <c r="CC4" i="1"/>
  <c r="CC8" i="1" s="1"/>
  <c r="CD4" i="1"/>
  <c r="CD79" i="1" s="1"/>
  <c r="CE4" i="1"/>
  <c r="CE80" i="1" s="1"/>
  <c r="CE81" i="1"/>
  <c r="CD80" i="1"/>
  <c r="CC79" i="1"/>
  <c r="CB78" i="1"/>
  <c r="CA77" i="1"/>
  <c r="BZ76" i="1"/>
  <c r="BY75" i="1"/>
  <c r="BX74" i="1"/>
  <c r="BW73" i="1"/>
  <c r="BV72" i="1"/>
  <c r="BU71" i="1"/>
  <c r="BT70" i="1"/>
  <c r="BS69" i="1"/>
  <c r="BR68" i="1"/>
  <c r="BQ67" i="1"/>
  <c r="BP66" i="1"/>
  <c r="BO65" i="1"/>
  <c r="BN64" i="1"/>
  <c r="BM63" i="1"/>
  <c r="BL62" i="1"/>
  <c r="BK61" i="1"/>
  <c r="BJ60" i="1"/>
  <c r="BI59" i="1"/>
  <c r="BH58" i="1"/>
  <c r="BG57" i="1"/>
  <c r="BF56" i="1"/>
  <c r="BE55" i="1"/>
  <c r="BD54" i="1"/>
  <c r="BC53" i="1"/>
  <c r="BB52" i="1"/>
  <c r="BA51" i="1"/>
  <c r="AZ50" i="1"/>
  <c r="AY49" i="1"/>
  <c r="AX48" i="1"/>
  <c r="AW47" i="1"/>
  <c r="AV46" i="1"/>
  <c r="AU45" i="1"/>
  <c r="AT44" i="1"/>
  <c r="AS43" i="1"/>
  <c r="AR42" i="1"/>
  <c r="AQ41" i="1"/>
  <c r="AP40" i="1"/>
  <c r="AO39" i="1"/>
  <c r="AN38" i="1"/>
  <c r="AM37" i="1"/>
  <c r="AL36" i="1"/>
  <c r="AK35" i="1"/>
  <c r="AJ34" i="1"/>
  <c r="AI33" i="1"/>
  <c r="AH32" i="1"/>
  <c r="AG31" i="1"/>
  <c r="AF30" i="1"/>
  <c r="AE29" i="1"/>
  <c r="AD28" i="1"/>
  <c r="AC27" i="1"/>
  <c r="AB26" i="1"/>
  <c r="AA25" i="1"/>
  <c r="Z24" i="1"/>
  <c r="Y23" i="1"/>
  <c r="X22" i="1"/>
  <c r="W21" i="1"/>
  <c r="V20" i="1"/>
  <c r="U19" i="1"/>
  <c r="T18" i="1"/>
  <c r="S17" i="1"/>
  <c r="R16" i="1"/>
  <c r="Q15" i="1"/>
  <c r="P14" i="1"/>
  <c r="O13" i="1"/>
  <c r="N12" i="1"/>
  <c r="M11" i="1"/>
  <c r="L10" i="1"/>
  <c r="K9" i="1"/>
  <c r="J8" i="1"/>
  <c r="I7" i="1"/>
  <c r="BJ28" i="1" l="1"/>
  <c r="BG12" i="1"/>
  <c r="BJ56" i="1"/>
  <c r="BG30" i="1"/>
  <c r="BG10" i="1"/>
  <c r="BR30" i="1"/>
  <c r="BR37" i="1"/>
  <c r="BR6" i="1"/>
  <c r="BJ32" i="1"/>
  <c r="BG6" i="1"/>
  <c r="BG17" i="1"/>
  <c r="BG8" i="1"/>
  <c r="BK6" i="1"/>
  <c r="BZ13" i="1"/>
  <c r="BG15" i="1"/>
  <c r="BG13" i="1"/>
  <c r="BG21" i="1"/>
  <c r="BJ24" i="1"/>
  <c r="BJ13" i="1"/>
  <c r="BJ34" i="1"/>
  <c r="BJ22" i="1"/>
  <c r="BR27" i="1"/>
  <c r="BJ62" i="1"/>
  <c r="BR11" i="1"/>
  <c r="BJ18" i="1"/>
  <c r="BJ42" i="1"/>
  <c r="BJ49" i="1"/>
  <c r="BJ8" i="1"/>
  <c r="BZ28" i="1"/>
  <c r="BJ50" i="1"/>
  <c r="BZ32" i="1"/>
  <c r="BR20" i="1"/>
  <c r="BR15" i="1"/>
  <c r="BJ6" i="1"/>
  <c r="BR9" i="1"/>
  <c r="BJ16" i="1"/>
  <c r="BR25" i="1"/>
  <c r="BJ39" i="1"/>
  <c r="BR35" i="1"/>
  <c r="BJ68" i="1"/>
  <c r="BO11" i="1"/>
  <c r="BG39" i="1"/>
  <c r="BZ39" i="1"/>
  <c r="BR51" i="1"/>
  <c r="BS8" i="1"/>
  <c r="BO8" i="1"/>
  <c r="BO9" i="1"/>
  <c r="BG18" i="1"/>
  <c r="BO7" i="1"/>
  <c r="BO15" i="1"/>
  <c r="BO22" i="1"/>
  <c r="BW9" i="1"/>
  <c r="BG27" i="1"/>
  <c r="BO10" i="1"/>
  <c r="BO20" i="1"/>
  <c r="BG23" i="1"/>
  <c r="BZ22" i="1"/>
  <c r="BJ77" i="1"/>
  <c r="BZ24" i="1"/>
  <c r="BG28" i="1"/>
  <c r="BG31" i="1"/>
  <c r="BG35" i="1"/>
  <c r="BG9" i="1"/>
  <c r="BG11" i="1"/>
  <c r="BO13" i="1"/>
  <c r="BG16" i="1"/>
  <c r="BG19" i="1"/>
  <c r="BG20" i="1"/>
  <c r="BH7" i="1"/>
  <c r="BS16" i="1"/>
  <c r="BH9" i="1"/>
  <c r="BI8" i="1"/>
  <c r="BI26" i="1"/>
  <c r="BI7" i="1"/>
  <c r="BY8" i="1"/>
  <c r="BY6" i="1"/>
  <c r="BP9" i="1"/>
  <c r="BI6" i="1"/>
  <c r="BI10" i="1"/>
  <c r="BP8" i="1"/>
  <c r="BH13" i="1"/>
  <c r="BH6" i="1"/>
  <c r="BP7" i="1"/>
  <c r="BP6" i="1"/>
  <c r="BP15" i="1"/>
  <c r="BH8" i="1"/>
  <c r="CE8" i="1"/>
  <c r="BP10" i="1"/>
  <c r="BH15" i="1"/>
  <c r="BH12" i="1"/>
  <c r="BI18" i="1"/>
  <c r="BQ6" i="1"/>
  <c r="BQ7" i="1"/>
  <c r="BQ9" i="1"/>
  <c r="BI25" i="1"/>
  <c r="BO16" i="1"/>
  <c r="BW6" i="1"/>
  <c r="BO18" i="1"/>
  <c r="BO21" i="1"/>
  <c r="BO23" i="1"/>
  <c r="CE6" i="1"/>
  <c r="CE7" i="1"/>
  <c r="BO17" i="1"/>
  <c r="BO19" i="1"/>
  <c r="BG26" i="1"/>
  <c r="BW7" i="1"/>
  <c r="BO6" i="1"/>
  <c r="BG7" i="1"/>
  <c r="BW8" i="1"/>
  <c r="BW10" i="1"/>
  <c r="BO12" i="1"/>
  <c r="BG14" i="1"/>
  <c r="BG22" i="1"/>
  <c r="BG24" i="1"/>
  <c r="BG36" i="1"/>
  <c r="BO14" i="1"/>
  <c r="BP12" i="1"/>
  <c r="BH11" i="1"/>
  <c r="BW12" i="1"/>
  <c r="BH14" i="1"/>
  <c r="BP16" i="1"/>
  <c r="BX6" i="1"/>
  <c r="BI19" i="1"/>
  <c r="BI16" i="1"/>
  <c r="BW13" i="1"/>
  <c r="BJ47" i="1"/>
  <c r="BP11" i="1"/>
  <c r="BG41" i="1"/>
  <c r="BG47" i="1"/>
  <c r="BG25" i="1"/>
  <c r="BW11" i="1"/>
  <c r="BP13" i="1"/>
  <c r="BX10" i="1"/>
  <c r="CE9" i="1"/>
  <c r="CE10" i="1"/>
  <c r="CE11" i="1"/>
  <c r="BR66" i="1"/>
  <c r="BW15" i="1"/>
  <c r="BH18" i="1"/>
  <c r="BX7" i="1"/>
  <c r="BH10" i="1"/>
  <c r="BI9" i="1"/>
  <c r="BP14" i="1"/>
  <c r="BI27" i="1"/>
  <c r="BZ47" i="1"/>
  <c r="BR58" i="1"/>
  <c r="BX9" i="1"/>
  <c r="BX11" i="1"/>
  <c r="BX12" i="1"/>
  <c r="BI43" i="1"/>
  <c r="BW14" i="1"/>
  <c r="BH23" i="1"/>
  <c r="CE12" i="1"/>
  <c r="BP22" i="1"/>
  <c r="BH24" i="1"/>
  <c r="CE13" i="1"/>
  <c r="BH16" i="1"/>
  <c r="BH17" i="1"/>
  <c r="BX13" i="1"/>
  <c r="BH25" i="1"/>
  <c r="BP17" i="1"/>
  <c r="BH19" i="1"/>
  <c r="CE18" i="1"/>
  <c r="BH20" i="1"/>
  <c r="BH31" i="1"/>
  <c r="BX8" i="1"/>
  <c r="CE14" i="1"/>
  <c r="CE15" i="1"/>
  <c r="BX14" i="1"/>
  <c r="BW17" i="1"/>
  <c r="BP18" i="1"/>
  <c r="BP19" i="1"/>
  <c r="BH21" i="1"/>
  <c r="BX15" i="1"/>
  <c r="BX17" i="1"/>
  <c r="BW18" i="1"/>
  <c r="BX16" i="1"/>
  <c r="BX18" i="1"/>
  <c r="CE19" i="1"/>
  <c r="CE16" i="1"/>
  <c r="BW19" i="1"/>
  <c r="BW23" i="1"/>
  <c r="BR45" i="1"/>
  <c r="BJ67" i="1"/>
  <c r="BQ13" i="1"/>
  <c r="BI14" i="1"/>
  <c r="BQ20" i="1"/>
  <c r="BI22" i="1"/>
  <c r="BQ8" i="1"/>
  <c r="BY9" i="1"/>
  <c r="BQ10" i="1"/>
  <c r="BI11" i="1"/>
  <c r="BY18" i="1"/>
  <c r="BQ19" i="1"/>
  <c r="BQ25" i="1"/>
  <c r="BY10" i="1"/>
  <c r="BQ11" i="1"/>
  <c r="BI12" i="1"/>
  <c r="BY17" i="1"/>
  <c r="BQ18" i="1"/>
  <c r="BP21" i="1"/>
  <c r="BI24" i="1"/>
  <c r="BY13" i="1"/>
  <c r="BY15" i="1"/>
  <c r="BI21" i="1"/>
  <c r="BI23" i="1"/>
  <c r="BY7" i="1"/>
  <c r="BY11" i="1"/>
  <c r="BQ12" i="1"/>
  <c r="BI13" i="1"/>
  <c r="BQ14" i="1"/>
  <c r="BI15" i="1"/>
  <c r="BQ16" i="1"/>
  <c r="BI17" i="1"/>
  <c r="BI20" i="1"/>
  <c r="BY24" i="1"/>
  <c r="BI30" i="1"/>
  <c r="BQ21" i="1"/>
  <c r="BY22" i="1"/>
  <c r="BY23" i="1"/>
  <c r="BI28" i="1"/>
  <c r="BY12" i="1"/>
  <c r="BY14" i="1"/>
  <c r="BQ15" i="1"/>
  <c r="BY16" i="1"/>
  <c r="BQ17" i="1"/>
  <c r="BY19" i="1"/>
  <c r="BY21" i="1"/>
  <c r="BQ26" i="1"/>
  <c r="BQ34" i="1"/>
  <c r="BY33" i="1"/>
  <c r="BY20" i="1"/>
  <c r="BX21" i="1"/>
  <c r="BQ22" i="1"/>
  <c r="BQ23" i="1"/>
  <c r="BQ24" i="1"/>
  <c r="BQ27" i="1"/>
  <c r="BH29" i="1"/>
  <c r="BI42" i="1"/>
  <c r="BX20" i="1"/>
  <c r="BX22" i="1"/>
  <c r="BP23" i="1"/>
  <c r="BP24" i="1"/>
  <c r="BH27" i="1"/>
  <c r="BX27" i="1"/>
  <c r="BX19" i="1"/>
  <c r="BP20" i="1"/>
  <c r="BH22" i="1"/>
  <c r="BP27" i="1"/>
  <c r="BW24" i="1"/>
  <c r="BP28" i="1"/>
  <c r="BW22" i="1"/>
  <c r="BO27" i="1"/>
  <c r="BO24" i="1"/>
  <c r="BO26" i="1"/>
  <c r="BG34" i="1"/>
  <c r="CE17" i="1"/>
  <c r="BW20" i="1"/>
  <c r="BO25" i="1"/>
  <c r="CE23" i="1"/>
  <c r="BW29" i="1"/>
  <c r="CE24" i="1"/>
  <c r="BW25" i="1"/>
  <c r="BG50" i="1"/>
  <c r="BX24" i="1"/>
  <c r="BP26" i="1"/>
  <c r="BX29" i="1"/>
  <c r="BX31" i="1"/>
  <c r="BP33" i="1"/>
  <c r="BX23" i="1"/>
  <c r="BX25" i="1"/>
  <c r="BW26" i="1"/>
  <c r="BX28" i="1"/>
  <c r="CE25" i="1"/>
  <c r="BX26" i="1"/>
  <c r="BP30" i="1"/>
  <c r="BX32" i="1"/>
  <c r="BI31" i="1"/>
  <c r="BQ30" i="1"/>
  <c r="BQ29" i="1"/>
  <c r="BQ32" i="1"/>
  <c r="BY25" i="1"/>
  <c r="BI29" i="1"/>
  <c r="BQ31" i="1"/>
  <c r="BY32" i="1"/>
  <c r="BI36" i="1"/>
  <c r="BY26" i="1"/>
  <c r="BQ28" i="1"/>
  <c r="BY31" i="1"/>
  <c r="BY30" i="1"/>
  <c r="BI33" i="1"/>
  <c r="BY27" i="1"/>
  <c r="BY28" i="1"/>
  <c r="BY29" i="1"/>
  <c r="BI32" i="1"/>
  <c r="BI35" i="1"/>
  <c r="BI38" i="1"/>
  <c r="BI39" i="1"/>
  <c r="CE21" i="1"/>
  <c r="CE27" i="1"/>
  <c r="BW28" i="1"/>
  <c r="BO29" i="1"/>
  <c r="BO30" i="1"/>
  <c r="BG38" i="1"/>
  <c r="BG40" i="1"/>
  <c r="BG43" i="1"/>
  <c r="BW16" i="1"/>
  <c r="BH26" i="1"/>
  <c r="CE26" i="1"/>
  <c r="BG42" i="1"/>
  <c r="CE20" i="1"/>
  <c r="BW21" i="1"/>
  <c r="CE22" i="1"/>
  <c r="BS23" i="1"/>
  <c r="BW27" i="1"/>
  <c r="BO28" i="1"/>
  <c r="BG29" i="1"/>
  <c r="BG32" i="1"/>
  <c r="BG33" i="1"/>
  <c r="BG37" i="1"/>
  <c r="BR54" i="1"/>
  <c r="BJ71" i="1"/>
  <c r="BO38" i="1"/>
  <c r="BZ56" i="1"/>
  <c r="CE34" i="1"/>
  <c r="BZ52" i="1"/>
  <c r="BR57" i="1"/>
  <c r="BR62" i="1"/>
  <c r="BH39" i="1"/>
  <c r="BO31" i="1"/>
  <c r="BO32" i="1"/>
  <c r="BO33" i="1"/>
  <c r="BG44" i="1"/>
  <c r="BQ39" i="1"/>
  <c r="BI41" i="1"/>
  <c r="BQ33" i="1"/>
  <c r="BQ36" i="1"/>
  <c r="BY39" i="1"/>
  <c r="BY36" i="1"/>
  <c r="BI44" i="1"/>
  <c r="BI34" i="1"/>
  <c r="BY35" i="1"/>
  <c r="BI37" i="1"/>
  <c r="BQ40" i="1"/>
  <c r="BG45" i="1"/>
  <c r="BH33" i="1"/>
  <c r="BH34" i="1"/>
  <c r="BP35" i="1"/>
  <c r="BI48" i="1"/>
  <c r="BQ43" i="1"/>
  <c r="BI78" i="1"/>
  <c r="BI58" i="1"/>
  <c r="CE29" i="1"/>
  <c r="BW30" i="1"/>
  <c r="BW31" i="1"/>
  <c r="BP32" i="1"/>
  <c r="BH36" i="1"/>
  <c r="BG46" i="1"/>
  <c r="BQ37" i="1"/>
  <c r="BI40" i="1"/>
  <c r="BQ42" i="1"/>
  <c r="BY38" i="1"/>
  <c r="BQ41" i="1"/>
  <c r="BI53" i="1"/>
  <c r="BO34" i="1"/>
  <c r="BG52" i="1"/>
  <c r="BG56" i="1"/>
  <c r="BP36" i="1"/>
  <c r="BH38" i="1"/>
  <c r="CE36" i="1"/>
  <c r="BO39" i="1"/>
  <c r="BO42" i="1"/>
  <c r="CE30" i="1"/>
  <c r="BO35" i="1"/>
  <c r="BO36" i="1"/>
  <c r="BO37" i="1"/>
  <c r="BW38" i="1"/>
  <c r="CE31" i="1"/>
  <c r="BG48" i="1"/>
  <c r="CE28" i="1"/>
  <c r="BX33" i="1"/>
  <c r="BH45" i="1"/>
  <c r="BG54" i="1"/>
  <c r="BO43" i="1"/>
  <c r="CE33" i="1"/>
  <c r="BW34" i="1"/>
  <c r="BW35" i="1"/>
  <c r="BO50" i="1"/>
  <c r="BO40" i="1"/>
  <c r="BO48" i="1"/>
  <c r="BX35" i="1"/>
  <c r="BX30" i="1"/>
  <c r="BP31" i="1"/>
  <c r="BH32" i="1"/>
  <c r="BH35" i="1"/>
  <c r="CE35" i="1"/>
  <c r="BW36" i="1"/>
  <c r="BP25" i="1"/>
  <c r="BH28" i="1"/>
  <c r="BP29" i="1"/>
  <c r="BH30" i="1"/>
  <c r="CE32" i="1"/>
  <c r="BW33" i="1"/>
  <c r="BO41" i="1"/>
  <c r="BH47" i="1"/>
  <c r="BG49" i="1"/>
  <c r="BR81" i="1"/>
  <c r="BQ44" i="1"/>
  <c r="BI45" i="1"/>
  <c r="BI47" i="1"/>
  <c r="BQ51" i="1"/>
  <c r="BY37" i="1"/>
  <c r="BP42" i="1"/>
  <c r="BQ45" i="1"/>
  <c r="BI49" i="1"/>
  <c r="BY44" i="1"/>
  <c r="BP41" i="1"/>
  <c r="BP40" i="1"/>
  <c r="BX38" i="1"/>
  <c r="BK49" i="1"/>
  <c r="BP43" i="1"/>
  <c r="BK48" i="1"/>
  <c r="BW37" i="1"/>
  <c r="BW32" i="1"/>
  <c r="BX34" i="1"/>
  <c r="BW40" i="1"/>
  <c r="BH37" i="1"/>
  <c r="CE39" i="1"/>
  <c r="BX40" i="1"/>
  <c r="BP34" i="1"/>
  <c r="BP38" i="1"/>
  <c r="BH40" i="1"/>
  <c r="BH42" i="1"/>
  <c r="BH43" i="1"/>
  <c r="BH41" i="1"/>
  <c r="BX42" i="1"/>
  <c r="BP44" i="1"/>
  <c r="BX39" i="1"/>
  <c r="CA51" i="1"/>
  <c r="BX44" i="1"/>
  <c r="BY34" i="1"/>
  <c r="BQ35" i="1"/>
  <c r="BX37" i="1"/>
  <c r="BQ38" i="1"/>
  <c r="BY42" i="1"/>
  <c r="BY43" i="1"/>
  <c r="BH46" i="1"/>
  <c r="BI46" i="1"/>
  <c r="BY40" i="1"/>
  <c r="BY41" i="1"/>
  <c r="BO47" i="1"/>
  <c r="BI52" i="1"/>
  <c r="BI54" i="1"/>
  <c r="BQ56" i="1"/>
  <c r="BG59" i="1"/>
  <c r="BI79" i="1"/>
  <c r="BW42" i="1"/>
  <c r="BO44" i="1"/>
  <c r="BO46" i="1"/>
  <c r="BG51" i="1"/>
  <c r="BY52" i="1"/>
  <c r="BO54" i="1"/>
  <c r="BO45" i="1"/>
  <c r="BQ46" i="1"/>
  <c r="BI51" i="1"/>
  <c r="BG60" i="1"/>
  <c r="BG64" i="1"/>
  <c r="CE42" i="1"/>
  <c r="BW43" i="1"/>
  <c r="BG53" i="1"/>
  <c r="BG55" i="1"/>
  <c r="BG58" i="1"/>
  <c r="BG61" i="1"/>
  <c r="BY46" i="1"/>
  <c r="BY54" i="1"/>
  <c r="BY48" i="1"/>
  <c r="BI50" i="1"/>
  <c r="BQ69" i="1"/>
  <c r="BI75" i="1"/>
  <c r="BQ47" i="1"/>
  <c r="BQ52" i="1"/>
  <c r="BO53" i="1"/>
  <c r="CE37" i="1"/>
  <c r="CE40" i="1"/>
  <c r="BW41" i="1"/>
  <c r="BO49" i="1"/>
  <c r="BQ77" i="1"/>
  <c r="CE43" i="1"/>
  <c r="BX41" i="1"/>
  <c r="CE38" i="1"/>
  <c r="BW39" i="1"/>
  <c r="BO52" i="1"/>
  <c r="BP48" i="1"/>
  <c r="BO51" i="1"/>
  <c r="BG62" i="1"/>
  <c r="BX36" i="1"/>
  <c r="BP37" i="1"/>
  <c r="BP39" i="1"/>
  <c r="BW44" i="1"/>
  <c r="BP45" i="1"/>
  <c r="BX47" i="1"/>
  <c r="BH44" i="1"/>
  <c r="CE44" i="1"/>
  <c r="BH50" i="1"/>
  <c r="BY49" i="1"/>
  <c r="BI57" i="1"/>
  <c r="BI62" i="1"/>
  <c r="BY55" i="1"/>
  <c r="BQ57" i="1"/>
  <c r="BQ59" i="1"/>
  <c r="BQ60" i="1"/>
  <c r="BI63" i="1"/>
  <c r="BY51" i="1"/>
  <c r="BI56" i="1"/>
  <c r="BI60" i="1"/>
  <c r="BQ65" i="1"/>
  <c r="BY45" i="1"/>
  <c r="BY47" i="1"/>
  <c r="BQ48" i="1"/>
  <c r="BQ49" i="1"/>
  <c r="BY50" i="1"/>
  <c r="BI61" i="1"/>
  <c r="BZ60" i="1"/>
  <c r="BQ53" i="1"/>
  <c r="BQ66" i="1"/>
  <c r="BQ61" i="1"/>
  <c r="BW47" i="1"/>
  <c r="BX43" i="1"/>
  <c r="BO55" i="1"/>
  <c r="BX56" i="1"/>
  <c r="BH62" i="1"/>
  <c r="BH57" i="1"/>
  <c r="BP54" i="1"/>
  <c r="BW45" i="1"/>
  <c r="BX46" i="1"/>
  <c r="BP47" i="1"/>
  <c r="BH48" i="1"/>
  <c r="BH52" i="1"/>
  <c r="BH61" i="1"/>
  <c r="BP46" i="1"/>
  <c r="BX49" i="1"/>
  <c r="BG63" i="1"/>
  <c r="BP50" i="1"/>
  <c r="BO56" i="1"/>
  <c r="CE46" i="1"/>
  <c r="BH49" i="1"/>
  <c r="CE49" i="1"/>
  <c r="BW50" i="1"/>
  <c r="BW51" i="1"/>
  <c r="BX52" i="1"/>
  <c r="BX53" i="1"/>
  <c r="CE48" i="1"/>
  <c r="BP49" i="1"/>
  <c r="BH51" i="1"/>
  <c r="CE51" i="1"/>
  <c r="CE54" i="1"/>
  <c r="BP51" i="1"/>
  <c r="BX50" i="1"/>
  <c r="BH54" i="1"/>
  <c r="BX45" i="1"/>
  <c r="BX48" i="1"/>
  <c r="BH53" i="1"/>
  <c r="BH55" i="1"/>
  <c r="CE45" i="1"/>
  <c r="BW46" i="1"/>
  <c r="CE47" i="1"/>
  <c r="CE50" i="1"/>
  <c r="BO58" i="1"/>
  <c r="BO63" i="1"/>
  <c r="BG69" i="1"/>
  <c r="BW52" i="1"/>
  <c r="BO60" i="1"/>
  <c r="BW55" i="1"/>
  <c r="BO59" i="1"/>
  <c r="BW63" i="1"/>
  <c r="BW48" i="1"/>
  <c r="BW53" i="1"/>
  <c r="BW56" i="1"/>
  <c r="CE41" i="1"/>
  <c r="CE52" i="1"/>
  <c r="CE55" i="1"/>
  <c r="BW59" i="1"/>
  <c r="BG68" i="1"/>
  <c r="BW65" i="1"/>
  <c r="BW49" i="1"/>
  <c r="BX51" i="1"/>
  <c r="BK52" i="1"/>
  <c r="CE53" i="1"/>
  <c r="BW54" i="1"/>
  <c r="BX55" i="1"/>
  <c r="BP56" i="1"/>
  <c r="BK57" i="1"/>
  <c r="BP58" i="1"/>
  <c r="BO62" i="1"/>
  <c r="BO57" i="1"/>
  <c r="BO61" i="1"/>
  <c r="BG65" i="1"/>
  <c r="BP53" i="1"/>
  <c r="CE57" i="1"/>
  <c r="BO67" i="1"/>
  <c r="BW60" i="1"/>
  <c r="BW61" i="1"/>
  <c r="BX63" i="1"/>
  <c r="CE59" i="1"/>
  <c r="CE60" i="1"/>
  <c r="BX61" i="1"/>
  <c r="BW62" i="1"/>
  <c r="CE56" i="1"/>
  <c r="BW57" i="1"/>
  <c r="BW58" i="1"/>
  <c r="BQ50" i="1"/>
  <c r="BP52" i="1"/>
  <c r="BY53" i="1"/>
  <c r="BQ54" i="1"/>
  <c r="BI55" i="1"/>
  <c r="BH56" i="1"/>
  <c r="BP64" i="1"/>
  <c r="BQ55" i="1"/>
  <c r="CE62" i="1"/>
  <c r="BH64" i="1"/>
  <c r="BH66" i="1"/>
  <c r="BH68" i="1"/>
  <c r="BI71" i="1"/>
  <c r="BY57" i="1"/>
  <c r="BI64" i="1"/>
  <c r="BI68" i="1"/>
  <c r="BQ73" i="1"/>
  <c r="BI72" i="1"/>
  <c r="BI76" i="1"/>
  <c r="BX57" i="1"/>
  <c r="BQ58" i="1"/>
  <c r="BY59" i="1"/>
  <c r="BP62" i="1"/>
  <c r="BI65" i="1"/>
  <c r="BQ72" i="1"/>
  <c r="BX54" i="1"/>
  <c r="BP55" i="1"/>
  <c r="BY56" i="1"/>
  <c r="BP57" i="1"/>
  <c r="BH59" i="1"/>
  <c r="BH60" i="1"/>
  <c r="CE61" i="1"/>
  <c r="BQ62" i="1"/>
  <c r="BP63" i="1"/>
  <c r="BZ64" i="1"/>
  <c r="BI66" i="1"/>
  <c r="BZ67" i="1"/>
  <c r="BQ76" i="1"/>
  <c r="BI70" i="1"/>
  <c r="BI73" i="1"/>
  <c r="BP65" i="1"/>
  <c r="BI67" i="1"/>
  <c r="BQ63" i="1"/>
  <c r="BQ64" i="1"/>
  <c r="BH69" i="1"/>
  <c r="BQ71" i="1"/>
  <c r="BI74" i="1"/>
  <c r="BI77" i="1"/>
  <c r="BI80" i="1"/>
  <c r="BI69" i="1"/>
  <c r="BQ74" i="1"/>
  <c r="BG67" i="1"/>
  <c r="BG66" i="1"/>
  <c r="BQ68" i="1"/>
  <c r="BQ70" i="1"/>
  <c r="BQ75" i="1"/>
  <c r="BH67" i="1"/>
  <c r="BX60" i="1"/>
  <c r="BP61" i="1"/>
  <c r="BH65" i="1"/>
  <c r="BY62" i="1"/>
  <c r="BY64" i="1"/>
  <c r="BZ68" i="1"/>
  <c r="CE64" i="1"/>
  <c r="BP59" i="1"/>
  <c r="BH63" i="1"/>
  <c r="BX58" i="1"/>
  <c r="BX59" i="1"/>
  <c r="BP60" i="1"/>
  <c r="BY58" i="1"/>
  <c r="BG78" i="1"/>
  <c r="BR74" i="1"/>
  <c r="BY66" i="1"/>
  <c r="BR73" i="1"/>
  <c r="BX62" i="1"/>
  <c r="BX65" i="1"/>
  <c r="BP67" i="1"/>
  <c r="BZ79" i="1"/>
  <c r="BX71" i="1"/>
  <c r="BY60" i="1"/>
  <c r="BO64" i="1"/>
  <c r="BO69" i="1"/>
  <c r="CE58" i="1"/>
  <c r="BY61" i="1"/>
  <c r="BS65" i="1"/>
  <c r="BO70" i="1"/>
  <c r="BG72" i="1"/>
  <c r="BG74" i="1"/>
  <c r="BZ78" i="1"/>
  <c r="BQ80" i="1"/>
  <c r="BX66" i="1"/>
  <c r="BW66" i="1"/>
  <c r="BW64" i="1"/>
  <c r="BO66" i="1"/>
  <c r="BG77" i="1"/>
  <c r="BY63" i="1"/>
  <c r="BP70" i="1"/>
  <c r="BP68" i="1"/>
  <c r="BP73" i="1"/>
  <c r="BX67" i="1"/>
  <c r="BH75" i="1"/>
  <c r="CA74" i="1"/>
  <c r="BO71" i="1"/>
  <c r="CE72" i="1"/>
  <c r="BO74" i="1"/>
  <c r="BR77" i="1"/>
  <c r="BX68" i="1"/>
  <c r="BX69" i="1"/>
  <c r="BY65" i="1"/>
  <c r="CA69" i="1"/>
  <c r="CE67" i="1"/>
  <c r="BW69" i="1"/>
  <c r="BW70" i="1"/>
  <c r="CE68" i="1"/>
  <c r="BY70" i="1"/>
  <c r="CE63" i="1"/>
  <c r="CE66" i="1"/>
  <c r="BW67" i="1"/>
  <c r="BO68" i="1"/>
  <c r="CE69" i="1"/>
  <c r="BG71" i="1"/>
  <c r="BX64" i="1"/>
  <c r="BY69" i="1"/>
  <c r="BP69" i="1"/>
  <c r="BH72" i="1"/>
  <c r="BP71" i="1"/>
  <c r="BH74" i="1"/>
  <c r="BO76" i="1"/>
  <c r="BW72" i="1"/>
  <c r="BG75" i="1"/>
  <c r="CE65" i="1"/>
  <c r="BS66" i="1"/>
  <c r="BW68" i="1"/>
  <c r="BG70" i="1"/>
  <c r="CE70" i="1"/>
  <c r="BG73" i="1"/>
  <c r="BH71" i="1"/>
  <c r="BH80" i="1"/>
  <c r="BP78" i="1"/>
  <c r="BP77" i="1"/>
  <c r="BH70" i="1"/>
  <c r="BX72" i="1"/>
  <c r="BX76" i="1"/>
  <c r="BX77" i="1"/>
  <c r="BW75" i="1"/>
  <c r="CA68" i="1"/>
  <c r="BW71" i="1"/>
  <c r="CE73" i="1"/>
  <c r="BY74" i="1"/>
  <c r="BO72" i="1"/>
  <c r="BO73" i="1"/>
  <c r="CE74" i="1"/>
  <c r="BG76" i="1"/>
  <c r="BY67" i="1"/>
  <c r="CE71" i="1"/>
  <c r="BW74" i="1"/>
  <c r="BO75" i="1"/>
  <c r="BQ79" i="1"/>
  <c r="BP75" i="1"/>
  <c r="BP76" i="1"/>
  <c r="BP72" i="1"/>
  <c r="BX75" i="1"/>
  <c r="BH79" i="1"/>
  <c r="BP74" i="1"/>
  <c r="BX70" i="1"/>
  <c r="BX73" i="1"/>
  <c r="BH76" i="1"/>
  <c r="BH77" i="1"/>
  <c r="BH73" i="1"/>
  <c r="BH78" i="1"/>
  <c r="BP79" i="1"/>
  <c r="BX78" i="1"/>
  <c r="BY73" i="1"/>
  <c r="BY77" i="1"/>
  <c r="CD9" i="1"/>
  <c r="BN49" i="1"/>
  <c r="CD51" i="1"/>
  <c r="CD59" i="1"/>
  <c r="BV18" i="1"/>
  <c r="BY71" i="1"/>
  <c r="BN57" i="1"/>
  <c r="BV58" i="1"/>
  <c r="BV15" i="1"/>
  <c r="BN25" i="1"/>
  <c r="BV26" i="1"/>
  <c r="CD27" i="1"/>
  <c r="BV50" i="1"/>
  <c r="CD43" i="1"/>
  <c r="BV65" i="1"/>
  <c r="CD66" i="1"/>
  <c r="BY68" i="1"/>
  <c r="BY72" i="1"/>
  <c r="BN18" i="1"/>
  <c r="CD18" i="1"/>
  <c r="BN33" i="1"/>
  <c r="BV34" i="1"/>
  <c r="CD35" i="1"/>
  <c r="BN41" i="1"/>
  <c r="BV42" i="1"/>
  <c r="BY78" i="1"/>
  <c r="BZ8" i="1"/>
  <c r="BJ19" i="1"/>
  <c r="BZ19" i="1"/>
  <c r="BR21" i="1"/>
  <c r="BJ23" i="1"/>
  <c r="BR26" i="1"/>
  <c r="BJ29" i="1"/>
  <c r="BZ29" i="1"/>
  <c r="BR31" i="1"/>
  <c r="BJ33" i="1"/>
  <c r="BZ34" i="1"/>
  <c r="BR41" i="1"/>
  <c r="BJ44" i="1"/>
  <c r="BZ44" i="1"/>
  <c r="BR46" i="1"/>
  <c r="BJ48" i="1"/>
  <c r="BZ50" i="1"/>
  <c r="BJ63" i="1"/>
  <c r="BR65" i="1"/>
  <c r="BR70" i="1"/>
  <c r="BJ72" i="1"/>
  <c r="BJ7" i="1"/>
  <c r="BZ7" i="1"/>
  <c r="BR10" i="1"/>
  <c r="BJ12" i="1"/>
  <c r="BZ12" i="1"/>
  <c r="BR14" i="1"/>
  <c r="BJ17" i="1"/>
  <c r="BZ17" i="1"/>
  <c r="BZ18" i="1"/>
  <c r="BZ23" i="1"/>
  <c r="BZ33" i="1"/>
  <c r="BR36" i="1"/>
  <c r="BJ38" i="1"/>
  <c r="BZ38" i="1"/>
  <c r="BR40" i="1"/>
  <c r="BJ43" i="1"/>
  <c r="BZ43" i="1"/>
  <c r="BZ48" i="1"/>
  <c r="BZ49" i="1"/>
  <c r="BR53" i="1"/>
  <c r="BJ55" i="1"/>
  <c r="BZ55" i="1"/>
  <c r="BJ59" i="1"/>
  <c r="BZ59" i="1"/>
  <c r="BR61" i="1"/>
  <c r="BZ63" i="1"/>
  <c r="BR69" i="1"/>
  <c r="BZ72" i="1"/>
  <c r="BJ75" i="1"/>
  <c r="BZ75" i="1"/>
  <c r="BR76" i="1"/>
  <c r="BJ81" i="1"/>
  <c r="BZ6" i="1"/>
  <c r="BR8" i="1"/>
  <c r="BJ11" i="1"/>
  <c r="BZ11" i="1"/>
  <c r="BR13" i="1"/>
  <c r="BJ15" i="1"/>
  <c r="BZ16" i="1"/>
  <c r="BR24" i="1"/>
  <c r="BJ27" i="1"/>
  <c r="BZ27" i="1"/>
  <c r="BR34" i="1"/>
  <c r="BJ37" i="1"/>
  <c r="BZ37" i="1"/>
  <c r="BR39" i="1"/>
  <c r="BJ41" i="1"/>
  <c r="BZ42" i="1"/>
  <c r="BR50" i="1"/>
  <c r="BR52" i="1"/>
  <c r="BJ54" i="1"/>
  <c r="BZ54" i="1"/>
  <c r="BR56" i="1"/>
  <c r="BJ58" i="1"/>
  <c r="BR60" i="1"/>
  <c r="BZ62" i="1"/>
  <c r="BR64" i="1"/>
  <c r="BJ66" i="1"/>
  <c r="BZ71" i="1"/>
  <c r="BJ74" i="1"/>
  <c r="BZ74" i="1"/>
  <c r="BJ79" i="1"/>
  <c r="BJ80" i="1"/>
  <c r="BZ81" i="1"/>
  <c r="BJ78" i="1"/>
  <c r="BZ15" i="1"/>
  <c r="BR18" i="1"/>
  <c r="BR19" i="1"/>
  <c r="BJ21" i="1"/>
  <c r="BZ21" i="1"/>
  <c r="BR23" i="1"/>
  <c r="BJ26" i="1"/>
  <c r="BR29" i="1"/>
  <c r="BJ31" i="1"/>
  <c r="BZ31" i="1"/>
  <c r="BZ41" i="1"/>
  <c r="BR44" i="1"/>
  <c r="BJ46" i="1"/>
  <c r="BZ46" i="1"/>
  <c r="BJ57" i="1"/>
  <c r="BZ58" i="1"/>
  <c r="BJ61" i="1"/>
  <c r="BJ65" i="1"/>
  <c r="BZ66" i="1"/>
  <c r="BJ70" i="1"/>
  <c r="BR72" i="1"/>
  <c r="BR78" i="1"/>
  <c r="BR7" i="1"/>
  <c r="BJ10" i="1"/>
  <c r="BZ10" i="1"/>
  <c r="BR12" i="1"/>
  <c r="BJ14" i="1"/>
  <c r="BZ14" i="1"/>
  <c r="BR17" i="1"/>
  <c r="BJ25" i="1"/>
  <c r="BZ26" i="1"/>
  <c r="BR33" i="1"/>
  <c r="BJ36" i="1"/>
  <c r="BZ36" i="1"/>
  <c r="BR38" i="1"/>
  <c r="BJ40" i="1"/>
  <c r="BZ40" i="1"/>
  <c r="BR43" i="1"/>
  <c r="BR48" i="1"/>
  <c r="BR49" i="1"/>
  <c r="BJ53" i="1"/>
  <c r="BZ53" i="1"/>
  <c r="BR55" i="1"/>
  <c r="BR59" i="1"/>
  <c r="BZ61" i="1"/>
  <c r="BR63" i="1"/>
  <c r="BJ69" i="1"/>
  <c r="BZ70" i="1"/>
  <c r="BR75" i="1"/>
  <c r="BJ76" i="1"/>
  <c r="BZ77" i="1"/>
  <c r="BR80" i="1"/>
  <c r="BJ9" i="1"/>
  <c r="BZ9" i="1"/>
  <c r="BR16" i="1"/>
  <c r="BJ20" i="1"/>
  <c r="BZ20" i="1"/>
  <c r="BR22" i="1"/>
  <c r="BZ25" i="1"/>
  <c r="BR28" i="1"/>
  <c r="BJ30" i="1"/>
  <c r="BZ30" i="1"/>
  <c r="BR32" i="1"/>
  <c r="BJ35" i="1"/>
  <c r="BZ35" i="1"/>
  <c r="BR42" i="1"/>
  <c r="BJ45" i="1"/>
  <c r="BZ45" i="1"/>
  <c r="BR47" i="1"/>
  <c r="BJ51" i="1"/>
  <c r="BZ51" i="1"/>
  <c r="BJ52" i="1"/>
  <c r="BZ57" i="1"/>
  <c r="BJ64" i="1"/>
  <c r="BZ65" i="1"/>
  <c r="BR67" i="1"/>
  <c r="BZ69" i="1"/>
  <c r="BR71" i="1"/>
  <c r="BZ73" i="1"/>
  <c r="BY76" i="1"/>
  <c r="CD73" i="1"/>
  <c r="CA13" i="1"/>
  <c r="CA28" i="1"/>
  <c r="CA42" i="1"/>
  <c r="CA75" i="1"/>
  <c r="BS36" i="1"/>
  <c r="BK39" i="1"/>
  <c r="BS44" i="1"/>
  <c r="CA47" i="1"/>
  <c r="BK56" i="1"/>
  <c r="BS59" i="1"/>
  <c r="CA62" i="1"/>
  <c r="BS27" i="1"/>
  <c r="CA46" i="1"/>
  <c r="CA55" i="1"/>
  <c r="BS58" i="1"/>
  <c r="CA61" i="1"/>
  <c r="CA67" i="1"/>
  <c r="BK72" i="1"/>
  <c r="BK80" i="1"/>
  <c r="CA9" i="1"/>
  <c r="BK10" i="1"/>
  <c r="BS50" i="1"/>
  <c r="BK71" i="1"/>
  <c r="BK22" i="1"/>
  <c r="BK30" i="1"/>
  <c r="CA37" i="1"/>
  <c r="BK14" i="1"/>
  <c r="BS19" i="1"/>
  <c r="BK29" i="1"/>
  <c r="BS32" i="1"/>
  <c r="BK43" i="1"/>
  <c r="BK64" i="1"/>
  <c r="BS73" i="1"/>
  <c r="BU8" i="1"/>
  <c r="CE75" i="1"/>
  <c r="BW79" i="1"/>
  <c r="BO80" i="1"/>
  <c r="BX79" i="1"/>
  <c r="BP80" i="1"/>
  <c r="BX81" i="1"/>
  <c r="CE76" i="1"/>
  <c r="CB33" i="1"/>
  <c r="BW80" i="1"/>
  <c r="CB24" i="1"/>
  <c r="BL34" i="1"/>
  <c r="BT49" i="1"/>
  <c r="CA76" i="1"/>
  <c r="CA78" i="1"/>
  <c r="BY80" i="1"/>
  <c r="BQ81" i="1"/>
  <c r="BL21" i="1"/>
  <c r="BL63" i="1"/>
  <c r="BY79" i="1"/>
  <c r="BG81" i="1"/>
  <c r="BT7" i="1"/>
  <c r="CB20" i="1"/>
  <c r="CE77" i="1"/>
  <c r="BO79" i="1"/>
  <c r="BT40" i="1"/>
  <c r="BL25" i="1"/>
  <c r="BL56" i="1"/>
  <c r="BK81" i="1"/>
  <c r="BS7" i="1"/>
  <c r="CA8" i="1"/>
  <c r="BS11" i="1"/>
  <c r="CA12" i="1"/>
  <c r="BS15" i="1"/>
  <c r="CA17" i="1"/>
  <c r="CA20" i="1"/>
  <c r="BK21" i="1"/>
  <c r="CA24" i="1"/>
  <c r="BK25" i="1"/>
  <c r="BS26" i="1"/>
  <c r="CA27" i="1"/>
  <c r="BK28" i="1"/>
  <c r="BS31" i="1"/>
  <c r="CA33" i="1"/>
  <c r="BK34" i="1"/>
  <c r="BS35" i="1"/>
  <c r="CA36" i="1"/>
  <c r="BK38" i="1"/>
  <c r="BS40" i="1"/>
  <c r="CA41" i="1"/>
  <c r="BS43" i="1"/>
  <c r="CA45" i="1"/>
  <c r="BK47" i="1"/>
  <c r="BS49" i="1"/>
  <c r="CA50" i="1"/>
  <c r="BS53" i="1"/>
  <c r="CA54" i="1"/>
  <c r="BS57" i="1"/>
  <c r="CA60" i="1"/>
  <c r="BK63" i="1"/>
  <c r="BS64" i="1"/>
  <c r="CB66" i="1"/>
  <c r="BL67" i="1"/>
  <c r="BK68" i="1"/>
  <c r="BK69" i="1"/>
  <c r="BK70" i="1"/>
  <c r="BS72" i="1"/>
  <c r="BO77" i="1"/>
  <c r="BO78" i="1"/>
  <c r="BK79" i="1"/>
  <c r="BW81" i="1"/>
  <c r="BK7" i="1"/>
  <c r="BK11" i="1"/>
  <c r="BS12" i="1"/>
  <c r="BK15" i="1"/>
  <c r="BS17" i="1"/>
  <c r="BS20" i="1"/>
  <c r="CA21" i="1"/>
  <c r="BS24" i="1"/>
  <c r="BK26" i="1"/>
  <c r="BT27" i="1"/>
  <c r="CA29" i="1"/>
  <c r="BK31" i="1"/>
  <c r="BS33" i="1"/>
  <c r="BK35" i="1"/>
  <c r="BT36" i="1"/>
  <c r="CA38" i="1"/>
  <c r="BK40" i="1"/>
  <c r="BS41" i="1"/>
  <c r="CB42" i="1"/>
  <c r="BL43" i="1"/>
  <c r="BS45" i="1"/>
  <c r="CA48" i="1"/>
  <c r="BK53" i="1"/>
  <c r="BS54" i="1"/>
  <c r="BS60" i="1"/>
  <c r="BS61" i="1"/>
  <c r="BK65" i="1"/>
  <c r="CA70" i="1"/>
  <c r="BL72" i="1"/>
  <c r="CE78" i="1"/>
  <c r="CA80" i="1"/>
  <c r="BL14" i="1"/>
  <c r="CA6" i="1"/>
  <c r="BS9" i="1"/>
  <c r="CA10" i="1"/>
  <c r="BS13" i="1"/>
  <c r="CA14" i="1"/>
  <c r="CA18" i="1"/>
  <c r="BK19" i="1"/>
  <c r="CA22" i="1"/>
  <c r="BK23" i="1"/>
  <c r="CA25" i="1"/>
  <c r="CA30" i="1"/>
  <c r="BK32" i="1"/>
  <c r="CA34" i="1"/>
  <c r="BS37" i="1"/>
  <c r="CA39" i="1"/>
  <c r="BS42" i="1"/>
  <c r="BS46" i="1"/>
  <c r="BS51" i="1"/>
  <c r="CA52" i="1"/>
  <c r="BS55" i="1"/>
  <c r="CA56" i="1"/>
  <c r="BK58" i="1"/>
  <c r="BT61" i="1"/>
  <c r="CA63" i="1"/>
  <c r="BL65" i="1"/>
  <c r="CA71" i="1"/>
  <c r="BK73" i="1"/>
  <c r="BS74" i="1"/>
  <c r="BS75" i="1"/>
  <c r="BS76" i="1"/>
  <c r="BS77" i="1"/>
  <c r="BS78" i="1"/>
  <c r="BG79" i="1"/>
  <c r="CE79" i="1"/>
  <c r="CA81" i="1"/>
  <c r="BL10" i="1"/>
  <c r="CB13" i="1"/>
  <c r="BK8" i="1"/>
  <c r="CA11" i="1"/>
  <c r="BK12" i="1"/>
  <c r="BK16" i="1"/>
  <c r="BS18" i="1"/>
  <c r="BL19" i="1"/>
  <c r="CB22" i="1"/>
  <c r="BL23" i="1"/>
  <c r="BK27" i="1"/>
  <c r="BS28" i="1"/>
  <c r="CA31" i="1"/>
  <c r="BK33" i="1"/>
  <c r="CA35" i="1"/>
  <c r="BK36" i="1"/>
  <c r="BS38" i="1"/>
  <c r="BK41" i="1"/>
  <c r="CA43" i="1"/>
  <c r="BK44" i="1"/>
  <c r="BS47" i="1"/>
  <c r="BK50" i="1"/>
  <c r="CA53" i="1"/>
  <c r="BK54" i="1"/>
  <c r="CA57" i="1"/>
  <c r="BK59" i="1"/>
  <c r="BS62" i="1"/>
  <c r="CA64" i="1"/>
  <c r="BK66" i="1"/>
  <c r="BS67" i="1"/>
  <c r="BS68" i="1"/>
  <c r="BS70" i="1"/>
  <c r="BW76" i="1"/>
  <c r="BW77" i="1"/>
  <c r="BS79" i="1"/>
  <c r="BL52" i="1"/>
  <c r="CB55" i="1"/>
  <c r="CA7" i="1"/>
  <c r="CB11" i="1"/>
  <c r="BL12" i="1"/>
  <c r="CA15" i="1"/>
  <c r="BK17" i="1"/>
  <c r="BT18" i="1"/>
  <c r="BK20" i="1"/>
  <c r="BS21" i="1"/>
  <c r="BK24" i="1"/>
  <c r="CA26" i="1"/>
  <c r="BS29" i="1"/>
  <c r="CA32" i="1"/>
  <c r="BS34" i="1"/>
  <c r="BT38" i="1"/>
  <c r="CA40" i="1"/>
  <c r="BK45" i="1"/>
  <c r="BS48" i="1"/>
  <c r="CA49" i="1"/>
  <c r="CB53" i="1"/>
  <c r="BL54" i="1"/>
  <c r="CB57" i="1"/>
  <c r="BK60" i="1"/>
  <c r="BS71" i="1"/>
  <c r="CA72" i="1"/>
  <c r="CA73" i="1"/>
  <c r="BK74" i="1"/>
  <c r="BS80" i="1"/>
  <c r="CA79" i="1"/>
  <c r="BS6" i="1"/>
  <c r="BK9" i="1"/>
  <c r="BS10" i="1"/>
  <c r="BK13" i="1"/>
  <c r="BS14" i="1"/>
  <c r="CA16" i="1"/>
  <c r="BK18" i="1"/>
  <c r="CA19" i="1"/>
  <c r="BS22" i="1"/>
  <c r="CA23" i="1"/>
  <c r="BS25" i="1"/>
  <c r="BS30" i="1"/>
  <c r="BK37" i="1"/>
  <c r="BS39" i="1"/>
  <c r="BK42" i="1"/>
  <c r="CA44" i="1"/>
  <c r="BK46" i="1"/>
  <c r="BK51" i="1"/>
  <c r="BS52" i="1"/>
  <c r="BK55" i="1"/>
  <c r="BS56" i="1"/>
  <c r="CA58" i="1"/>
  <c r="CA59" i="1"/>
  <c r="BK62" i="1"/>
  <c r="BS63" i="1"/>
  <c r="CA65" i="1"/>
  <c r="BK67" i="1"/>
  <c r="CB73" i="1"/>
  <c r="BL74" i="1"/>
  <c r="BK75" i="1"/>
  <c r="BK76" i="1"/>
  <c r="BK77" i="1"/>
  <c r="BT9" i="1"/>
  <c r="CB15" i="1"/>
  <c r="BL16" i="1"/>
  <c r="CB17" i="1"/>
  <c r="BL18" i="1"/>
  <c r="BT29" i="1"/>
  <c r="BT31" i="1"/>
  <c r="CB35" i="1"/>
  <c r="BT42" i="1"/>
  <c r="CB44" i="1"/>
  <c r="BL45" i="1"/>
  <c r="CB46" i="1"/>
  <c r="BL47" i="1"/>
  <c r="CB48" i="1"/>
  <c r="BL49" i="1"/>
  <c r="BT51" i="1"/>
  <c r="BT59" i="1"/>
  <c r="CB62" i="1"/>
  <c r="CB64" i="1"/>
  <c r="BT68" i="1"/>
  <c r="BL70" i="1"/>
  <c r="CB71" i="1"/>
  <c r="BT75" i="1"/>
  <c r="BL77" i="1"/>
  <c r="BT80" i="1"/>
  <c r="CB6" i="1"/>
  <c r="BL7" i="1"/>
  <c r="BT11" i="1"/>
  <c r="BT13" i="1"/>
  <c r="BT15" i="1"/>
  <c r="BT20" i="1"/>
  <c r="BT22" i="1"/>
  <c r="BT24" i="1"/>
  <c r="CB26" i="1"/>
  <c r="BL27" i="1"/>
  <c r="BT33" i="1"/>
  <c r="BL36" i="1"/>
  <c r="CB37" i="1"/>
  <c r="BL38" i="1"/>
  <c r="CB39" i="1"/>
  <c r="BL40" i="1"/>
  <c r="BT53" i="1"/>
  <c r="BT55" i="1"/>
  <c r="BT57" i="1"/>
  <c r="BL61" i="1"/>
  <c r="BT66" i="1"/>
  <c r="CB69" i="1"/>
  <c r="BT71" i="1"/>
  <c r="BT73" i="1"/>
  <c r="CB76" i="1"/>
  <c r="BT78" i="1"/>
  <c r="CB8" i="1"/>
  <c r="BL9" i="1"/>
  <c r="BT17" i="1"/>
  <c r="BT26" i="1"/>
  <c r="CB28" i="1"/>
  <c r="BL29" i="1"/>
  <c r="CB30" i="1"/>
  <c r="BL31" i="1"/>
  <c r="CB32" i="1"/>
  <c r="BL33" i="1"/>
  <c r="BT35" i="1"/>
  <c r="CB41" i="1"/>
  <c r="BL42" i="1"/>
  <c r="BT44" i="1"/>
  <c r="BT46" i="1"/>
  <c r="BT48" i="1"/>
  <c r="CB50" i="1"/>
  <c r="BL51" i="1"/>
  <c r="BL57" i="1"/>
  <c r="BL59" i="1"/>
  <c r="CB60" i="1"/>
  <c r="BT62" i="1"/>
  <c r="BT64" i="1"/>
  <c r="BL68" i="1"/>
  <c r="BL75" i="1"/>
  <c r="CB79" i="1"/>
  <c r="BL80" i="1"/>
  <c r="CB81" i="1"/>
  <c r="BT6" i="1"/>
  <c r="BT8" i="1"/>
  <c r="CB10" i="1"/>
  <c r="BL11" i="1"/>
  <c r="CB12" i="1"/>
  <c r="BL13" i="1"/>
  <c r="CB14" i="1"/>
  <c r="BL15" i="1"/>
  <c r="CB19" i="1"/>
  <c r="BL20" i="1"/>
  <c r="CB21" i="1"/>
  <c r="BL22" i="1"/>
  <c r="CB23" i="1"/>
  <c r="BL24" i="1"/>
  <c r="BT37" i="1"/>
  <c r="BT39" i="1"/>
  <c r="CB43" i="1"/>
  <c r="BT50" i="1"/>
  <c r="CB52" i="1"/>
  <c r="BL53" i="1"/>
  <c r="CB54" i="1"/>
  <c r="BL55" i="1"/>
  <c r="CB56" i="1"/>
  <c r="CB58" i="1"/>
  <c r="BL64" i="1"/>
  <c r="BL66" i="1"/>
  <c r="CB67" i="1"/>
  <c r="BT69" i="1"/>
  <c r="BL71" i="1"/>
  <c r="BL73" i="1"/>
  <c r="CB74" i="1"/>
  <c r="BT76" i="1"/>
  <c r="BL78" i="1"/>
  <c r="CB16" i="1"/>
  <c r="BL17" i="1"/>
  <c r="CB25" i="1"/>
  <c r="BL26" i="1"/>
  <c r="BT28" i="1"/>
  <c r="BT30" i="1"/>
  <c r="BT32" i="1"/>
  <c r="CB34" i="1"/>
  <c r="BL35" i="1"/>
  <c r="BT41" i="1"/>
  <c r="BL44" i="1"/>
  <c r="CB45" i="1"/>
  <c r="BL46" i="1"/>
  <c r="CB47" i="1"/>
  <c r="BL48" i="1"/>
  <c r="BT58" i="1"/>
  <c r="BT60" i="1"/>
  <c r="CB63" i="1"/>
  <c r="CB65" i="1"/>
  <c r="CB70" i="1"/>
  <c r="CB72" i="1"/>
  <c r="CB77" i="1"/>
  <c r="BT79" i="1"/>
  <c r="BT81" i="1"/>
  <c r="BL6" i="1"/>
  <c r="CB7" i="1"/>
  <c r="BL8" i="1"/>
  <c r="BT10" i="1"/>
  <c r="BT12" i="1"/>
  <c r="BT14" i="1"/>
  <c r="BT19" i="1"/>
  <c r="BT21" i="1"/>
  <c r="BT23" i="1"/>
  <c r="CB27" i="1"/>
  <c r="BT34" i="1"/>
  <c r="CB36" i="1"/>
  <c r="BL37" i="1"/>
  <c r="CB38" i="1"/>
  <c r="BL39" i="1"/>
  <c r="CB40" i="1"/>
  <c r="BL41" i="1"/>
  <c r="BT43" i="1"/>
  <c r="CB49" i="1"/>
  <c r="BL50" i="1"/>
  <c r="BT52" i="1"/>
  <c r="BT54" i="1"/>
  <c r="BT56" i="1"/>
  <c r="CB61" i="1"/>
  <c r="BT65" i="1"/>
  <c r="BT67" i="1"/>
  <c r="BL69" i="1"/>
  <c r="BT72" i="1"/>
  <c r="BT74" i="1"/>
  <c r="BL76" i="1"/>
  <c r="CB9" i="1"/>
  <c r="BT16" i="1"/>
  <c r="CB18" i="1"/>
  <c r="BT25" i="1"/>
  <c r="BL28" i="1"/>
  <c r="CB29" i="1"/>
  <c r="BL30" i="1"/>
  <c r="CB31" i="1"/>
  <c r="BL32" i="1"/>
  <c r="BT45" i="1"/>
  <c r="BT47" i="1"/>
  <c r="CB51" i="1"/>
  <c r="BL58" i="1"/>
  <c r="CB59" i="1"/>
  <c r="BL60" i="1"/>
  <c r="BT63" i="1"/>
  <c r="CB68" i="1"/>
  <c r="CB75" i="1"/>
  <c r="BL79" i="1"/>
  <c r="BM10" i="1"/>
  <c r="BU16" i="1"/>
  <c r="CC22" i="1"/>
  <c r="CC18" i="1"/>
  <c r="CC12" i="1"/>
  <c r="CC14" i="1"/>
  <c r="CC16" i="1"/>
  <c r="CC10" i="1"/>
  <c r="CC6" i="1"/>
  <c r="BM24" i="1"/>
  <c r="BM18" i="1"/>
  <c r="BM12" i="1"/>
  <c r="BM14" i="1"/>
  <c r="BM16" i="1"/>
  <c r="BU24" i="1"/>
  <c r="BU18" i="1"/>
  <c r="BU12" i="1"/>
  <c r="BU14" i="1"/>
  <c r="BM6" i="1"/>
  <c r="BU10" i="1"/>
  <c r="BV9" i="1"/>
  <c r="BN12" i="1"/>
  <c r="BV12" i="1"/>
  <c r="CD12" i="1"/>
  <c r="BN15" i="1"/>
  <c r="CD19" i="1"/>
  <c r="CD20" i="1"/>
  <c r="BN26" i="1"/>
  <c r="BV27" i="1"/>
  <c r="CD28" i="1"/>
  <c r="BN34" i="1"/>
  <c r="BV35" i="1"/>
  <c r="CD36" i="1"/>
  <c r="BN42" i="1"/>
  <c r="BV43" i="1"/>
  <c r="CD44" i="1"/>
  <c r="BN50" i="1"/>
  <c r="BV51" i="1"/>
  <c r="CD52" i="1"/>
  <c r="BN58" i="1"/>
  <c r="BV59" i="1"/>
  <c r="CD60" i="1"/>
  <c r="BN65" i="1"/>
  <c r="BV66" i="1"/>
  <c r="CD67" i="1"/>
  <c r="BN72" i="1"/>
  <c r="BV73" i="1"/>
  <c r="CD74" i="1"/>
  <c r="BV80" i="1"/>
  <c r="CD81" i="1"/>
  <c r="BN6" i="1"/>
  <c r="BV6" i="1"/>
  <c r="CD6" i="1"/>
  <c r="BN9" i="1"/>
  <c r="CD13" i="1"/>
  <c r="BV19" i="1"/>
  <c r="BV20" i="1"/>
  <c r="CD21" i="1"/>
  <c r="BN27" i="1"/>
  <c r="BV28" i="1"/>
  <c r="CD29" i="1"/>
  <c r="BN35" i="1"/>
  <c r="BV36" i="1"/>
  <c r="CD37" i="1"/>
  <c r="BN43" i="1"/>
  <c r="BV44" i="1"/>
  <c r="CD45" i="1"/>
  <c r="BN51" i="1"/>
  <c r="BV52" i="1"/>
  <c r="CD53" i="1"/>
  <c r="BN59" i="1"/>
  <c r="BV60" i="1"/>
  <c r="CD61" i="1"/>
  <c r="BN66" i="1"/>
  <c r="BV67" i="1"/>
  <c r="CD68" i="1"/>
  <c r="BN73" i="1"/>
  <c r="BV74" i="1"/>
  <c r="CD75" i="1"/>
  <c r="BN80" i="1"/>
  <c r="BV81" i="1"/>
  <c r="CD7" i="1"/>
  <c r="BV13" i="1"/>
  <c r="BN16" i="1"/>
  <c r="BV16" i="1"/>
  <c r="CD16" i="1"/>
  <c r="BN19" i="1"/>
  <c r="BN20" i="1"/>
  <c r="BV21" i="1"/>
  <c r="CD22" i="1"/>
  <c r="BN28" i="1"/>
  <c r="BV29" i="1"/>
  <c r="CD30" i="1"/>
  <c r="BN36" i="1"/>
  <c r="BV37" i="1"/>
  <c r="CD38" i="1"/>
  <c r="BN44" i="1"/>
  <c r="BV45" i="1"/>
  <c r="CD46" i="1"/>
  <c r="BN52" i="1"/>
  <c r="BV53" i="1"/>
  <c r="CD54" i="1"/>
  <c r="BN60" i="1"/>
  <c r="BV61" i="1"/>
  <c r="CD62" i="1"/>
  <c r="BN67" i="1"/>
  <c r="BV68" i="1"/>
  <c r="CD69" i="1"/>
  <c r="BN74" i="1"/>
  <c r="BV75" i="1"/>
  <c r="CD76" i="1"/>
  <c r="BN81" i="1"/>
  <c r="BV7" i="1"/>
  <c r="BN10" i="1"/>
  <c r="BV10" i="1"/>
  <c r="CD10" i="1"/>
  <c r="BN13" i="1"/>
  <c r="CD17" i="1"/>
  <c r="BN21" i="1"/>
  <c r="BV22" i="1"/>
  <c r="CD23" i="1"/>
  <c r="BN29" i="1"/>
  <c r="BV30" i="1"/>
  <c r="CD31" i="1"/>
  <c r="BN37" i="1"/>
  <c r="BV38" i="1"/>
  <c r="CD39" i="1"/>
  <c r="BN45" i="1"/>
  <c r="BV46" i="1"/>
  <c r="CD47" i="1"/>
  <c r="BN53" i="1"/>
  <c r="BV54" i="1"/>
  <c r="CD55" i="1"/>
  <c r="BN61" i="1"/>
  <c r="BV62" i="1"/>
  <c r="BN68" i="1"/>
  <c r="BV69" i="1"/>
  <c r="CD70" i="1"/>
  <c r="BN75" i="1"/>
  <c r="BV76" i="1"/>
  <c r="CD77" i="1"/>
  <c r="BN7" i="1"/>
  <c r="CD11" i="1"/>
  <c r="BV17" i="1"/>
  <c r="BN22" i="1"/>
  <c r="BV23" i="1"/>
  <c r="CD24" i="1"/>
  <c r="BN30" i="1"/>
  <c r="BV31" i="1"/>
  <c r="CD32" i="1"/>
  <c r="BN38" i="1"/>
  <c r="BV39" i="1"/>
  <c r="CD40" i="1"/>
  <c r="BN46" i="1"/>
  <c r="BV47" i="1"/>
  <c r="CD48" i="1"/>
  <c r="BN54" i="1"/>
  <c r="BV55" i="1"/>
  <c r="CD56" i="1"/>
  <c r="BN62" i="1"/>
  <c r="CD63" i="1"/>
  <c r="BN69" i="1"/>
  <c r="BV70" i="1"/>
  <c r="BN76" i="1"/>
  <c r="BV77" i="1"/>
  <c r="CD78" i="1"/>
  <c r="BV11" i="1"/>
  <c r="BN14" i="1"/>
  <c r="BV14" i="1"/>
  <c r="CD14" i="1"/>
  <c r="BN17" i="1"/>
  <c r="BN23" i="1"/>
  <c r="BV24" i="1"/>
  <c r="CD25" i="1"/>
  <c r="BN31" i="1"/>
  <c r="BV32" i="1"/>
  <c r="CD33" i="1"/>
  <c r="BN39" i="1"/>
  <c r="BV40" i="1"/>
  <c r="CD41" i="1"/>
  <c r="BN47" i="1"/>
  <c r="BV48" i="1"/>
  <c r="CD49" i="1"/>
  <c r="BN55" i="1"/>
  <c r="BV56" i="1"/>
  <c r="CD57" i="1"/>
  <c r="BV63" i="1"/>
  <c r="CD64" i="1"/>
  <c r="BN70" i="1"/>
  <c r="CD71" i="1"/>
  <c r="BN77" i="1"/>
  <c r="BV78" i="1"/>
  <c r="BN79" i="1"/>
  <c r="BN8" i="1"/>
  <c r="BV8" i="1"/>
  <c r="CD8" i="1"/>
  <c r="BN11" i="1"/>
  <c r="CD15" i="1"/>
  <c r="BN24" i="1"/>
  <c r="BV25" i="1"/>
  <c r="CD26" i="1"/>
  <c r="BN32" i="1"/>
  <c r="BV33" i="1"/>
  <c r="CD34" i="1"/>
  <c r="BN40" i="1"/>
  <c r="BV41" i="1"/>
  <c r="CD42" i="1"/>
  <c r="BN48" i="1"/>
  <c r="BV49" i="1"/>
  <c r="CD50" i="1"/>
  <c r="BN56" i="1"/>
  <c r="BV57" i="1"/>
  <c r="CD58" i="1"/>
  <c r="BN63" i="1"/>
  <c r="BV64" i="1"/>
  <c r="CD65" i="1"/>
  <c r="BN71" i="1"/>
  <c r="BV71" i="1"/>
  <c r="CD72" i="1"/>
  <c r="BM20" i="1"/>
  <c r="BU20" i="1"/>
  <c r="CC20" i="1"/>
  <c r="BM22" i="1"/>
  <c r="BU22" i="1"/>
  <c r="BM80" i="1"/>
  <c r="BM78" i="1"/>
  <c r="BM76" i="1"/>
  <c r="BM74" i="1"/>
  <c r="BM72" i="1"/>
  <c r="BM70" i="1"/>
  <c r="BM68" i="1"/>
  <c r="BM66" i="1"/>
  <c r="BM64" i="1"/>
  <c r="BM62" i="1"/>
  <c r="BM60" i="1"/>
  <c r="BM58" i="1"/>
  <c r="BM56" i="1"/>
  <c r="BM54" i="1"/>
  <c r="BM52" i="1"/>
  <c r="BM50" i="1"/>
  <c r="BM48" i="1"/>
  <c r="BM46" i="1"/>
  <c r="BM44" i="1"/>
  <c r="BM42" i="1"/>
  <c r="BM40" i="1"/>
  <c r="BM38" i="1"/>
  <c r="BM36" i="1"/>
  <c r="BM34" i="1"/>
  <c r="BM32" i="1"/>
  <c r="BM30" i="1"/>
  <c r="BM28" i="1"/>
  <c r="BM26" i="1"/>
  <c r="BM81" i="1"/>
  <c r="BM79" i="1"/>
  <c r="BM77" i="1"/>
  <c r="BM75" i="1"/>
  <c r="BM73" i="1"/>
  <c r="BM71" i="1"/>
  <c r="BM69" i="1"/>
  <c r="BM67" i="1"/>
  <c r="BM65" i="1"/>
  <c r="BM61" i="1"/>
  <c r="BM59" i="1"/>
  <c r="BM57" i="1"/>
  <c r="BM55" i="1"/>
  <c r="BM53" i="1"/>
  <c r="BM51" i="1"/>
  <c r="BM49" i="1"/>
  <c r="BM47" i="1"/>
  <c r="BM45" i="1"/>
  <c r="BM43" i="1"/>
  <c r="BM41" i="1"/>
  <c r="BM39" i="1"/>
  <c r="BM37" i="1"/>
  <c r="BM35" i="1"/>
  <c r="BM33" i="1"/>
  <c r="BM31" i="1"/>
  <c r="BM29" i="1"/>
  <c r="BM27" i="1"/>
  <c r="BM25" i="1"/>
  <c r="BU80" i="1"/>
  <c r="BU78" i="1"/>
  <c r="BU76" i="1"/>
  <c r="BU74" i="1"/>
  <c r="BU72" i="1"/>
  <c r="BU70" i="1"/>
  <c r="BU68" i="1"/>
  <c r="BU66" i="1"/>
  <c r="BU64" i="1"/>
  <c r="BU62" i="1"/>
  <c r="BU60" i="1"/>
  <c r="BU58" i="1"/>
  <c r="BU56" i="1"/>
  <c r="BU54" i="1"/>
  <c r="BU52" i="1"/>
  <c r="BU50" i="1"/>
  <c r="BU48" i="1"/>
  <c r="BU46" i="1"/>
  <c r="BU44" i="1"/>
  <c r="BU42" i="1"/>
  <c r="BU40" i="1"/>
  <c r="BU38" i="1"/>
  <c r="BU36" i="1"/>
  <c r="BU34" i="1"/>
  <c r="BU32" i="1"/>
  <c r="BU30" i="1"/>
  <c r="BU28" i="1"/>
  <c r="BU26" i="1"/>
  <c r="BU81" i="1"/>
  <c r="BU79" i="1"/>
  <c r="BU77" i="1"/>
  <c r="BU75" i="1"/>
  <c r="BU73" i="1"/>
  <c r="BU69" i="1"/>
  <c r="BU67" i="1"/>
  <c r="BU65" i="1"/>
  <c r="BU63" i="1"/>
  <c r="BU61" i="1"/>
  <c r="BU59" i="1"/>
  <c r="BU57" i="1"/>
  <c r="BU55" i="1"/>
  <c r="BU53" i="1"/>
  <c r="BU51" i="1"/>
  <c r="BU49" i="1"/>
  <c r="BU47" i="1"/>
  <c r="BU45" i="1"/>
  <c r="BU43" i="1"/>
  <c r="BU41" i="1"/>
  <c r="BU39" i="1"/>
  <c r="BU37" i="1"/>
  <c r="BU35" i="1"/>
  <c r="BU33" i="1"/>
  <c r="BU31" i="1"/>
  <c r="BU29" i="1"/>
  <c r="BU27" i="1"/>
  <c r="BU25" i="1"/>
  <c r="CC80" i="1"/>
  <c r="CC78" i="1"/>
  <c r="CC76" i="1"/>
  <c r="CC74" i="1"/>
  <c r="CC72" i="1"/>
  <c r="CC70" i="1"/>
  <c r="CC68" i="1"/>
  <c r="CC66" i="1"/>
  <c r="CC64" i="1"/>
  <c r="CC62" i="1"/>
  <c r="CC60" i="1"/>
  <c r="CC58" i="1"/>
  <c r="CC56" i="1"/>
  <c r="CC54" i="1"/>
  <c r="CC52" i="1"/>
  <c r="CC50" i="1"/>
  <c r="CC48" i="1"/>
  <c r="CC46" i="1"/>
  <c r="CC44" i="1"/>
  <c r="CC42" i="1"/>
  <c r="CC40" i="1"/>
  <c r="CC38" i="1"/>
  <c r="CC36" i="1"/>
  <c r="CC34" i="1"/>
  <c r="CC32" i="1"/>
  <c r="CC30" i="1"/>
  <c r="CC28" i="1"/>
  <c r="CC26" i="1"/>
  <c r="CC24" i="1"/>
  <c r="CC81" i="1"/>
  <c r="CC77" i="1"/>
  <c r="CC75" i="1"/>
  <c r="CC73" i="1"/>
  <c r="CC71" i="1"/>
  <c r="CC69" i="1"/>
  <c r="CC67" i="1"/>
  <c r="CC65" i="1"/>
  <c r="CC63" i="1"/>
  <c r="CC61" i="1"/>
  <c r="CC59" i="1"/>
  <c r="CC57" i="1"/>
  <c r="CC55" i="1"/>
  <c r="CC53" i="1"/>
  <c r="CC51" i="1"/>
  <c r="CC49" i="1"/>
  <c r="CC47" i="1"/>
  <c r="CC45" i="1"/>
  <c r="CC43" i="1"/>
  <c r="CC41" i="1"/>
  <c r="CC39" i="1"/>
  <c r="CC37" i="1"/>
  <c r="CC35" i="1"/>
  <c r="CC33" i="1"/>
  <c r="CC31" i="1"/>
  <c r="CC29" i="1"/>
  <c r="CC27" i="1"/>
  <c r="CC25" i="1"/>
  <c r="BM21" i="1"/>
  <c r="BU21" i="1"/>
  <c r="CC21" i="1"/>
  <c r="BM23" i="1"/>
  <c r="BU23" i="1"/>
  <c r="CC23" i="1"/>
  <c r="BM7" i="1"/>
  <c r="BU7" i="1"/>
  <c r="CC7" i="1"/>
  <c r="BM9" i="1"/>
  <c r="BU9" i="1"/>
  <c r="CC9" i="1"/>
  <c r="BM11" i="1"/>
  <c r="BU11" i="1"/>
  <c r="CC11" i="1"/>
  <c r="BM13" i="1"/>
  <c r="BU13" i="1"/>
  <c r="CC13" i="1"/>
  <c r="BM15" i="1"/>
  <c r="BU15" i="1"/>
  <c r="CC15" i="1"/>
  <c r="BM17" i="1"/>
  <c r="BU17" i="1"/>
  <c r="CC17" i="1"/>
  <c r="BM19" i="1"/>
  <c r="BU19" i="1"/>
  <c r="CC19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V4" i="1"/>
  <c r="U4" i="1"/>
  <c r="AJ76" i="1" l="1"/>
  <c r="AJ73" i="1"/>
  <c r="AJ79" i="1"/>
  <c r="AJ70" i="1"/>
  <c r="AJ74" i="1"/>
  <c r="AJ80" i="1"/>
  <c r="AJ77" i="1"/>
  <c r="AJ71" i="1"/>
  <c r="AJ78" i="1"/>
  <c r="AJ72" i="1"/>
  <c r="AJ69" i="1"/>
  <c r="AJ75" i="1"/>
  <c r="AJ66" i="1"/>
  <c r="AJ60" i="1"/>
  <c r="AJ67" i="1"/>
  <c r="AJ63" i="1"/>
  <c r="AJ57" i="1"/>
  <c r="AJ64" i="1"/>
  <c r="AJ61" i="1"/>
  <c r="AJ68" i="1"/>
  <c r="AJ58" i="1"/>
  <c r="AJ62" i="1"/>
  <c r="AJ59" i="1"/>
  <c r="AJ65" i="1"/>
  <c r="AJ54" i="1"/>
  <c r="AJ51" i="1"/>
  <c r="AJ48" i="1"/>
  <c r="AJ52" i="1"/>
  <c r="AJ81" i="1"/>
  <c r="AJ55" i="1"/>
  <c r="AJ46" i="1"/>
  <c r="AJ49" i="1"/>
  <c r="AJ56" i="1"/>
  <c r="AJ50" i="1"/>
  <c r="AJ47" i="1"/>
  <c r="AJ44" i="1"/>
  <c r="AJ38" i="1"/>
  <c r="AJ35" i="1"/>
  <c r="AJ41" i="1"/>
  <c r="AJ36" i="1"/>
  <c r="AJ42" i="1"/>
  <c r="AJ39" i="1"/>
  <c r="AJ45" i="1"/>
  <c r="AJ40" i="1"/>
  <c r="AJ33" i="1"/>
  <c r="AJ24" i="1"/>
  <c r="AJ28" i="1"/>
  <c r="AJ31" i="1"/>
  <c r="AJ43" i="1"/>
  <c r="AJ37" i="1"/>
  <c r="AJ25" i="1"/>
  <c r="AJ53" i="1"/>
  <c r="AJ29" i="1"/>
  <c r="AJ32" i="1"/>
  <c r="AJ26" i="1"/>
  <c r="AJ23" i="1"/>
  <c r="AJ30" i="1"/>
  <c r="AJ27" i="1"/>
  <c r="AJ15" i="1"/>
  <c r="AJ14" i="1"/>
  <c r="AJ21" i="1"/>
  <c r="AJ19" i="1"/>
  <c r="AJ17" i="1"/>
  <c r="AJ16" i="1"/>
  <c r="AJ11" i="1"/>
  <c r="AJ22" i="1"/>
  <c r="AJ18" i="1"/>
  <c r="AJ13" i="1"/>
  <c r="AJ12" i="1"/>
  <c r="AJ20" i="1"/>
  <c r="AJ9" i="1"/>
  <c r="AJ8" i="1"/>
  <c r="AJ10" i="1"/>
  <c r="AJ7" i="1"/>
  <c r="AJ6" i="1"/>
  <c r="BC74" i="1"/>
  <c r="BC80" i="1"/>
  <c r="BC77" i="1"/>
  <c r="BC68" i="1"/>
  <c r="BC71" i="1"/>
  <c r="BC81" i="1"/>
  <c r="BC75" i="1"/>
  <c r="BC78" i="1"/>
  <c r="BC72" i="1"/>
  <c r="BC69" i="1"/>
  <c r="BC79" i="1"/>
  <c r="BC70" i="1"/>
  <c r="BC57" i="1"/>
  <c r="BC64" i="1"/>
  <c r="BC61" i="1"/>
  <c r="BC73" i="1"/>
  <c r="BC58" i="1"/>
  <c r="BC65" i="1"/>
  <c r="BC62" i="1"/>
  <c r="BC59" i="1"/>
  <c r="BC76" i="1"/>
  <c r="BC66" i="1"/>
  <c r="BC67" i="1"/>
  <c r="BC63" i="1"/>
  <c r="BC52" i="1"/>
  <c r="BC55" i="1"/>
  <c r="BC49" i="1"/>
  <c r="BC56" i="1"/>
  <c r="BC50" i="1"/>
  <c r="BC47" i="1"/>
  <c r="BC60" i="1"/>
  <c r="BC48" i="1"/>
  <c r="BC36" i="1"/>
  <c r="BC51" i="1"/>
  <c r="BC46" i="1"/>
  <c r="BC45" i="1"/>
  <c r="BC42" i="1"/>
  <c r="BC39" i="1"/>
  <c r="BC54" i="1"/>
  <c r="BC43" i="1"/>
  <c r="BC37" i="1"/>
  <c r="BC40" i="1"/>
  <c r="BC34" i="1"/>
  <c r="BC44" i="1"/>
  <c r="BC41" i="1"/>
  <c r="BC25" i="1"/>
  <c r="BC29" i="1"/>
  <c r="BC32" i="1"/>
  <c r="BC26" i="1"/>
  <c r="BC23" i="1"/>
  <c r="BC30" i="1"/>
  <c r="BC27" i="1"/>
  <c r="BC33" i="1"/>
  <c r="BC24" i="1"/>
  <c r="BC31" i="1"/>
  <c r="BC22" i="1"/>
  <c r="BC28" i="1"/>
  <c r="BC18" i="1"/>
  <c r="BC13" i="1"/>
  <c r="BC12" i="1"/>
  <c r="BC20" i="1"/>
  <c r="BC15" i="1"/>
  <c r="BC14" i="1"/>
  <c r="BC38" i="1"/>
  <c r="BC35" i="1"/>
  <c r="BC19" i="1"/>
  <c r="BC17" i="1"/>
  <c r="BC16" i="1"/>
  <c r="BC11" i="1"/>
  <c r="BC10" i="1"/>
  <c r="BC7" i="1"/>
  <c r="BC6" i="1"/>
  <c r="BC21" i="1"/>
  <c r="BC9" i="1"/>
  <c r="BC8" i="1"/>
  <c r="AE74" i="1"/>
  <c r="AE80" i="1"/>
  <c r="AE77" i="1"/>
  <c r="AE71" i="1"/>
  <c r="AE81" i="1"/>
  <c r="AE75" i="1"/>
  <c r="AE78" i="1"/>
  <c r="AE72" i="1"/>
  <c r="AE69" i="1"/>
  <c r="AE79" i="1"/>
  <c r="AE70" i="1"/>
  <c r="AE76" i="1"/>
  <c r="AE57" i="1"/>
  <c r="AE64" i="1"/>
  <c r="AE61" i="1"/>
  <c r="AE68" i="1"/>
  <c r="AE58" i="1"/>
  <c r="AE65" i="1"/>
  <c r="AE62" i="1"/>
  <c r="AE59" i="1"/>
  <c r="AE73" i="1"/>
  <c r="AE66" i="1"/>
  <c r="AE67" i="1"/>
  <c r="AE63" i="1"/>
  <c r="AE52" i="1"/>
  <c r="AE55" i="1"/>
  <c r="AE60" i="1"/>
  <c r="AE49" i="1"/>
  <c r="AE53" i="1"/>
  <c r="AE56" i="1"/>
  <c r="AE50" i="1"/>
  <c r="AE47" i="1"/>
  <c r="AE48" i="1"/>
  <c r="AE36" i="1"/>
  <c r="AE42" i="1"/>
  <c r="AE39" i="1"/>
  <c r="AE46" i="1"/>
  <c r="AE45" i="1"/>
  <c r="AE43" i="1"/>
  <c r="AE37" i="1"/>
  <c r="AE40" i="1"/>
  <c r="AE54" i="1"/>
  <c r="AE51" i="1"/>
  <c r="AE44" i="1"/>
  <c r="AE41" i="1"/>
  <c r="AE25" i="1"/>
  <c r="AE38" i="1"/>
  <c r="AE35" i="1"/>
  <c r="AE32" i="1"/>
  <c r="AE26" i="1"/>
  <c r="AE23" i="1"/>
  <c r="AE30" i="1"/>
  <c r="AE27" i="1"/>
  <c r="AE34" i="1"/>
  <c r="AE33" i="1"/>
  <c r="AE24" i="1"/>
  <c r="AE31" i="1"/>
  <c r="AE22" i="1"/>
  <c r="AE18" i="1"/>
  <c r="AE13" i="1"/>
  <c r="AE12" i="1"/>
  <c r="AE28" i="1"/>
  <c r="AE20" i="1"/>
  <c r="AE15" i="1"/>
  <c r="AE14" i="1"/>
  <c r="AE19" i="1"/>
  <c r="AE17" i="1"/>
  <c r="AE16" i="1"/>
  <c r="AE11" i="1"/>
  <c r="AE10" i="1"/>
  <c r="AE21" i="1"/>
  <c r="AE7" i="1"/>
  <c r="AE6" i="1"/>
  <c r="AE9" i="1"/>
  <c r="AE8" i="1"/>
  <c r="BA76" i="1"/>
  <c r="BA73" i="1"/>
  <c r="BA79" i="1"/>
  <c r="BA70" i="1"/>
  <c r="BA74" i="1"/>
  <c r="BA80" i="1"/>
  <c r="BA77" i="1"/>
  <c r="BA68" i="1"/>
  <c r="BA71" i="1"/>
  <c r="BA81" i="1"/>
  <c r="BA75" i="1"/>
  <c r="BA69" i="1"/>
  <c r="BA60" i="1"/>
  <c r="BA67" i="1"/>
  <c r="BA63" i="1"/>
  <c r="BA78" i="1"/>
  <c r="BA57" i="1"/>
  <c r="BA64" i="1"/>
  <c r="BA61" i="1"/>
  <c r="BA72" i="1"/>
  <c r="BA58" i="1"/>
  <c r="BA65" i="1"/>
  <c r="BA66" i="1"/>
  <c r="BA54" i="1"/>
  <c r="BA59" i="1"/>
  <c r="BA48" i="1"/>
  <c r="BA52" i="1"/>
  <c r="BA55" i="1"/>
  <c r="BA62" i="1"/>
  <c r="BA49" i="1"/>
  <c r="BA53" i="1"/>
  <c r="BA38" i="1"/>
  <c r="BA35" i="1"/>
  <c r="BA41" i="1"/>
  <c r="BA47" i="1"/>
  <c r="BA46" i="1"/>
  <c r="BA45" i="1"/>
  <c r="BA36" i="1"/>
  <c r="BA42" i="1"/>
  <c r="BA39" i="1"/>
  <c r="BA50" i="1"/>
  <c r="BA56" i="1"/>
  <c r="BA43" i="1"/>
  <c r="BA37" i="1"/>
  <c r="BA44" i="1"/>
  <c r="BA28" i="1"/>
  <c r="BA40" i="1"/>
  <c r="BA31" i="1"/>
  <c r="BA34" i="1"/>
  <c r="BA25" i="1"/>
  <c r="BA29" i="1"/>
  <c r="BA32" i="1"/>
  <c r="BA26" i="1"/>
  <c r="BA23" i="1"/>
  <c r="BA33" i="1"/>
  <c r="BA24" i="1"/>
  <c r="BA21" i="1"/>
  <c r="BA19" i="1"/>
  <c r="BA17" i="1"/>
  <c r="BA16" i="1"/>
  <c r="BA30" i="1"/>
  <c r="BA27" i="1"/>
  <c r="BA18" i="1"/>
  <c r="BA13" i="1"/>
  <c r="BA12" i="1"/>
  <c r="BA20" i="1"/>
  <c r="BA15" i="1"/>
  <c r="BA14" i="1"/>
  <c r="BA22" i="1"/>
  <c r="BA7" i="1"/>
  <c r="BA9" i="1"/>
  <c r="BA8" i="1"/>
  <c r="BA6" i="1"/>
  <c r="BA10" i="1"/>
  <c r="BA11" i="1"/>
  <c r="AS76" i="1"/>
  <c r="AS73" i="1"/>
  <c r="AS79" i="1"/>
  <c r="AS70" i="1"/>
  <c r="AS74" i="1"/>
  <c r="AS80" i="1"/>
  <c r="AS77" i="1"/>
  <c r="AS71" i="1"/>
  <c r="AS81" i="1"/>
  <c r="AS75" i="1"/>
  <c r="AS60" i="1"/>
  <c r="AS69" i="1"/>
  <c r="AS67" i="1"/>
  <c r="AS63" i="1"/>
  <c r="AS78" i="1"/>
  <c r="AS64" i="1"/>
  <c r="AS61" i="1"/>
  <c r="AS58" i="1"/>
  <c r="AS72" i="1"/>
  <c r="AS68" i="1"/>
  <c r="AS65" i="1"/>
  <c r="AS66" i="1"/>
  <c r="AS54" i="1"/>
  <c r="AS51" i="1"/>
  <c r="AS57" i="1"/>
  <c r="AS48" i="1"/>
  <c r="AS59" i="1"/>
  <c r="AS52" i="1"/>
  <c r="AS55" i="1"/>
  <c r="AS49" i="1"/>
  <c r="AS62" i="1"/>
  <c r="AS53" i="1"/>
  <c r="AS45" i="1"/>
  <c r="AS38" i="1"/>
  <c r="AS35" i="1"/>
  <c r="AS41" i="1"/>
  <c r="AS36" i="1"/>
  <c r="AS42" i="1"/>
  <c r="AS39" i="1"/>
  <c r="AS47" i="1"/>
  <c r="AS37" i="1"/>
  <c r="AS44" i="1"/>
  <c r="AS46" i="1"/>
  <c r="AS28" i="1"/>
  <c r="AS31" i="1"/>
  <c r="AS40" i="1"/>
  <c r="AS25" i="1"/>
  <c r="AS29" i="1"/>
  <c r="AS50" i="1"/>
  <c r="AS32" i="1"/>
  <c r="AS26" i="1"/>
  <c r="AS23" i="1"/>
  <c r="AS56" i="1"/>
  <c r="AS34" i="1"/>
  <c r="AS33" i="1"/>
  <c r="AS24" i="1"/>
  <c r="AS22" i="1"/>
  <c r="AS21" i="1"/>
  <c r="AS19" i="1"/>
  <c r="AS17" i="1"/>
  <c r="AS16" i="1"/>
  <c r="AS30" i="1"/>
  <c r="AS27" i="1"/>
  <c r="AS18" i="1"/>
  <c r="AS13" i="1"/>
  <c r="AS12" i="1"/>
  <c r="AS20" i="1"/>
  <c r="AS15" i="1"/>
  <c r="AS14" i="1"/>
  <c r="AS9" i="1"/>
  <c r="AS8" i="1"/>
  <c r="AS7" i="1"/>
  <c r="AS10" i="1"/>
  <c r="AS6" i="1"/>
  <c r="AS11" i="1"/>
  <c r="AK76" i="1"/>
  <c r="AK73" i="1"/>
  <c r="AK79" i="1"/>
  <c r="AK70" i="1"/>
  <c r="AK74" i="1"/>
  <c r="AK80" i="1"/>
  <c r="AK77" i="1"/>
  <c r="AK71" i="1"/>
  <c r="AK81" i="1"/>
  <c r="AK75" i="1"/>
  <c r="AK60" i="1"/>
  <c r="AK67" i="1"/>
  <c r="AK63" i="1"/>
  <c r="AK69" i="1"/>
  <c r="AK64" i="1"/>
  <c r="AK61" i="1"/>
  <c r="AK78" i="1"/>
  <c r="AK68" i="1"/>
  <c r="AK58" i="1"/>
  <c r="AK65" i="1"/>
  <c r="AK66" i="1"/>
  <c r="AK54" i="1"/>
  <c r="AK51" i="1"/>
  <c r="AK48" i="1"/>
  <c r="AK52" i="1"/>
  <c r="AK72" i="1"/>
  <c r="AK59" i="1"/>
  <c r="AK55" i="1"/>
  <c r="AK57" i="1"/>
  <c r="AK49" i="1"/>
  <c r="AK53" i="1"/>
  <c r="AK62" i="1"/>
  <c r="AK38" i="1"/>
  <c r="AK46" i="1"/>
  <c r="AK41" i="1"/>
  <c r="AK36" i="1"/>
  <c r="AK42" i="1"/>
  <c r="AK39" i="1"/>
  <c r="AK47" i="1"/>
  <c r="AK43" i="1"/>
  <c r="AK37" i="1"/>
  <c r="AK56" i="1"/>
  <c r="AK50" i="1"/>
  <c r="AK44" i="1"/>
  <c r="AK28" i="1"/>
  <c r="AK34" i="1"/>
  <c r="AK31" i="1"/>
  <c r="AK25" i="1"/>
  <c r="AK29" i="1"/>
  <c r="AK40" i="1"/>
  <c r="AK32" i="1"/>
  <c r="AK26" i="1"/>
  <c r="AK23" i="1"/>
  <c r="AK45" i="1"/>
  <c r="AK33" i="1"/>
  <c r="AK24" i="1"/>
  <c r="AK21" i="1"/>
  <c r="AK19" i="1"/>
  <c r="AK17" i="1"/>
  <c r="AK16" i="1"/>
  <c r="AK22" i="1"/>
  <c r="AK18" i="1"/>
  <c r="AK13" i="1"/>
  <c r="AK12" i="1"/>
  <c r="AK30" i="1"/>
  <c r="AK27" i="1"/>
  <c r="AK20" i="1"/>
  <c r="AK15" i="1"/>
  <c r="AK14" i="1"/>
  <c r="AK6" i="1"/>
  <c r="AK9" i="1"/>
  <c r="AK8" i="1"/>
  <c r="AK11" i="1"/>
  <c r="AK10" i="1"/>
  <c r="AK7" i="1"/>
  <c r="AC76" i="1"/>
  <c r="AC73" i="1"/>
  <c r="AC79" i="1"/>
  <c r="AC70" i="1"/>
  <c r="AC74" i="1"/>
  <c r="AC80" i="1"/>
  <c r="AC77" i="1"/>
  <c r="AC71" i="1"/>
  <c r="AC81" i="1"/>
  <c r="AC75" i="1"/>
  <c r="AC60" i="1"/>
  <c r="AC67" i="1"/>
  <c r="AC63" i="1"/>
  <c r="AC69" i="1"/>
  <c r="AC64" i="1"/>
  <c r="AC61" i="1"/>
  <c r="AC68" i="1"/>
  <c r="AC58" i="1"/>
  <c r="AC78" i="1"/>
  <c r="AC65" i="1"/>
  <c r="AC72" i="1"/>
  <c r="AC66" i="1"/>
  <c r="AC57" i="1"/>
  <c r="AC54" i="1"/>
  <c r="AC51" i="1"/>
  <c r="AC48" i="1"/>
  <c r="AC52" i="1"/>
  <c r="AC55" i="1"/>
  <c r="AC59" i="1"/>
  <c r="AC49" i="1"/>
  <c r="AC53" i="1"/>
  <c r="AC62" i="1"/>
  <c r="AC56" i="1"/>
  <c r="AC50" i="1"/>
  <c r="AC38" i="1"/>
  <c r="AC35" i="1"/>
  <c r="AC41" i="1"/>
  <c r="AC36" i="1"/>
  <c r="AC42" i="1"/>
  <c r="AC39" i="1"/>
  <c r="AC46" i="1"/>
  <c r="AC45" i="1"/>
  <c r="AC43" i="1"/>
  <c r="AC37" i="1"/>
  <c r="AC44" i="1"/>
  <c r="AC28" i="1"/>
  <c r="AC31" i="1"/>
  <c r="AC25" i="1"/>
  <c r="AC47" i="1"/>
  <c r="AC29" i="1"/>
  <c r="AC32" i="1"/>
  <c r="AC26" i="1"/>
  <c r="AC23" i="1"/>
  <c r="AC40" i="1"/>
  <c r="AC34" i="1"/>
  <c r="AC33" i="1"/>
  <c r="AC24" i="1"/>
  <c r="AC21" i="1"/>
  <c r="AC19" i="1"/>
  <c r="AC17" i="1"/>
  <c r="AC16" i="1"/>
  <c r="AC18" i="1"/>
  <c r="AC13" i="1"/>
  <c r="AC12" i="1"/>
  <c r="AC22" i="1"/>
  <c r="AC20" i="1"/>
  <c r="AC30" i="1"/>
  <c r="AC15" i="1"/>
  <c r="AC14" i="1"/>
  <c r="AC9" i="1"/>
  <c r="AC8" i="1"/>
  <c r="AC10" i="1"/>
  <c r="AC11" i="1"/>
  <c r="AC7" i="1"/>
  <c r="AC6" i="1"/>
  <c r="AI78" i="1"/>
  <c r="AI72" i="1"/>
  <c r="AI69" i="1"/>
  <c r="AI76" i="1"/>
  <c r="AI73" i="1"/>
  <c r="AI79" i="1"/>
  <c r="AI70" i="1"/>
  <c r="AI74" i="1"/>
  <c r="AI80" i="1"/>
  <c r="AI77" i="1"/>
  <c r="AI81" i="1"/>
  <c r="AI75" i="1"/>
  <c r="AI71" i="1"/>
  <c r="AI62" i="1"/>
  <c r="AI59" i="1"/>
  <c r="AI66" i="1"/>
  <c r="AI60" i="1"/>
  <c r="AI67" i="1"/>
  <c r="AI63" i="1"/>
  <c r="AI57" i="1"/>
  <c r="AI64" i="1"/>
  <c r="AI61" i="1"/>
  <c r="AI65" i="1"/>
  <c r="AI56" i="1"/>
  <c r="AI50" i="1"/>
  <c r="AI47" i="1"/>
  <c r="AI54" i="1"/>
  <c r="AI51" i="1"/>
  <c r="AI68" i="1"/>
  <c r="AI48" i="1"/>
  <c r="AI52" i="1"/>
  <c r="AI58" i="1"/>
  <c r="AI55" i="1"/>
  <c r="AI46" i="1"/>
  <c r="AI53" i="1"/>
  <c r="AI45" i="1"/>
  <c r="AI40" i="1"/>
  <c r="AI34" i="1"/>
  <c r="AI49" i="1"/>
  <c r="AI44" i="1"/>
  <c r="AI38" i="1"/>
  <c r="AI35" i="1"/>
  <c r="AI41" i="1"/>
  <c r="AI36" i="1"/>
  <c r="AI42" i="1"/>
  <c r="AI39" i="1"/>
  <c r="AI43" i="1"/>
  <c r="AI37" i="1"/>
  <c r="AI30" i="1"/>
  <c r="AI27" i="1"/>
  <c r="AI24" i="1"/>
  <c r="AI28" i="1"/>
  <c r="AI31" i="1"/>
  <c r="AI22" i="1"/>
  <c r="AI25" i="1"/>
  <c r="AI29" i="1"/>
  <c r="AI32" i="1"/>
  <c r="AI15" i="1"/>
  <c r="AI14" i="1"/>
  <c r="AI23" i="1"/>
  <c r="AI21" i="1"/>
  <c r="AI19" i="1"/>
  <c r="AI17" i="1"/>
  <c r="AI16" i="1"/>
  <c r="AI26" i="1"/>
  <c r="AI20" i="1"/>
  <c r="AI7" i="1"/>
  <c r="AI6" i="1"/>
  <c r="AI18" i="1"/>
  <c r="AI12" i="1"/>
  <c r="AI11" i="1"/>
  <c r="AI9" i="1"/>
  <c r="AI8" i="1"/>
  <c r="AI13" i="1"/>
  <c r="AI10" i="1"/>
  <c r="U76" i="1"/>
  <c r="U73" i="1"/>
  <c r="U79" i="1"/>
  <c r="U70" i="1"/>
  <c r="U74" i="1"/>
  <c r="U80" i="1"/>
  <c r="U77" i="1"/>
  <c r="U71" i="1"/>
  <c r="U81" i="1"/>
  <c r="U75" i="1"/>
  <c r="U72" i="1"/>
  <c r="U60" i="1"/>
  <c r="U67" i="1"/>
  <c r="U63" i="1"/>
  <c r="U64" i="1"/>
  <c r="U61" i="1"/>
  <c r="U69" i="1"/>
  <c r="U68" i="1"/>
  <c r="U58" i="1"/>
  <c r="U65" i="1"/>
  <c r="U66" i="1"/>
  <c r="U62" i="1"/>
  <c r="U54" i="1"/>
  <c r="U51" i="1"/>
  <c r="U48" i="1"/>
  <c r="U78" i="1"/>
  <c r="U52" i="1"/>
  <c r="U55" i="1"/>
  <c r="U57" i="1"/>
  <c r="U49" i="1"/>
  <c r="U59" i="1"/>
  <c r="U53" i="1"/>
  <c r="U47" i="1"/>
  <c r="U38" i="1"/>
  <c r="U35" i="1"/>
  <c r="U56" i="1"/>
  <c r="U50" i="1"/>
  <c r="U41" i="1"/>
  <c r="U36" i="1"/>
  <c r="U45" i="1"/>
  <c r="U42" i="1"/>
  <c r="U39" i="1"/>
  <c r="U43" i="1"/>
  <c r="U37" i="1"/>
  <c r="U46" i="1"/>
  <c r="U44" i="1"/>
  <c r="U28" i="1"/>
  <c r="U31" i="1"/>
  <c r="U25" i="1"/>
  <c r="U29" i="1"/>
  <c r="U34" i="1"/>
  <c r="U32" i="1"/>
  <c r="U26" i="1"/>
  <c r="U23" i="1"/>
  <c r="U33" i="1"/>
  <c r="U24" i="1"/>
  <c r="U30" i="1"/>
  <c r="U21" i="1"/>
  <c r="U22" i="1"/>
  <c r="U17" i="1"/>
  <c r="U16" i="1"/>
  <c r="U18" i="1"/>
  <c r="U13" i="1"/>
  <c r="U12" i="1"/>
  <c r="U20" i="1"/>
  <c r="U40" i="1"/>
  <c r="U27" i="1"/>
  <c r="U15" i="1"/>
  <c r="U14" i="1"/>
  <c r="U11" i="1"/>
  <c r="U9" i="1"/>
  <c r="U8" i="1"/>
  <c r="U6" i="1"/>
  <c r="U10" i="1"/>
  <c r="U7" i="1"/>
  <c r="AQ78" i="1"/>
  <c r="AQ72" i="1"/>
  <c r="AQ69" i="1"/>
  <c r="AQ76" i="1"/>
  <c r="AQ73" i="1"/>
  <c r="AQ79" i="1"/>
  <c r="AQ70" i="1"/>
  <c r="AQ74" i="1"/>
  <c r="AQ80" i="1"/>
  <c r="AQ77" i="1"/>
  <c r="AQ81" i="1"/>
  <c r="AQ75" i="1"/>
  <c r="AQ62" i="1"/>
  <c r="AQ59" i="1"/>
  <c r="AQ66" i="1"/>
  <c r="AQ60" i="1"/>
  <c r="AQ67" i="1"/>
  <c r="AQ63" i="1"/>
  <c r="AQ57" i="1"/>
  <c r="AQ64" i="1"/>
  <c r="AQ61" i="1"/>
  <c r="AQ71" i="1"/>
  <c r="AQ65" i="1"/>
  <c r="AQ56" i="1"/>
  <c r="AQ50" i="1"/>
  <c r="AQ47" i="1"/>
  <c r="AQ68" i="1"/>
  <c r="AQ54" i="1"/>
  <c r="AQ51" i="1"/>
  <c r="AQ48" i="1"/>
  <c r="AQ58" i="1"/>
  <c r="AQ52" i="1"/>
  <c r="AQ55" i="1"/>
  <c r="AQ46" i="1"/>
  <c r="AQ53" i="1"/>
  <c r="AQ49" i="1"/>
  <c r="AQ40" i="1"/>
  <c r="AQ34" i="1"/>
  <c r="AQ44" i="1"/>
  <c r="AQ45" i="1"/>
  <c r="AQ38" i="1"/>
  <c r="AQ35" i="1"/>
  <c r="AQ36" i="1"/>
  <c r="AQ42" i="1"/>
  <c r="AQ39" i="1"/>
  <c r="AQ43" i="1"/>
  <c r="AQ37" i="1"/>
  <c r="AQ30" i="1"/>
  <c r="AQ27" i="1"/>
  <c r="AQ33" i="1"/>
  <c r="AQ24" i="1"/>
  <c r="AQ28" i="1"/>
  <c r="AQ31" i="1"/>
  <c r="AQ22" i="1"/>
  <c r="AQ25" i="1"/>
  <c r="AQ29" i="1"/>
  <c r="AQ32" i="1"/>
  <c r="AQ23" i="1"/>
  <c r="AQ15" i="1"/>
  <c r="AQ14" i="1"/>
  <c r="AQ21" i="1"/>
  <c r="AQ19" i="1"/>
  <c r="AQ17" i="1"/>
  <c r="AQ16" i="1"/>
  <c r="AQ20" i="1"/>
  <c r="AQ18" i="1"/>
  <c r="AQ11" i="1"/>
  <c r="AQ7" i="1"/>
  <c r="AQ26" i="1"/>
  <c r="AQ12" i="1"/>
  <c r="AQ9" i="1"/>
  <c r="AQ8" i="1"/>
  <c r="AQ13" i="1"/>
  <c r="AQ10" i="1"/>
  <c r="AQ6" i="1"/>
  <c r="AH81" i="1"/>
  <c r="AH75" i="1"/>
  <c r="AH78" i="1"/>
  <c r="AH72" i="1"/>
  <c r="AH69" i="1"/>
  <c r="AH76" i="1"/>
  <c r="AH73" i="1"/>
  <c r="AH79" i="1"/>
  <c r="AH70" i="1"/>
  <c r="AH74" i="1"/>
  <c r="AH71" i="1"/>
  <c r="AH65" i="1"/>
  <c r="AH80" i="1"/>
  <c r="AH62" i="1"/>
  <c r="AH59" i="1"/>
  <c r="AH66" i="1"/>
  <c r="AH60" i="1"/>
  <c r="AH67" i="1"/>
  <c r="AH63" i="1"/>
  <c r="AH68" i="1"/>
  <c r="AH58" i="1"/>
  <c r="AH61" i="1"/>
  <c r="AH53" i="1"/>
  <c r="AH56" i="1"/>
  <c r="AH50" i="1"/>
  <c r="AH47" i="1"/>
  <c r="AH64" i="1"/>
  <c r="AH54" i="1"/>
  <c r="AH51" i="1"/>
  <c r="AH48" i="1"/>
  <c r="AH57" i="1"/>
  <c r="AH52" i="1"/>
  <c r="AH49" i="1"/>
  <c r="AH43" i="1"/>
  <c r="AH37" i="1"/>
  <c r="AH45" i="1"/>
  <c r="AH40" i="1"/>
  <c r="AH55" i="1"/>
  <c r="AH46" i="1"/>
  <c r="AH44" i="1"/>
  <c r="AH77" i="1"/>
  <c r="AH38" i="1"/>
  <c r="AH35" i="1"/>
  <c r="AH41" i="1"/>
  <c r="AH36" i="1"/>
  <c r="AH30" i="1"/>
  <c r="AH27" i="1"/>
  <c r="AH33" i="1"/>
  <c r="AH24" i="1"/>
  <c r="AH34" i="1"/>
  <c r="AH28" i="1"/>
  <c r="AH31" i="1"/>
  <c r="AH22" i="1"/>
  <c r="AH25" i="1"/>
  <c r="AH42" i="1"/>
  <c r="AH39" i="1"/>
  <c r="AH26" i="1"/>
  <c r="AH23" i="1"/>
  <c r="AH29" i="1"/>
  <c r="AH20" i="1"/>
  <c r="AH15" i="1"/>
  <c r="AH14" i="1"/>
  <c r="AH21" i="1"/>
  <c r="AH19" i="1"/>
  <c r="AH17" i="1"/>
  <c r="AH16" i="1"/>
  <c r="AH11" i="1"/>
  <c r="AH18" i="1"/>
  <c r="AH13" i="1"/>
  <c r="AH12" i="1"/>
  <c r="AH10" i="1"/>
  <c r="AH7" i="1"/>
  <c r="AH6" i="1"/>
  <c r="AH9" i="1"/>
  <c r="AH8" i="1"/>
  <c r="AZ76" i="1"/>
  <c r="AZ73" i="1"/>
  <c r="AZ79" i="1"/>
  <c r="AZ70" i="1"/>
  <c r="AZ74" i="1"/>
  <c r="AZ80" i="1"/>
  <c r="AZ77" i="1"/>
  <c r="AZ68" i="1"/>
  <c r="AZ71" i="1"/>
  <c r="AZ78" i="1"/>
  <c r="AZ72" i="1"/>
  <c r="AZ69" i="1"/>
  <c r="AZ66" i="1"/>
  <c r="AZ60" i="1"/>
  <c r="AZ67" i="1"/>
  <c r="AZ63" i="1"/>
  <c r="AZ57" i="1"/>
  <c r="AZ81" i="1"/>
  <c r="AZ64" i="1"/>
  <c r="AZ61" i="1"/>
  <c r="AZ58" i="1"/>
  <c r="AZ62" i="1"/>
  <c r="AZ59" i="1"/>
  <c r="AZ54" i="1"/>
  <c r="AZ51" i="1"/>
  <c r="AZ48" i="1"/>
  <c r="AZ52" i="1"/>
  <c r="AZ55" i="1"/>
  <c r="AZ46" i="1"/>
  <c r="AZ49" i="1"/>
  <c r="AZ56" i="1"/>
  <c r="AZ47" i="1"/>
  <c r="AZ44" i="1"/>
  <c r="AZ38" i="1"/>
  <c r="AZ35" i="1"/>
  <c r="AZ75" i="1"/>
  <c r="AZ65" i="1"/>
  <c r="AZ41" i="1"/>
  <c r="AZ45" i="1"/>
  <c r="AZ36" i="1"/>
  <c r="AZ53" i="1"/>
  <c r="AZ42" i="1"/>
  <c r="AZ39" i="1"/>
  <c r="AZ40" i="1"/>
  <c r="AZ34" i="1"/>
  <c r="AZ43" i="1"/>
  <c r="AZ37" i="1"/>
  <c r="AZ33" i="1"/>
  <c r="AZ24" i="1"/>
  <c r="AZ28" i="1"/>
  <c r="AZ31" i="1"/>
  <c r="AZ22" i="1"/>
  <c r="AZ25" i="1"/>
  <c r="AZ29" i="1"/>
  <c r="AZ32" i="1"/>
  <c r="AZ26" i="1"/>
  <c r="AZ23" i="1"/>
  <c r="AZ30" i="1"/>
  <c r="AZ27" i="1"/>
  <c r="AZ15" i="1"/>
  <c r="AZ14" i="1"/>
  <c r="AZ21" i="1"/>
  <c r="AZ19" i="1"/>
  <c r="AZ17" i="1"/>
  <c r="AZ16" i="1"/>
  <c r="AZ11" i="1"/>
  <c r="AZ18" i="1"/>
  <c r="AZ13" i="1"/>
  <c r="AZ12" i="1"/>
  <c r="AZ20" i="1"/>
  <c r="AZ9" i="1"/>
  <c r="AZ8" i="1"/>
  <c r="AZ10" i="1"/>
  <c r="AZ7" i="1"/>
  <c r="AZ6" i="1"/>
  <c r="V79" i="1"/>
  <c r="V70" i="1"/>
  <c r="V74" i="1"/>
  <c r="V80" i="1"/>
  <c r="V77" i="1"/>
  <c r="V71" i="1"/>
  <c r="V81" i="1"/>
  <c r="V75" i="1"/>
  <c r="V78" i="1"/>
  <c r="V72" i="1"/>
  <c r="V69" i="1"/>
  <c r="V76" i="1"/>
  <c r="V73" i="1"/>
  <c r="V67" i="1"/>
  <c r="V63" i="1"/>
  <c r="V64" i="1"/>
  <c r="V61" i="1"/>
  <c r="V68" i="1"/>
  <c r="V58" i="1"/>
  <c r="V65" i="1"/>
  <c r="V62" i="1"/>
  <c r="V59" i="1"/>
  <c r="V60" i="1"/>
  <c r="V66" i="1"/>
  <c r="V48" i="1"/>
  <c r="V52" i="1"/>
  <c r="V55" i="1"/>
  <c r="V46" i="1"/>
  <c r="V57" i="1"/>
  <c r="V49" i="1"/>
  <c r="V53" i="1"/>
  <c r="V56" i="1"/>
  <c r="V50" i="1"/>
  <c r="V47" i="1"/>
  <c r="V54" i="1"/>
  <c r="V51" i="1"/>
  <c r="V45" i="1"/>
  <c r="V41" i="1"/>
  <c r="V36" i="1"/>
  <c r="V42" i="1"/>
  <c r="V39" i="1"/>
  <c r="V43" i="1"/>
  <c r="V37" i="1"/>
  <c r="V40" i="1"/>
  <c r="V38" i="1"/>
  <c r="V35" i="1"/>
  <c r="V31" i="1"/>
  <c r="V22" i="1"/>
  <c r="V25" i="1"/>
  <c r="V44" i="1"/>
  <c r="V29" i="1"/>
  <c r="V34" i="1"/>
  <c r="V32" i="1"/>
  <c r="V26" i="1"/>
  <c r="V23" i="1"/>
  <c r="V30" i="1"/>
  <c r="V27" i="1"/>
  <c r="V28" i="1"/>
  <c r="V24" i="1"/>
  <c r="V19" i="1"/>
  <c r="V17" i="1"/>
  <c r="V16" i="1"/>
  <c r="V11" i="1"/>
  <c r="V33" i="1"/>
  <c r="V18" i="1"/>
  <c r="V21" i="1"/>
  <c r="V9" i="1"/>
  <c r="V8" i="1"/>
  <c r="V10" i="1"/>
  <c r="V15" i="1"/>
  <c r="V12" i="1"/>
  <c r="V14" i="1"/>
  <c r="V7" i="1"/>
  <c r="V6" i="1"/>
  <c r="V13" i="1"/>
  <c r="AA78" i="1"/>
  <c r="AA72" i="1"/>
  <c r="AA69" i="1"/>
  <c r="AA76" i="1"/>
  <c r="AA73" i="1"/>
  <c r="AA79" i="1"/>
  <c r="AA70" i="1"/>
  <c r="AA74" i="1"/>
  <c r="AA80" i="1"/>
  <c r="AA77" i="1"/>
  <c r="AA81" i="1"/>
  <c r="AA75" i="1"/>
  <c r="AA62" i="1"/>
  <c r="AA59" i="1"/>
  <c r="AA71" i="1"/>
  <c r="AA66" i="1"/>
  <c r="AA60" i="1"/>
  <c r="AA67" i="1"/>
  <c r="AA63" i="1"/>
  <c r="AA57" i="1"/>
  <c r="AA64" i="1"/>
  <c r="AA61" i="1"/>
  <c r="AA65" i="1"/>
  <c r="AA56" i="1"/>
  <c r="AA50" i="1"/>
  <c r="AA47" i="1"/>
  <c r="AA54" i="1"/>
  <c r="AA51" i="1"/>
  <c r="AA48" i="1"/>
  <c r="AA68" i="1"/>
  <c r="AA52" i="1"/>
  <c r="AA55" i="1"/>
  <c r="AA46" i="1"/>
  <c r="AA53" i="1"/>
  <c r="AA40" i="1"/>
  <c r="AA34" i="1"/>
  <c r="AA58" i="1"/>
  <c r="AA44" i="1"/>
  <c r="AA49" i="1"/>
  <c r="AA38" i="1"/>
  <c r="AA35" i="1"/>
  <c r="AA41" i="1"/>
  <c r="AA36" i="1"/>
  <c r="AA42" i="1"/>
  <c r="AA39" i="1"/>
  <c r="AA43" i="1"/>
  <c r="AA37" i="1"/>
  <c r="AA45" i="1"/>
  <c r="AA30" i="1"/>
  <c r="AA27" i="1"/>
  <c r="AA33" i="1"/>
  <c r="AA24" i="1"/>
  <c r="AA28" i="1"/>
  <c r="AA31" i="1"/>
  <c r="AA29" i="1"/>
  <c r="AA26" i="1"/>
  <c r="AA15" i="1"/>
  <c r="AA14" i="1"/>
  <c r="AA21" i="1"/>
  <c r="AA32" i="1"/>
  <c r="AA19" i="1"/>
  <c r="AA17" i="1"/>
  <c r="AA16" i="1"/>
  <c r="AA23" i="1"/>
  <c r="AA22" i="1"/>
  <c r="AA20" i="1"/>
  <c r="AA7" i="1"/>
  <c r="AA12" i="1"/>
  <c r="AA18" i="1"/>
  <c r="AA11" i="1"/>
  <c r="AA9" i="1"/>
  <c r="AA8" i="1"/>
  <c r="AA10" i="1"/>
  <c r="AA6" i="1"/>
  <c r="AA13" i="1"/>
  <c r="BF81" i="1"/>
  <c r="BF75" i="1"/>
  <c r="BF78" i="1"/>
  <c r="BF72" i="1"/>
  <c r="BF69" i="1"/>
  <c r="BF76" i="1"/>
  <c r="BF73" i="1"/>
  <c r="BF79" i="1"/>
  <c r="BF70" i="1"/>
  <c r="BF74" i="1"/>
  <c r="BF71" i="1"/>
  <c r="BF65" i="1"/>
  <c r="BF68" i="1"/>
  <c r="BF62" i="1"/>
  <c r="BF59" i="1"/>
  <c r="BF66" i="1"/>
  <c r="BF77" i="1"/>
  <c r="BF60" i="1"/>
  <c r="BF67" i="1"/>
  <c r="BF63" i="1"/>
  <c r="BF57" i="1"/>
  <c r="BF58" i="1"/>
  <c r="BF64" i="1"/>
  <c r="BF53" i="1"/>
  <c r="BF80" i="1"/>
  <c r="BF50" i="1"/>
  <c r="BF47" i="1"/>
  <c r="BF54" i="1"/>
  <c r="BF51" i="1"/>
  <c r="BF48" i="1"/>
  <c r="BF61" i="1"/>
  <c r="BF52" i="1"/>
  <c r="BF49" i="1"/>
  <c r="BF46" i="1"/>
  <c r="BF43" i="1"/>
  <c r="BF37" i="1"/>
  <c r="BF40" i="1"/>
  <c r="BF44" i="1"/>
  <c r="BF38" i="1"/>
  <c r="BF35" i="1"/>
  <c r="BF41" i="1"/>
  <c r="BF36" i="1"/>
  <c r="BF45" i="1"/>
  <c r="BF55" i="1"/>
  <c r="BF34" i="1"/>
  <c r="BF30" i="1"/>
  <c r="BF27" i="1"/>
  <c r="BF33" i="1"/>
  <c r="BF24" i="1"/>
  <c r="BF42" i="1"/>
  <c r="BF39" i="1"/>
  <c r="BF28" i="1"/>
  <c r="BF31" i="1"/>
  <c r="BF22" i="1"/>
  <c r="BF25" i="1"/>
  <c r="BF32" i="1"/>
  <c r="BF26" i="1"/>
  <c r="BF23" i="1"/>
  <c r="BF20" i="1"/>
  <c r="BF15" i="1"/>
  <c r="BF14" i="1"/>
  <c r="BF21" i="1"/>
  <c r="BF19" i="1"/>
  <c r="BF17" i="1"/>
  <c r="BF16" i="1"/>
  <c r="BF11" i="1"/>
  <c r="BF29" i="1"/>
  <c r="BF18" i="1"/>
  <c r="BF13" i="1"/>
  <c r="BF12" i="1"/>
  <c r="BF10" i="1"/>
  <c r="BF7" i="1"/>
  <c r="BF6" i="1"/>
  <c r="BF9" i="1"/>
  <c r="BF8" i="1"/>
  <c r="AX81" i="1"/>
  <c r="AX75" i="1"/>
  <c r="AX78" i="1"/>
  <c r="AX72" i="1"/>
  <c r="AX69" i="1"/>
  <c r="AX76" i="1"/>
  <c r="AX73" i="1"/>
  <c r="AX79" i="1"/>
  <c r="AX70" i="1"/>
  <c r="AX74" i="1"/>
  <c r="AX71" i="1"/>
  <c r="AX65" i="1"/>
  <c r="AX62" i="1"/>
  <c r="AX59" i="1"/>
  <c r="AX66" i="1"/>
  <c r="AX68" i="1"/>
  <c r="AX60" i="1"/>
  <c r="AX77" i="1"/>
  <c r="AX67" i="1"/>
  <c r="AX63" i="1"/>
  <c r="AX57" i="1"/>
  <c r="AX80" i="1"/>
  <c r="AX58" i="1"/>
  <c r="AX53" i="1"/>
  <c r="AX64" i="1"/>
  <c r="AX56" i="1"/>
  <c r="AX50" i="1"/>
  <c r="AX47" i="1"/>
  <c r="AX54" i="1"/>
  <c r="AX51" i="1"/>
  <c r="AX52" i="1"/>
  <c r="AX49" i="1"/>
  <c r="AX55" i="1"/>
  <c r="AX43" i="1"/>
  <c r="AX37" i="1"/>
  <c r="AX40" i="1"/>
  <c r="AX44" i="1"/>
  <c r="AX46" i="1"/>
  <c r="AX38" i="1"/>
  <c r="AX35" i="1"/>
  <c r="AX61" i="1"/>
  <c r="AX41" i="1"/>
  <c r="AX45" i="1"/>
  <c r="AX36" i="1"/>
  <c r="AX30" i="1"/>
  <c r="AX27" i="1"/>
  <c r="AX33" i="1"/>
  <c r="AX24" i="1"/>
  <c r="AX34" i="1"/>
  <c r="AX28" i="1"/>
  <c r="AX42" i="1"/>
  <c r="AX39" i="1"/>
  <c r="AX31" i="1"/>
  <c r="AX22" i="1"/>
  <c r="AX25" i="1"/>
  <c r="AX32" i="1"/>
  <c r="AX26" i="1"/>
  <c r="AX23" i="1"/>
  <c r="AX20" i="1"/>
  <c r="AX15" i="1"/>
  <c r="AX14" i="1"/>
  <c r="AX21" i="1"/>
  <c r="AX19" i="1"/>
  <c r="AX17" i="1"/>
  <c r="AX16" i="1"/>
  <c r="AX11" i="1"/>
  <c r="AX18" i="1"/>
  <c r="AX13" i="1"/>
  <c r="AX12" i="1"/>
  <c r="AX7" i="1"/>
  <c r="AX6" i="1"/>
  <c r="AX29" i="1"/>
  <c r="AX9" i="1"/>
  <c r="AX8" i="1"/>
  <c r="AX10" i="1"/>
  <c r="AP81" i="1"/>
  <c r="AP75" i="1"/>
  <c r="AP78" i="1"/>
  <c r="AP72" i="1"/>
  <c r="AP69" i="1"/>
  <c r="AP76" i="1"/>
  <c r="AP73" i="1"/>
  <c r="AP79" i="1"/>
  <c r="AP70" i="1"/>
  <c r="AP74" i="1"/>
  <c r="AP71" i="1"/>
  <c r="AP80" i="1"/>
  <c r="AP65" i="1"/>
  <c r="AP62" i="1"/>
  <c r="AP59" i="1"/>
  <c r="AP66" i="1"/>
  <c r="AP60" i="1"/>
  <c r="AP67" i="1"/>
  <c r="AP63" i="1"/>
  <c r="AP77" i="1"/>
  <c r="AP57" i="1"/>
  <c r="AP68" i="1"/>
  <c r="AP58" i="1"/>
  <c r="AP53" i="1"/>
  <c r="AP56" i="1"/>
  <c r="AP50" i="1"/>
  <c r="AP47" i="1"/>
  <c r="AP64" i="1"/>
  <c r="AP54" i="1"/>
  <c r="AP51" i="1"/>
  <c r="AP48" i="1"/>
  <c r="AP52" i="1"/>
  <c r="AP61" i="1"/>
  <c r="AP49" i="1"/>
  <c r="AP43" i="1"/>
  <c r="AP37" i="1"/>
  <c r="AP55" i="1"/>
  <c r="AP44" i="1"/>
  <c r="AP45" i="1"/>
  <c r="AP38" i="1"/>
  <c r="AP35" i="1"/>
  <c r="AP41" i="1"/>
  <c r="AP36" i="1"/>
  <c r="AP46" i="1"/>
  <c r="AP30" i="1"/>
  <c r="AP27" i="1"/>
  <c r="AP33" i="1"/>
  <c r="AP24" i="1"/>
  <c r="AP28" i="1"/>
  <c r="AP31" i="1"/>
  <c r="AP22" i="1"/>
  <c r="AP39" i="1"/>
  <c r="AP25" i="1"/>
  <c r="AP32" i="1"/>
  <c r="AP26" i="1"/>
  <c r="AP23" i="1"/>
  <c r="AP20" i="1"/>
  <c r="AP15" i="1"/>
  <c r="AP14" i="1"/>
  <c r="AP21" i="1"/>
  <c r="AP19" i="1"/>
  <c r="AP17" i="1"/>
  <c r="AP16" i="1"/>
  <c r="AP11" i="1"/>
  <c r="AP42" i="1"/>
  <c r="AP34" i="1"/>
  <c r="AP29" i="1"/>
  <c r="AP18" i="1"/>
  <c r="AP13" i="1"/>
  <c r="AP12" i="1"/>
  <c r="AP7" i="1"/>
  <c r="AP6" i="1"/>
  <c r="AP10" i="1"/>
  <c r="AP9" i="1"/>
  <c r="AP8" i="1"/>
  <c r="Z81" i="1"/>
  <c r="Z75" i="1"/>
  <c r="Z78" i="1"/>
  <c r="Z72" i="1"/>
  <c r="Z69" i="1"/>
  <c r="Z76" i="1"/>
  <c r="Z73" i="1"/>
  <c r="Z79" i="1"/>
  <c r="Z70" i="1"/>
  <c r="Z74" i="1"/>
  <c r="Z71" i="1"/>
  <c r="Z65" i="1"/>
  <c r="Z62" i="1"/>
  <c r="Z59" i="1"/>
  <c r="Z80" i="1"/>
  <c r="Z66" i="1"/>
  <c r="Z60" i="1"/>
  <c r="Z67" i="1"/>
  <c r="Z63" i="1"/>
  <c r="Z77" i="1"/>
  <c r="Z68" i="1"/>
  <c r="Z58" i="1"/>
  <c r="Z53" i="1"/>
  <c r="Z61" i="1"/>
  <c r="Z57" i="1"/>
  <c r="Z56" i="1"/>
  <c r="Z50" i="1"/>
  <c r="Z47" i="1"/>
  <c r="Z54" i="1"/>
  <c r="Z51" i="1"/>
  <c r="Z64" i="1"/>
  <c r="Z48" i="1"/>
  <c r="Z52" i="1"/>
  <c r="Z49" i="1"/>
  <c r="Z43" i="1"/>
  <c r="Z37" i="1"/>
  <c r="Z40" i="1"/>
  <c r="Z44" i="1"/>
  <c r="Z55" i="1"/>
  <c r="Z38" i="1"/>
  <c r="Z35" i="1"/>
  <c r="Z41" i="1"/>
  <c r="Z46" i="1"/>
  <c r="Z36" i="1"/>
  <c r="Z45" i="1"/>
  <c r="Z42" i="1"/>
  <c r="Z39" i="1"/>
  <c r="Z34" i="1"/>
  <c r="Z30" i="1"/>
  <c r="Z27" i="1"/>
  <c r="Z33" i="1"/>
  <c r="Z28" i="1"/>
  <c r="Z31" i="1"/>
  <c r="Z22" i="1"/>
  <c r="Z25" i="1"/>
  <c r="Z32" i="1"/>
  <c r="Z26" i="1"/>
  <c r="Z23" i="1"/>
  <c r="Z20" i="1"/>
  <c r="Z29" i="1"/>
  <c r="Z15" i="1"/>
  <c r="Z14" i="1"/>
  <c r="Z21" i="1"/>
  <c r="Z19" i="1"/>
  <c r="Z17" i="1"/>
  <c r="Z16" i="1"/>
  <c r="Z11" i="1"/>
  <c r="Z18" i="1"/>
  <c r="Z13" i="1"/>
  <c r="Z12" i="1"/>
  <c r="Z7" i="1"/>
  <c r="Z6" i="1"/>
  <c r="Z9" i="1"/>
  <c r="Z8" i="1"/>
  <c r="Z10" i="1"/>
  <c r="BE71" i="1"/>
  <c r="BE81" i="1"/>
  <c r="BE75" i="1"/>
  <c r="BE78" i="1"/>
  <c r="BE72" i="1"/>
  <c r="BE69" i="1"/>
  <c r="BE76" i="1"/>
  <c r="BE73" i="1"/>
  <c r="BE79" i="1"/>
  <c r="BE70" i="1"/>
  <c r="BE80" i="1"/>
  <c r="BE77" i="1"/>
  <c r="BE68" i="1"/>
  <c r="BE58" i="1"/>
  <c r="BE65" i="1"/>
  <c r="BE62" i="1"/>
  <c r="BE59" i="1"/>
  <c r="BE66" i="1"/>
  <c r="BE60" i="1"/>
  <c r="BE67" i="1"/>
  <c r="BE63" i="1"/>
  <c r="BE74" i="1"/>
  <c r="BE64" i="1"/>
  <c r="BE61" i="1"/>
  <c r="BE49" i="1"/>
  <c r="BE53" i="1"/>
  <c r="BE56" i="1"/>
  <c r="BE50" i="1"/>
  <c r="BE47" i="1"/>
  <c r="BE54" i="1"/>
  <c r="BE51" i="1"/>
  <c r="BE45" i="1"/>
  <c r="BE57" i="1"/>
  <c r="BE48" i="1"/>
  <c r="BE46" i="1"/>
  <c r="BE43" i="1"/>
  <c r="BE37" i="1"/>
  <c r="BE40" i="1"/>
  <c r="BE34" i="1"/>
  <c r="BE44" i="1"/>
  <c r="BE38" i="1"/>
  <c r="BE35" i="1"/>
  <c r="BE52" i="1"/>
  <c r="BE41" i="1"/>
  <c r="BE42" i="1"/>
  <c r="BE39" i="1"/>
  <c r="BE32" i="1"/>
  <c r="BE26" i="1"/>
  <c r="BE23" i="1"/>
  <c r="BE36" i="1"/>
  <c r="BE30" i="1"/>
  <c r="BE27" i="1"/>
  <c r="BE33" i="1"/>
  <c r="BE24" i="1"/>
  <c r="BE28" i="1"/>
  <c r="BE31" i="1"/>
  <c r="BE22" i="1"/>
  <c r="BE29" i="1"/>
  <c r="BE25" i="1"/>
  <c r="BE18" i="1"/>
  <c r="BE13" i="1"/>
  <c r="BE12" i="1"/>
  <c r="BE20" i="1"/>
  <c r="BE15" i="1"/>
  <c r="BE14" i="1"/>
  <c r="BE21" i="1"/>
  <c r="BE19" i="1"/>
  <c r="BE17" i="1"/>
  <c r="BE16" i="1"/>
  <c r="BE11" i="1"/>
  <c r="BE7" i="1"/>
  <c r="BE6" i="1"/>
  <c r="BE9" i="1"/>
  <c r="BE8" i="1"/>
  <c r="BE10" i="1"/>
  <c r="AW71" i="1"/>
  <c r="AW81" i="1"/>
  <c r="AW75" i="1"/>
  <c r="AW78" i="1"/>
  <c r="AW72" i="1"/>
  <c r="AW69" i="1"/>
  <c r="AW76" i="1"/>
  <c r="AW73" i="1"/>
  <c r="AW79" i="1"/>
  <c r="AW70" i="1"/>
  <c r="AW80" i="1"/>
  <c r="AW77" i="1"/>
  <c r="AW68" i="1"/>
  <c r="AW74" i="1"/>
  <c r="AW58" i="1"/>
  <c r="AW65" i="1"/>
  <c r="AW62" i="1"/>
  <c r="AW59" i="1"/>
  <c r="AW66" i="1"/>
  <c r="AW60" i="1"/>
  <c r="AW67" i="1"/>
  <c r="AW63" i="1"/>
  <c r="AW64" i="1"/>
  <c r="AW61" i="1"/>
  <c r="AW49" i="1"/>
  <c r="AW53" i="1"/>
  <c r="AW56" i="1"/>
  <c r="AW50" i="1"/>
  <c r="AW54" i="1"/>
  <c r="AW51" i="1"/>
  <c r="AW45" i="1"/>
  <c r="AW48" i="1"/>
  <c r="AW57" i="1"/>
  <c r="AW55" i="1"/>
  <c r="AW46" i="1"/>
  <c r="AW43" i="1"/>
  <c r="AW37" i="1"/>
  <c r="AW40" i="1"/>
  <c r="AW44" i="1"/>
  <c r="AW38" i="1"/>
  <c r="AW35" i="1"/>
  <c r="AW41" i="1"/>
  <c r="AW52" i="1"/>
  <c r="AW42" i="1"/>
  <c r="AW39" i="1"/>
  <c r="AW32" i="1"/>
  <c r="AW26" i="1"/>
  <c r="AW23" i="1"/>
  <c r="AW30" i="1"/>
  <c r="AW27" i="1"/>
  <c r="AW36" i="1"/>
  <c r="AW33" i="1"/>
  <c r="AW24" i="1"/>
  <c r="AW34" i="1"/>
  <c r="AW28" i="1"/>
  <c r="AW31" i="1"/>
  <c r="AW22" i="1"/>
  <c r="AW29" i="1"/>
  <c r="AW18" i="1"/>
  <c r="AW13" i="1"/>
  <c r="AW12" i="1"/>
  <c r="AW25" i="1"/>
  <c r="AW20" i="1"/>
  <c r="AW15" i="1"/>
  <c r="AW14" i="1"/>
  <c r="AW21" i="1"/>
  <c r="AW19" i="1"/>
  <c r="AW17" i="1"/>
  <c r="AW16" i="1"/>
  <c r="AW11" i="1"/>
  <c r="AW7" i="1"/>
  <c r="AW6" i="1"/>
  <c r="AW9" i="1"/>
  <c r="AW8" i="1"/>
  <c r="AW10" i="1"/>
  <c r="AO71" i="1"/>
  <c r="AO81" i="1"/>
  <c r="AO75" i="1"/>
  <c r="AO78" i="1"/>
  <c r="AO72" i="1"/>
  <c r="AO69" i="1"/>
  <c r="AO76" i="1"/>
  <c r="AO73" i="1"/>
  <c r="AO79" i="1"/>
  <c r="AO70" i="1"/>
  <c r="AO80" i="1"/>
  <c r="AO77" i="1"/>
  <c r="AO68" i="1"/>
  <c r="AO58" i="1"/>
  <c r="AO74" i="1"/>
  <c r="AO65" i="1"/>
  <c r="AO62" i="1"/>
  <c r="AO59" i="1"/>
  <c r="AO66" i="1"/>
  <c r="AO60" i="1"/>
  <c r="AO67" i="1"/>
  <c r="AO63" i="1"/>
  <c r="AO64" i="1"/>
  <c r="AO61" i="1"/>
  <c r="AO49" i="1"/>
  <c r="AO53" i="1"/>
  <c r="AO57" i="1"/>
  <c r="AO56" i="1"/>
  <c r="AO50" i="1"/>
  <c r="AO47" i="1"/>
  <c r="AO54" i="1"/>
  <c r="AO51" i="1"/>
  <c r="AO45" i="1"/>
  <c r="AO48" i="1"/>
  <c r="AO55" i="1"/>
  <c r="AO46" i="1"/>
  <c r="AO52" i="1"/>
  <c r="AO43" i="1"/>
  <c r="AO37" i="1"/>
  <c r="AO40" i="1"/>
  <c r="AO44" i="1"/>
  <c r="AO38" i="1"/>
  <c r="AO35" i="1"/>
  <c r="AO41" i="1"/>
  <c r="AO42" i="1"/>
  <c r="AO32" i="1"/>
  <c r="AO26" i="1"/>
  <c r="AO23" i="1"/>
  <c r="AO30" i="1"/>
  <c r="AO27" i="1"/>
  <c r="AO33" i="1"/>
  <c r="AO24" i="1"/>
  <c r="AO36" i="1"/>
  <c r="AO28" i="1"/>
  <c r="AO31" i="1"/>
  <c r="AO22" i="1"/>
  <c r="AO34" i="1"/>
  <c r="AO29" i="1"/>
  <c r="AO18" i="1"/>
  <c r="AO13" i="1"/>
  <c r="AO12" i="1"/>
  <c r="AO20" i="1"/>
  <c r="AO25" i="1"/>
  <c r="AO15" i="1"/>
  <c r="AO14" i="1"/>
  <c r="AO21" i="1"/>
  <c r="AO19" i="1"/>
  <c r="AO17" i="1"/>
  <c r="AO16" i="1"/>
  <c r="AO11" i="1"/>
  <c r="AO7" i="1"/>
  <c r="AO6" i="1"/>
  <c r="AO9" i="1"/>
  <c r="AO8" i="1"/>
  <c r="AO10" i="1"/>
  <c r="AG71" i="1"/>
  <c r="AG81" i="1"/>
  <c r="AG75" i="1"/>
  <c r="AG78" i="1"/>
  <c r="AG72" i="1"/>
  <c r="AG69" i="1"/>
  <c r="AG76" i="1"/>
  <c r="AG73" i="1"/>
  <c r="AG79" i="1"/>
  <c r="AG70" i="1"/>
  <c r="AG80" i="1"/>
  <c r="AG77" i="1"/>
  <c r="AG68" i="1"/>
  <c r="AG58" i="1"/>
  <c r="AG65" i="1"/>
  <c r="AG74" i="1"/>
  <c r="AG62" i="1"/>
  <c r="AG59" i="1"/>
  <c r="AG66" i="1"/>
  <c r="AG60" i="1"/>
  <c r="AG67" i="1"/>
  <c r="AG63" i="1"/>
  <c r="AG64" i="1"/>
  <c r="AG61" i="1"/>
  <c r="AG49" i="1"/>
  <c r="AG53" i="1"/>
  <c r="AG56" i="1"/>
  <c r="AG50" i="1"/>
  <c r="AG47" i="1"/>
  <c r="AG54" i="1"/>
  <c r="AG51" i="1"/>
  <c r="AG45" i="1"/>
  <c r="AG48" i="1"/>
  <c r="AG55" i="1"/>
  <c r="AG46" i="1"/>
  <c r="AG52" i="1"/>
  <c r="AG43" i="1"/>
  <c r="AG37" i="1"/>
  <c r="AG40" i="1"/>
  <c r="AG44" i="1"/>
  <c r="AG38" i="1"/>
  <c r="AG35" i="1"/>
  <c r="AG41" i="1"/>
  <c r="AG57" i="1"/>
  <c r="AG42" i="1"/>
  <c r="AG39" i="1"/>
  <c r="AG32" i="1"/>
  <c r="AG26" i="1"/>
  <c r="AG23" i="1"/>
  <c r="AG30" i="1"/>
  <c r="AG27" i="1"/>
  <c r="AG33" i="1"/>
  <c r="AG24" i="1"/>
  <c r="AG34" i="1"/>
  <c r="AG28" i="1"/>
  <c r="AG22" i="1"/>
  <c r="AG29" i="1"/>
  <c r="AG18" i="1"/>
  <c r="AG13" i="1"/>
  <c r="AG12" i="1"/>
  <c r="AG20" i="1"/>
  <c r="AG36" i="1"/>
  <c r="AG25" i="1"/>
  <c r="AG15" i="1"/>
  <c r="AG14" i="1"/>
  <c r="AG21" i="1"/>
  <c r="AG19" i="1"/>
  <c r="AG17" i="1"/>
  <c r="AG16" i="1"/>
  <c r="AG11" i="1"/>
  <c r="AG7" i="1"/>
  <c r="AG6" i="1"/>
  <c r="AG9" i="1"/>
  <c r="AG8" i="1"/>
  <c r="AG10" i="1"/>
  <c r="Y71" i="1"/>
  <c r="Y81" i="1"/>
  <c r="Y75" i="1"/>
  <c r="Y78" i="1"/>
  <c r="Y72" i="1"/>
  <c r="Y69" i="1"/>
  <c r="Y76" i="1"/>
  <c r="Y73" i="1"/>
  <c r="Y79" i="1"/>
  <c r="Y70" i="1"/>
  <c r="Y80" i="1"/>
  <c r="Y77" i="1"/>
  <c r="Y68" i="1"/>
  <c r="Y58" i="1"/>
  <c r="Y65" i="1"/>
  <c r="Y62" i="1"/>
  <c r="Y59" i="1"/>
  <c r="Y74" i="1"/>
  <c r="Y66" i="1"/>
  <c r="Y60" i="1"/>
  <c r="Y67" i="1"/>
  <c r="Y63" i="1"/>
  <c r="Y64" i="1"/>
  <c r="Y61" i="1"/>
  <c r="Y49" i="1"/>
  <c r="Y53" i="1"/>
  <c r="Y57" i="1"/>
  <c r="Y56" i="1"/>
  <c r="Y50" i="1"/>
  <c r="Y47" i="1"/>
  <c r="Y54" i="1"/>
  <c r="Y51" i="1"/>
  <c r="Y48" i="1"/>
  <c r="Y55" i="1"/>
  <c r="Y46" i="1"/>
  <c r="Y45" i="1"/>
  <c r="Y43" i="1"/>
  <c r="Y37" i="1"/>
  <c r="Y52" i="1"/>
  <c r="Y40" i="1"/>
  <c r="Y44" i="1"/>
  <c r="Y38" i="1"/>
  <c r="Y35" i="1"/>
  <c r="Y41" i="1"/>
  <c r="Y42" i="1"/>
  <c r="Y39" i="1"/>
  <c r="Y32" i="1"/>
  <c r="Y26" i="1"/>
  <c r="Y34" i="1"/>
  <c r="Y30" i="1"/>
  <c r="Y27" i="1"/>
  <c r="Y33" i="1"/>
  <c r="Y24" i="1"/>
  <c r="Y28" i="1"/>
  <c r="Y31" i="1"/>
  <c r="Y22" i="1"/>
  <c r="Y36" i="1"/>
  <c r="Y29" i="1"/>
  <c r="Y18" i="1"/>
  <c r="Y13" i="1"/>
  <c r="Y12" i="1"/>
  <c r="Y20" i="1"/>
  <c r="Y15" i="1"/>
  <c r="Y14" i="1"/>
  <c r="Y21" i="1"/>
  <c r="Y25" i="1"/>
  <c r="Y19" i="1"/>
  <c r="Y17" i="1"/>
  <c r="Y16" i="1"/>
  <c r="Y7" i="1"/>
  <c r="Y6" i="1"/>
  <c r="Y9" i="1"/>
  <c r="Y8" i="1"/>
  <c r="Y11" i="1"/>
  <c r="Y10" i="1"/>
  <c r="AR76" i="1"/>
  <c r="AR73" i="1"/>
  <c r="AR79" i="1"/>
  <c r="AR70" i="1"/>
  <c r="AR74" i="1"/>
  <c r="AR80" i="1"/>
  <c r="AR77" i="1"/>
  <c r="AR68" i="1"/>
  <c r="AR71" i="1"/>
  <c r="AR78" i="1"/>
  <c r="AR72" i="1"/>
  <c r="AR69" i="1"/>
  <c r="AR66" i="1"/>
  <c r="AR60" i="1"/>
  <c r="AR67" i="1"/>
  <c r="AR63" i="1"/>
  <c r="AR57" i="1"/>
  <c r="AR64" i="1"/>
  <c r="AR61" i="1"/>
  <c r="AR81" i="1"/>
  <c r="AR58" i="1"/>
  <c r="AR75" i="1"/>
  <c r="AR62" i="1"/>
  <c r="AR59" i="1"/>
  <c r="AR54" i="1"/>
  <c r="AR51" i="1"/>
  <c r="AR48" i="1"/>
  <c r="AR52" i="1"/>
  <c r="AR55" i="1"/>
  <c r="AR46" i="1"/>
  <c r="AR49" i="1"/>
  <c r="AR65" i="1"/>
  <c r="AR56" i="1"/>
  <c r="AR50" i="1"/>
  <c r="AR47" i="1"/>
  <c r="AR44" i="1"/>
  <c r="AR45" i="1"/>
  <c r="AR38" i="1"/>
  <c r="AR35" i="1"/>
  <c r="AR41" i="1"/>
  <c r="AR36" i="1"/>
  <c r="AR39" i="1"/>
  <c r="AR53" i="1"/>
  <c r="AR40" i="1"/>
  <c r="AR34" i="1"/>
  <c r="AR33" i="1"/>
  <c r="AR24" i="1"/>
  <c r="AR37" i="1"/>
  <c r="AR28" i="1"/>
  <c r="AR43" i="1"/>
  <c r="AR31" i="1"/>
  <c r="AR22" i="1"/>
  <c r="AR25" i="1"/>
  <c r="AR29" i="1"/>
  <c r="AR32" i="1"/>
  <c r="AR26" i="1"/>
  <c r="AR23" i="1"/>
  <c r="AR30" i="1"/>
  <c r="AR27" i="1"/>
  <c r="AR15" i="1"/>
  <c r="AR14" i="1"/>
  <c r="AR21" i="1"/>
  <c r="AR19" i="1"/>
  <c r="AR17" i="1"/>
  <c r="AR16" i="1"/>
  <c r="AR11" i="1"/>
  <c r="AR18" i="1"/>
  <c r="AR13" i="1"/>
  <c r="AR12" i="1"/>
  <c r="AR20" i="1"/>
  <c r="AR9" i="1"/>
  <c r="AR8" i="1"/>
  <c r="AR10" i="1"/>
  <c r="AR7" i="1"/>
  <c r="AR6" i="1"/>
  <c r="AY78" i="1"/>
  <c r="AY72" i="1"/>
  <c r="AY69" i="1"/>
  <c r="AY76" i="1"/>
  <c r="AY73" i="1"/>
  <c r="AY79" i="1"/>
  <c r="AY70" i="1"/>
  <c r="AY74" i="1"/>
  <c r="AY80" i="1"/>
  <c r="AY77" i="1"/>
  <c r="AY81" i="1"/>
  <c r="AY75" i="1"/>
  <c r="AY62" i="1"/>
  <c r="AY59" i="1"/>
  <c r="AY66" i="1"/>
  <c r="AY68" i="1"/>
  <c r="AY60" i="1"/>
  <c r="AY67" i="1"/>
  <c r="AY63" i="1"/>
  <c r="AY57" i="1"/>
  <c r="AY64" i="1"/>
  <c r="AY61" i="1"/>
  <c r="AY65" i="1"/>
  <c r="AY71" i="1"/>
  <c r="AY56" i="1"/>
  <c r="AY50" i="1"/>
  <c r="AY47" i="1"/>
  <c r="AY54" i="1"/>
  <c r="AY51" i="1"/>
  <c r="AY58" i="1"/>
  <c r="AY48" i="1"/>
  <c r="AY52" i="1"/>
  <c r="AY55" i="1"/>
  <c r="AY46" i="1"/>
  <c r="AY53" i="1"/>
  <c r="AY40" i="1"/>
  <c r="AY34" i="1"/>
  <c r="AY44" i="1"/>
  <c r="AY38" i="1"/>
  <c r="AY35" i="1"/>
  <c r="AY41" i="1"/>
  <c r="AY45" i="1"/>
  <c r="AY36" i="1"/>
  <c r="AY42" i="1"/>
  <c r="AY39" i="1"/>
  <c r="AY43" i="1"/>
  <c r="AY37" i="1"/>
  <c r="AY30" i="1"/>
  <c r="AY27" i="1"/>
  <c r="AY33" i="1"/>
  <c r="AY24" i="1"/>
  <c r="AY28" i="1"/>
  <c r="AY31" i="1"/>
  <c r="AY22" i="1"/>
  <c r="AY25" i="1"/>
  <c r="AY29" i="1"/>
  <c r="AY15" i="1"/>
  <c r="AY14" i="1"/>
  <c r="AY21" i="1"/>
  <c r="AY19" i="1"/>
  <c r="AY17" i="1"/>
  <c r="AY16" i="1"/>
  <c r="AY26" i="1"/>
  <c r="AY32" i="1"/>
  <c r="AY20" i="1"/>
  <c r="AY12" i="1"/>
  <c r="AY7" i="1"/>
  <c r="AY23" i="1"/>
  <c r="AY13" i="1"/>
  <c r="AY9" i="1"/>
  <c r="AY8" i="1"/>
  <c r="AY11" i="1"/>
  <c r="AY10" i="1"/>
  <c r="AY18" i="1"/>
  <c r="AY6" i="1"/>
  <c r="BD80" i="1"/>
  <c r="BD77" i="1"/>
  <c r="BD68" i="1"/>
  <c r="BD71" i="1"/>
  <c r="BD81" i="1"/>
  <c r="BD75" i="1"/>
  <c r="BD78" i="1"/>
  <c r="BD72" i="1"/>
  <c r="BD69" i="1"/>
  <c r="BD76" i="1"/>
  <c r="BD73" i="1"/>
  <c r="BD74" i="1"/>
  <c r="BD64" i="1"/>
  <c r="BD61" i="1"/>
  <c r="BD79" i="1"/>
  <c r="BD58" i="1"/>
  <c r="BD65" i="1"/>
  <c r="BD62" i="1"/>
  <c r="BD59" i="1"/>
  <c r="BD66" i="1"/>
  <c r="BD60" i="1"/>
  <c r="BD70" i="1"/>
  <c r="BD57" i="1"/>
  <c r="BD55" i="1"/>
  <c r="BD46" i="1"/>
  <c r="BD49" i="1"/>
  <c r="BD67" i="1"/>
  <c r="BD53" i="1"/>
  <c r="BD63" i="1"/>
  <c r="BD56" i="1"/>
  <c r="BD50" i="1"/>
  <c r="BD47" i="1"/>
  <c r="BD51" i="1"/>
  <c r="BD52" i="1"/>
  <c r="BD48" i="1"/>
  <c r="BD45" i="1"/>
  <c r="BD42" i="1"/>
  <c r="BD39" i="1"/>
  <c r="BD43" i="1"/>
  <c r="BD37" i="1"/>
  <c r="BD40" i="1"/>
  <c r="BD34" i="1"/>
  <c r="BD44" i="1"/>
  <c r="BD38" i="1"/>
  <c r="BD35" i="1"/>
  <c r="BD36" i="1"/>
  <c r="BD29" i="1"/>
  <c r="BD32" i="1"/>
  <c r="BD26" i="1"/>
  <c r="BD30" i="1"/>
  <c r="BD27" i="1"/>
  <c r="BD33" i="1"/>
  <c r="BD24" i="1"/>
  <c r="BD28" i="1"/>
  <c r="BD41" i="1"/>
  <c r="BD25" i="1"/>
  <c r="BD31" i="1"/>
  <c r="BD18" i="1"/>
  <c r="BD13" i="1"/>
  <c r="BD12" i="1"/>
  <c r="BD20" i="1"/>
  <c r="BD15" i="1"/>
  <c r="BD14" i="1"/>
  <c r="BD23" i="1"/>
  <c r="BD22" i="1"/>
  <c r="BD21" i="1"/>
  <c r="BD10" i="1"/>
  <c r="BD17" i="1"/>
  <c r="BD19" i="1"/>
  <c r="BD11" i="1"/>
  <c r="BD7" i="1"/>
  <c r="BD6" i="1"/>
  <c r="BD9" i="1"/>
  <c r="BD8" i="1"/>
  <c r="BD16" i="1"/>
  <c r="AV80" i="1"/>
  <c r="AV77" i="1"/>
  <c r="AV68" i="1"/>
  <c r="AV71" i="1"/>
  <c r="AV81" i="1"/>
  <c r="AV75" i="1"/>
  <c r="AV78" i="1"/>
  <c r="AV72" i="1"/>
  <c r="AV69" i="1"/>
  <c r="AV76" i="1"/>
  <c r="AV73" i="1"/>
  <c r="AV74" i="1"/>
  <c r="AV70" i="1"/>
  <c r="AV64" i="1"/>
  <c r="AV61" i="1"/>
  <c r="AV58" i="1"/>
  <c r="AV79" i="1"/>
  <c r="AV65" i="1"/>
  <c r="AV62" i="1"/>
  <c r="AV59" i="1"/>
  <c r="AV66" i="1"/>
  <c r="AV60" i="1"/>
  <c r="AV57" i="1"/>
  <c r="AV55" i="1"/>
  <c r="AV49" i="1"/>
  <c r="AV53" i="1"/>
  <c r="AV67" i="1"/>
  <c r="AV56" i="1"/>
  <c r="AV50" i="1"/>
  <c r="AV47" i="1"/>
  <c r="AV63" i="1"/>
  <c r="AV54" i="1"/>
  <c r="AV51" i="1"/>
  <c r="AV52" i="1"/>
  <c r="AV42" i="1"/>
  <c r="AV39" i="1"/>
  <c r="AV48" i="1"/>
  <c r="AV43" i="1"/>
  <c r="AV37" i="1"/>
  <c r="AV40" i="1"/>
  <c r="AV34" i="1"/>
  <c r="AV44" i="1"/>
  <c r="AV38" i="1"/>
  <c r="AV35" i="1"/>
  <c r="AV36" i="1"/>
  <c r="AV41" i="1"/>
  <c r="AV29" i="1"/>
  <c r="AV32" i="1"/>
  <c r="AV26" i="1"/>
  <c r="AV30" i="1"/>
  <c r="AV27" i="1"/>
  <c r="AV33" i="1"/>
  <c r="AV24" i="1"/>
  <c r="AV45" i="1"/>
  <c r="AV28" i="1"/>
  <c r="AV25" i="1"/>
  <c r="AV18" i="1"/>
  <c r="AV13" i="1"/>
  <c r="AV31" i="1"/>
  <c r="AV20" i="1"/>
  <c r="AV15" i="1"/>
  <c r="AV14" i="1"/>
  <c r="AV21" i="1"/>
  <c r="AV23" i="1"/>
  <c r="AV22" i="1"/>
  <c r="AV10" i="1"/>
  <c r="AV12" i="1"/>
  <c r="AV11" i="1"/>
  <c r="AV17" i="1"/>
  <c r="AV8" i="1"/>
  <c r="AV19" i="1"/>
  <c r="AV7" i="1"/>
  <c r="AV6" i="1"/>
  <c r="AV9" i="1"/>
  <c r="AV16" i="1"/>
  <c r="AN80" i="1"/>
  <c r="AN77" i="1"/>
  <c r="AN71" i="1"/>
  <c r="AN81" i="1"/>
  <c r="AN75" i="1"/>
  <c r="AN78" i="1"/>
  <c r="AN72" i="1"/>
  <c r="AN69" i="1"/>
  <c r="AN76" i="1"/>
  <c r="AN73" i="1"/>
  <c r="AN74" i="1"/>
  <c r="AN64" i="1"/>
  <c r="AN61" i="1"/>
  <c r="AN70" i="1"/>
  <c r="AN68" i="1"/>
  <c r="AN58" i="1"/>
  <c r="AN65" i="1"/>
  <c r="AN79" i="1"/>
  <c r="AN62" i="1"/>
  <c r="AN59" i="1"/>
  <c r="AN66" i="1"/>
  <c r="AN60" i="1"/>
  <c r="AN57" i="1"/>
  <c r="AN55" i="1"/>
  <c r="AN46" i="1"/>
  <c r="AN49" i="1"/>
  <c r="AN53" i="1"/>
  <c r="AN56" i="1"/>
  <c r="AN50" i="1"/>
  <c r="AN47" i="1"/>
  <c r="AN67" i="1"/>
  <c r="AN63" i="1"/>
  <c r="AN54" i="1"/>
  <c r="AN51" i="1"/>
  <c r="AN52" i="1"/>
  <c r="AN42" i="1"/>
  <c r="AN39" i="1"/>
  <c r="AN43" i="1"/>
  <c r="AN37" i="1"/>
  <c r="AN48" i="1"/>
  <c r="AN40" i="1"/>
  <c r="AN34" i="1"/>
  <c r="AN45" i="1"/>
  <c r="AN44" i="1"/>
  <c r="AN35" i="1"/>
  <c r="AN36" i="1"/>
  <c r="AN29" i="1"/>
  <c r="AN32" i="1"/>
  <c r="AN26" i="1"/>
  <c r="AN41" i="1"/>
  <c r="AN30" i="1"/>
  <c r="AN27" i="1"/>
  <c r="AN33" i="1"/>
  <c r="AN24" i="1"/>
  <c r="AN28" i="1"/>
  <c r="AN25" i="1"/>
  <c r="AN23" i="1"/>
  <c r="AN22" i="1"/>
  <c r="AN18" i="1"/>
  <c r="AN13" i="1"/>
  <c r="AN20" i="1"/>
  <c r="AN31" i="1"/>
  <c r="AN15" i="1"/>
  <c r="AN14" i="1"/>
  <c r="AN21" i="1"/>
  <c r="AN10" i="1"/>
  <c r="AN8" i="1"/>
  <c r="AN11" i="1"/>
  <c r="AN17" i="1"/>
  <c r="AN7" i="1"/>
  <c r="AN6" i="1"/>
  <c r="AN19" i="1"/>
  <c r="AN12" i="1"/>
  <c r="AN16" i="1"/>
  <c r="AN9" i="1"/>
  <c r="AF80" i="1"/>
  <c r="AF77" i="1"/>
  <c r="AF71" i="1"/>
  <c r="AF81" i="1"/>
  <c r="AF75" i="1"/>
  <c r="AF78" i="1"/>
  <c r="AF72" i="1"/>
  <c r="AF69" i="1"/>
  <c r="AF76" i="1"/>
  <c r="AF73" i="1"/>
  <c r="AF74" i="1"/>
  <c r="AF64" i="1"/>
  <c r="AF61" i="1"/>
  <c r="AF68" i="1"/>
  <c r="AF58" i="1"/>
  <c r="AF70" i="1"/>
  <c r="AF65" i="1"/>
  <c r="AF62" i="1"/>
  <c r="AF59" i="1"/>
  <c r="AF79" i="1"/>
  <c r="AF66" i="1"/>
  <c r="AF60" i="1"/>
  <c r="AF57" i="1"/>
  <c r="AF55" i="1"/>
  <c r="AF46" i="1"/>
  <c r="AF49" i="1"/>
  <c r="AF53" i="1"/>
  <c r="AF56" i="1"/>
  <c r="AF50" i="1"/>
  <c r="AF47" i="1"/>
  <c r="AF67" i="1"/>
  <c r="AF54" i="1"/>
  <c r="AF51" i="1"/>
  <c r="AF52" i="1"/>
  <c r="AF42" i="1"/>
  <c r="AF39" i="1"/>
  <c r="AF45" i="1"/>
  <c r="AF43" i="1"/>
  <c r="AF37" i="1"/>
  <c r="AF40" i="1"/>
  <c r="AF34" i="1"/>
  <c r="AF63" i="1"/>
  <c r="AF48" i="1"/>
  <c r="AF44" i="1"/>
  <c r="AF38" i="1"/>
  <c r="AF35" i="1"/>
  <c r="AF36" i="1"/>
  <c r="AF29" i="1"/>
  <c r="AF32" i="1"/>
  <c r="AF26" i="1"/>
  <c r="AF41" i="1"/>
  <c r="AF27" i="1"/>
  <c r="AF33" i="1"/>
  <c r="AF24" i="1"/>
  <c r="AF28" i="1"/>
  <c r="AF25" i="1"/>
  <c r="AF18" i="1"/>
  <c r="AF13" i="1"/>
  <c r="AF20" i="1"/>
  <c r="AF23" i="1"/>
  <c r="AF22" i="1"/>
  <c r="AF15" i="1"/>
  <c r="AF14" i="1"/>
  <c r="AF31" i="1"/>
  <c r="AF21" i="1"/>
  <c r="AF10" i="1"/>
  <c r="AF8" i="1"/>
  <c r="AF7" i="1"/>
  <c r="AF6" i="1"/>
  <c r="AF17" i="1"/>
  <c r="AF11" i="1"/>
  <c r="AF19" i="1"/>
  <c r="AF16" i="1"/>
  <c r="AF12" i="1"/>
  <c r="AF9" i="1"/>
  <c r="X80" i="1"/>
  <c r="X77" i="1"/>
  <c r="X71" i="1"/>
  <c r="X81" i="1"/>
  <c r="X75" i="1"/>
  <c r="X78" i="1"/>
  <c r="X72" i="1"/>
  <c r="X69" i="1"/>
  <c r="X76" i="1"/>
  <c r="X73" i="1"/>
  <c r="X74" i="1"/>
  <c r="X64" i="1"/>
  <c r="X61" i="1"/>
  <c r="X68" i="1"/>
  <c r="X58" i="1"/>
  <c r="X65" i="1"/>
  <c r="X70" i="1"/>
  <c r="X62" i="1"/>
  <c r="X59" i="1"/>
  <c r="X66" i="1"/>
  <c r="X79" i="1"/>
  <c r="X60" i="1"/>
  <c r="X57" i="1"/>
  <c r="X55" i="1"/>
  <c r="X46" i="1"/>
  <c r="X49" i="1"/>
  <c r="X53" i="1"/>
  <c r="X56" i="1"/>
  <c r="X50" i="1"/>
  <c r="X54" i="1"/>
  <c r="X51" i="1"/>
  <c r="X63" i="1"/>
  <c r="X52" i="1"/>
  <c r="X67" i="1"/>
  <c r="X42" i="1"/>
  <c r="X39" i="1"/>
  <c r="X45" i="1"/>
  <c r="X43" i="1"/>
  <c r="X37" i="1"/>
  <c r="X40" i="1"/>
  <c r="X34" i="1"/>
  <c r="X44" i="1"/>
  <c r="X48" i="1"/>
  <c r="X38" i="1"/>
  <c r="X35" i="1"/>
  <c r="X47" i="1"/>
  <c r="X36" i="1"/>
  <c r="X29" i="1"/>
  <c r="X32" i="1"/>
  <c r="X26" i="1"/>
  <c r="X30" i="1"/>
  <c r="X27" i="1"/>
  <c r="X41" i="1"/>
  <c r="X33" i="1"/>
  <c r="X24" i="1"/>
  <c r="X28" i="1"/>
  <c r="X25" i="1"/>
  <c r="X18" i="1"/>
  <c r="X13" i="1"/>
  <c r="X20" i="1"/>
  <c r="X15" i="1"/>
  <c r="X14" i="1"/>
  <c r="X21" i="1"/>
  <c r="X16" i="1"/>
  <c r="X11" i="1"/>
  <c r="X10" i="1"/>
  <c r="X19" i="1"/>
  <c r="X9" i="1"/>
  <c r="X31" i="1"/>
  <c r="X12" i="1"/>
  <c r="X6" i="1"/>
  <c r="X7" i="1"/>
  <c r="X23" i="1"/>
  <c r="X17" i="1"/>
  <c r="X8" i="1"/>
  <c r="AM74" i="1"/>
  <c r="AM80" i="1"/>
  <c r="AM77" i="1"/>
  <c r="AM71" i="1"/>
  <c r="AM81" i="1"/>
  <c r="AM75" i="1"/>
  <c r="AM78" i="1"/>
  <c r="AM72" i="1"/>
  <c r="AM69" i="1"/>
  <c r="AM79" i="1"/>
  <c r="AM70" i="1"/>
  <c r="AM57" i="1"/>
  <c r="AM64" i="1"/>
  <c r="AM61" i="1"/>
  <c r="AM68" i="1"/>
  <c r="AM58" i="1"/>
  <c r="AM65" i="1"/>
  <c r="AM73" i="1"/>
  <c r="AM62" i="1"/>
  <c r="AM59" i="1"/>
  <c r="AM66" i="1"/>
  <c r="AM76" i="1"/>
  <c r="AM67" i="1"/>
  <c r="AM63" i="1"/>
  <c r="AM52" i="1"/>
  <c r="AM60" i="1"/>
  <c r="AM55" i="1"/>
  <c r="AM49" i="1"/>
  <c r="AM53" i="1"/>
  <c r="AM56" i="1"/>
  <c r="AM50" i="1"/>
  <c r="AM47" i="1"/>
  <c r="AM48" i="1"/>
  <c r="AM46" i="1"/>
  <c r="AM36" i="1"/>
  <c r="AM42" i="1"/>
  <c r="AM39" i="1"/>
  <c r="AM43" i="1"/>
  <c r="AM54" i="1"/>
  <c r="AM51" i="1"/>
  <c r="AM40" i="1"/>
  <c r="AM34" i="1"/>
  <c r="AM45" i="1"/>
  <c r="AM44" i="1"/>
  <c r="AM41" i="1"/>
  <c r="AM35" i="1"/>
  <c r="AM25" i="1"/>
  <c r="AM38" i="1"/>
  <c r="AM29" i="1"/>
  <c r="AM32" i="1"/>
  <c r="AM26" i="1"/>
  <c r="AM23" i="1"/>
  <c r="AM30" i="1"/>
  <c r="AM27" i="1"/>
  <c r="AM33" i="1"/>
  <c r="AM24" i="1"/>
  <c r="AM31" i="1"/>
  <c r="AM22" i="1"/>
  <c r="AM28" i="1"/>
  <c r="AM18" i="1"/>
  <c r="AM13" i="1"/>
  <c r="AM12" i="1"/>
  <c r="AM20" i="1"/>
  <c r="AM15" i="1"/>
  <c r="AM14" i="1"/>
  <c r="AM19" i="1"/>
  <c r="AM17" i="1"/>
  <c r="AM16" i="1"/>
  <c r="AM11" i="1"/>
  <c r="AM21" i="1"/>
  <c r="AM10" i="1"/>
  <c r="AM7" i="1"/>
  <c r="AM6" i="1"/>
  <c r="AM9" i="1"/>
  <c r="AM8" i="1"/>
  <c r="AB76" i="1"/>
  <c r="AB73" i="1"/>
  <c r="AB79" i="1"/>
  <c r="AB70" i="1"/>
  <c r="AB74" i="1"/>
  <c r="AB80" i="1"/>
  <c r="AB77" i="1"/>
  <c r="AB71" i="1"/>
  <c r="AB78" i="1"/>
  <c r="AB72" i="1"/>
  <c r="AB69" i="1"/>
  <c r="AB66" i="1"/>
  <c r="AB75" i="1"/>
  <c r="AB60" i="1"/>
  <c r="AB67" i="1"/>
  <c r="AB63" i="1"/>
  <c r="AB57" i="1"/>
  <c r="AB64" i="1"/>
  <c r="AB61" i="1"/>
  <c r="AB68" i="1"/>
  <c r="AB58" i="1"/>
  <c r="AB81" i="1"/>
  <c r="AB62" i="1"/>
  <c r="AB59" i="1"/>
  <c r="AB65" i="1"/>
  <c r="AB54" i="1"/>
  <c r="AB51" i="1"/>
  <c r="AB48" i="1"/>
  <c r="AB52" i="1"/>
  <c r="AB55" i="1"/>
  <c r="AB46" i="1"/>
  <c r="AB49" i="1"/>
  <c r="AB56" i="1"/>
  <c r="AB50" i="1"/>
  <c r="AB47" i="1"/>
  <c r="AB44" i="1"/>
  <c r="AB38" i="1"/>
  <c r="AB35" i="1"/>
  <c r="AB41" i="1"/>
  <c r="AB36" i="1"/>
  <c r="AB42" i="1"/>
  <c r="AB39" i="1"/>
  <c r="AB45" i="1"/>
  <c r="AB53" i="1"/>
  <c r="AB40" i="1"/>
  <c r="AB34" i="1"/>
  <c r="AB33" i="1"/>
  <c r="AB24" i="1"/>
  <c r="AB28" i="1"/>
  <c r="AB31" i="1"/>
  <c r="AB25" i="1"/>
  <c r="AB43" i="1"/>
  <c r="AB37" i="1"/>
  <c r="AB29" i="1"/>
  <c r="AB32" i="1"/>
  <c r="AB23" i="1"/>
  <c r="AB30" i="1"/>
  <c r="AB27" i="1"/>
  <c r="AB15" i="1"/>
  <c r="AB14" i="1"/>
  <c r="AB21" i="1"/>
  <c r="AB19" i="1"/>
  <c r="AB17" i="1"/>
  <c r="AB16" i="1"/>
  <c r="AB11" i="1"/>
  <c r="AB18" i="1"/>
  <c r="AB13" i="1"/>
  <c r="AB12" i="1"/>
  <c r="AB22" i="1"/>
  <c r="AB9" i="1"/>
  <c r="AB8" i="1"/>
  <c r="AB20" i="1"/>
  <c r="AB10" i="1"/>
  <c r="AB7" i="1"/>
  <c r="AB6" i="1"/>
  <c r="AU74" i="1"/>
  <c r="AU80" i="1"/>
  <c r="AU77" i="1"/>
  <c r="AU71" i="1"/>
  <c r="AU81" i="1"/>
  <c r="AU75" i="1"/>
  <c r="AU78" i="1"/>
  <c r="AU72" i="1"/>
  <c r="AU69" i="1"/>
  <c r="AU79" i="1"/>
  <c r="AU70" i="1"/>
  <c r="AU57" i="1"/>
  <c r="AU64" i="1"/>
  <c r="AU61" i="1"/>
  <c r="AU58" i="1"/>
  <c r="AU73" i="1"/>
  <c r="AU65" i="1"/>
  <c r="AU68" i="1"/>
  <c r="AU62" i="1"/>
  <c r="AU59" i="1"/>
  <c r="AU66" i="1"/>
  <c r="AU67" i="1"/>
  <c r="AU63" i="1"/>
  <c r="AU60" i="1"/>
  <c r="AU52" i="1"/>
  <c r="AU55" i="1"/>
  <c r="AU76" i="1"/>
  <c r="AU49" i="1"/>
  <c r="AU53" i="1"/>
  <c r="AU56" i="1"/>
  <c r="AU50" i="1"/>
  <c r="AU47" i="1"/>
  <c r="AU48" i="1"/>
  <c r="AU36" i="1"/>
  <c r="AU42" i="1"/>
  <c r="AU39" i="1"/>
  <c r="AU54" i="1"/>
  <c r="AU51" i="1"/>
  <c r="AU43" i="1"/>
  <c r="AU37" i="1"/>
  <c r="AU40" i="1"/>
  <c r="AU34" i="1"/>
  <c r="AU46" i="1"/>
  <c r="AU44" i="1"/>
  <c r="AU41" i="1"/>
  <c r="AU25" i="1"/>
  <c r="AU29" i="1"/>
  <c r="AU32" i="1"/>
  <c r="AU26" i="1"/>
  <c r="AU23" i="1"/>
  <c r="AU30" i="1"/>
  <c r="AU27" i="1"/>
  <c r="AU33" i="1"/>
  <c r="AU24" i="1"/>
  <c r="AU38" i="1"/>
  <c r="AU35" i="1"/>
  <c r="AU31" i="1"/>
  <c r="AU22" i="1"/>
  <c r="AU28" i="1"/>
  <c r="AU18" i="1"/>
  <c r="AU13" i="1"/>
  <c r="AU12" i="1"/>
  <c r="AU20" i="1"/>
  <c r="AU15" i="1"/>
  <c r="AU14" i="1"/>
  <c r="AU19" i="1"/>
  <c r="AU17" i="1"/>
  <c r="AU16" i="1"/>
  <c r="AU11" i="1"/>
  <c r="AU21" i="1"/>
  <c r="AU10" i="1"/>
  <c r="AU7" i="1"/>
  <c r="AU6" i="1"/>
  <c r="AU9" i="1"/>
  <c r="AU8" i="1"/>
  <c r="W74" i="1"/>
  <c r="W80" i="1"/>
  <c r="W77" i="1"/>
  <c r="W71" i="1"/>
  <c r="W81" i="1"/>
  <c r="W75" i="1"/>
  <c r="W78" i="1"/>
  <c r="W72" i="1"/>
  <c r="W69" i="1"/>
  <c r="W79" i="1"/>
  <c r="W70" i="1"/>
  <c r="W57" i="1"/>
  <c r="W76" i="1"/>
  <c r="W64" i="1"/>
  <c r="W61" i="1"/>
  <c r="W68" i="1"/>
  <c r="W58" i="1"/>
  <c r="W65" i="1"/>
  <c r="W62" i="1"/>
  <c r="W59" i="1"/>
  <c r="W66" i="1"/>
  <c r="W67" i="1"/>
  <c r="W63" i="1"/>
  <c r="W52" i="1"/>
  <c r="W55" i="1"/>
  <c r="W49" i="1"/>
  <c r="W60" i="1"/>
  <c r="W53" i="1"/>
  <c r="W56" i="1"/>
  <c r="W50" i="1"/>
  <c r="W47" i="1"/>
  <c r="W48" i="1"/>
  <c r="W36" i="1"/>
  <c r="W42" i="1"/>
  <c r="W39" i="1"/>
  <c r="W73" i="1"/>
  <c r="W45" i="1"/>
  <c r="W43" i="1"/>
  <c r="W37" i="1"/>
  <c r="W40" i="1"/>
  <c r="W44" i="1"/>
  <c r="W41" i="1"/>
  <c r="W25" i="1"/>
  <c r="W46" i="1"/>
  <c r="W29" i="1"/>
  <c r="W34" i="1"/>
  <c r="W32" i="1"/>
  <c r="W26" i="1"/>
  <c r="W23" i="1"/>
  <c r="W38" i="1"/>
  <c r="W35" i="1"/>
  <c r="W30" i="1"/>
  <c r="W27" i="1"/>
  <c r="W33" i="1"/>
  <c r="W24" i="1"/>
  <c r="W54" i="1"/>
  <c r="W31" i="1"/>
  <c r="W22" i="1"/>
  <c r="W51" i="1"/>
  <c r="W18" i="1"/>
  <c r="W13" i="1"/>
  <c r="W12" i="1"/>
  <c r="W20" i="1"/>
  <c r="W28" i="1"/>
  <c r="W15" i="1"/>
  <c r="W14" i="1"/>
  <c r="W19" i="1"/>
  <c r="W17" i="1"/>
  <c r="W16" i="1"/>
  <c r="W11" i="1"/>
  <c r="W10" i="1"/>
  <c r="W7" i="1"/>
  <c r="W6" i="1"/>
  <c r="W9" i="1"/>
  <c r="W8" i="1"/>
  <c r="BB79" i="1"/>
  <c r="BB70" i="1"/>
  <c r="BB74" i="1"/>
  <c r="BB80" i="1"/>
  <c r="BB77" i="1"/>
  <c r="BB68" i="1"/>
  <c r="BB71" i="1"/>
  <c r="BB81" i="1"/>
  <c r="BB75" i="1"/>
  <c r="BB78" i="1"/>
  <c r="BB72" i="1"/>
  <c r="BB69" i="1"/>
  <c r="BB76" i="1"/>
  <c r="BB73" i="1"/>
  <c r="BB67" i="1"/>
  <c r="BB63" i="1"/>
  <c r="BB64" i="1"/>
  <c r="BB61" i="1"/>
  <c r="BB58" i="1"/>
  <c r="BB65" i="1"/>
  <c r="BB62" i="1"/>
  <c r="BB59" i="1"/>
  <c r="BB60" i="1"/>
  <c r="BB48" i="1"/>
  <c r="BB55" i="1"/>
  <c r="BB46" i="1"/>
  <c r="BB49" i="1"/>
  <c r="BB66" i="1"/>
  <c r="BB53" i="1"/>
  <c r="BB56" i="1"/>
  <c r="BB50" i="1"/>
  <c r="BB47" i="1"/>
  <c r="BB54" i="1"/>
  <c r="BB51" i="1"/>
  <c r="BB45" i="1"/>
  <c r="BB41" i="1"/>
  <c r="BB36" i="1"/>
  <c r="BB42" i="1"/>
  <c r="BB39" i="1"/>
  <c r="BB43" i="1"/>
  <c r="BB37" i="1"/>
  <c r="BB40" i="1"/>
  <c r="BB34" i="1"/>
  <c r="BB38" i="1"/>
  <c r="BB35" i="1"/>
  <c r="BB57" i="1"/>
  <c r="BB31" i="1"/>
  <c r="BB22" i="1"/>
  <c r="BB25" i="1"/>
  <c r="BB29" i="1"/>
  <c r="BB32" i="1"/>
  <c r="BB26" i="1"/>
  <c r="BB23" i="1"/>
  <c r="BB30" i="1"/>
  <c r="BB27" i="1"/>
  <c r="BB28" i="1"/>
  <c r="BB44" i="1"/>
  <c r="BB19" i="1"/>
  <c r="BB17" i="1"/>
  <c r="BB16" i="1"/>
  <c r="BB11" i="1"/>
  <c r="BB24" i="1"/>
  <c r="BB18" i="1"/>
  <c r="BB13" i="1"/>
  <c r="BB20" i="1"/>
  <c r="BB33" i="1"/>
  <c r="BB21" i="1"/>
  <c r="BB9" i="1"/>
  <c r="BB8" i="1"/>
  <c r="BB14" i="1"/>
  <c r="BB10" i="1"/>
  <c r="BB7" i="1"/>
  <c r="BB6" i="1"/>
  <c r="BB15" i="1"/>
  <c r="BB12" i="1"/>
  <c r="AT79" i="1"/>
  <c r="AT70" i="1"/>
  <c r="AT74" i="1"/>
  <c r="AT80" i="1"/>
  <c r="AT77" i="1"/>
  <c r="AT68" i="1"/>
  <c r="AT71" i="1"/>
  <c r="AT81" i="1"/>
  <c r="AT75" i="1"/>
  <c r="AT78" i="1"/>
  <c r="AT72" i="1"/>
  <c r="AT69" i="1"/>
  <c r="AT76" i="1"/>
  <c r="AT73" i="1"/>
  <c r="AT67" i="1"/>
  <c r="AT63" i="1"/>
  <c r="AT64" i="1"/>
  <c r="AT61" i="1"/>
  <c r="AT58" i="1"/>
  <c r="AT65" i="1"/>
  <c r="AT62" i="1"/>
  <c r="AT59" i="1"/>
  <c r="AT60" i="1"/>
  <c r="AT57" i="1"/>
  <c r="AT48" i="1"/>
  <c r="AT52" i="1"/>
  <c r="AT55" i="1"/>
  <c r="AT46" i="1"/>
  <c r="AT49" i="1"/>
  <c r="AT53" i="1"/>
  <c r="AT66" i="1"/>
  <c r="AT56" i="1"/>
  <c r="AT50" i="1"/>
  <c r="AT47" i="1"/>
  <c r="AT54" i="1"/>
  <c r="AT51" i="1"/>
  <c r="AT45" i="1"/>
  <c r="AT41" i="1"/>
  <c r="AT36" i="1"/>
  <c r="AT42" i="1"/>
  <c r="AT39" i="1"/>
  <c r="AT43" i="1"/>
  <c r="AT37" i="1"/>
  <c r="AT40" i="1"/>
  <c r="AT34" i="1"/>
  <c r="AT38" i="1"/>
  <c r="AT35" i="1"/>
  <c r="AT31" i="1"/>
  <c r="AT22" i="1"/>
  <c r="AT25" i="1"/>
  <c r="AT29" i="1"/>
  <c r="AT32" i="1"/>
  <c r="AT26" i="1"/>
  <c r="AT23" i="1"/>
  <c r="AT30" i="1"/>
  <c r="AT27" i="1"/>
  <c r="AT28" i="1"/>
  <c r="AT19" i="1"/>
  <c r="AT17" i="1"/>
  <c r="AT16" i="1"/>
  <c r="AT11" i="1"/>
  <c r="AT18" i="1"/>
  <c r="AT13" i="1"/>
  <c r="AT24" i="1"/>
  <c r="AT20" i="1"/>
  <c r="AT21" i="1"/>
  <c r="AT33" i="1"/>
  <c r="AT15" i="1"/>
  <c r="AT9" i="1"/>
  <c r="AT8" i="1"/>
  <c r="AT14" i="1"/>
  <c r="AT12" i="1"/>
  <c r="AT10" i="1"/>
  <c r="AT6" i="1"/>
  <c r="AT7" i="1"/>
  <c r="AL79" i="1"/>
  <c r="AL70" i="1"/>
  <c r="AL74" i="1"/>
  <c r="AL80" i="1"/>
  <c r="AL77" i="1"/>
  <c r="AL71" i="1"/>
  <c r="AL81" i="1"/>
  <c r="AL75" i="1"/>
  <c r="AL78" i="1"/>
  <c r="AL72" i="1"/>
  <c r="AL69" i="1"/>
  <c r="AL76" i="1"/>
  <c r="AL73" i="1"/>
  <c r="AL67" i="1"/>
  <c r="AL63" i="1"/>
  <c r="AL64" i="1"/>
  <c r="AL61" i="1"/>
  <c r="AL68" i="1"/>
  <c r="AL58" i="1"/>
  <c r="AL65" i="1"/>
  <c r="AL62" i="1"/>
  <c r="AL59" i="1"/>
  <c r="AL60" i="1"/>
  <c r="AL48" i="1"/>
  <c r="AL52" i="1"/>
  <c r="AL55" i="1"/>
  <c r="AL46" i="1"/>
  <c r="AL57" i="1"/>
  <c r="AL49" i="1"/>
  <c r="AL53" i="1"/>
  <c r="AL56" i="1"/>
  <c r="AL50" i="1"/>
  <c r="AL47" i="1"/>
  <c r="AL54" i="1"/>
  <c r="AL51" i="1"/>
  <c r="AL45" i="1"/>
  <c r="AL41" i="1"/>
  <c r="AL42" i="1"/>
  <c r="AL39" i="1"/>
  <c r="AL43" i="1"/>
  <c r="AL37" i="1"/>
  <c r="AL66" i="1"/>
  <c r="AL40" i="1"/>
  <c r="AL38" i="1"/>
  <c r="AL35" i="1"/>
  <c r="AL44" i="1"/>
  <c r="AL34" i="1"/>
  <c r="AL31" i="1"/>
  <c r="AL22" i="1"/>
  <c r="AL25" i="1"/>
  <c r="AL29" i="1"/>
  <c r="AL32" i="1"/>
  <c r="AL26" i="1"/>
  <c r="AL23" i="1"/>
  <c r="AL30" i="1"/>
  <c r="AL27" i="1"/>
  <c r="AL28" i="1"/>
  <c r="AL19" i="1"/>
  <c r="AL17" i="1"/>
  <c r="AL16" i="1"/>
  <c r="AL11" i="1"/>
  <c r="AL18" i="1"/>
  <c r="AL13" i="1"/>
  <c r="AL20" i="1"/>
  <c r="AL24" i="1"/>
  <c r="AL33" i="1"/>
  <c r="AL21" i="1"/>
  <c r="AL9" i="1"/>
  <c r="AL8" i="1"/>
  <c r="AL15" i="1"/>
  <c r="AL10" i="1"/>
  <c r="AL14" i="1"/>
  <c r="AL12" i="1"/>
  <c r="AL7" i="1"/>
  <c r="AL6" i="1"/>
  <c r="AD79" i="1"/>
  <c r="AD70" i="1"/>
  <c r="AD74" i="1"/>
  <c r="AD80" i="1"/>
  <c r="AD77" i="1"/>
  <c r="AD71" i="1"/>
  <c r="AD81" i="1"/>
  <c r="AD75" i="1"/>
  <c r="AD78" i="1"/>
  <c r="AD72" i="1"/>
  <c r="AD69" i="1"/>
  <c r="AD76" i="1"/>
  <c r="AD73" i="1"/>
  <c r="AD67" i="1"/>
  <c r="AD63" i="1"/>
  <c r="AD64" i="1"/>
  <c r="AD61" i="1"/>
  <c r="AD68" i="1"/>
  <c r="AD58" i="1"/>
  <c r="AD65" i="1"/>
  <c r="AD62" i="1"/>
  <c r="AD59" i="1"/>
  <c r="AD60" i="1"/>
  <c r="AD48" i="1"/>
  <c r="AD52" i="1"/>
  <c r="AD55" i="1"/>
  <c r="AD46" i="1"/>
  <c r="AD49" i="1"/>
  <c r="AD53" i="1"/>
  <c r="AD56" i="1"/>
  <c r="AD50" i="1"/>
  <c r="AD47" i="1"/>
  <c r="AD66" i="1"/>
  <c r="AD57" i="1"/>
  <c r="AD54" i="1"/>
  <c r="AD51" i="1"/>
  <c r="AD45" i="1"/>
  <c r="AD41" i="1"/>
  <c r="AD36" i="1"/>
  <c r="AD42" i="1"/>
  <c r="AD39" i="1"/>
  <c r="AD43" i="1"/>
  <c r="AD37" i="1"/>
  <c r="AD40" i="1"/>
  <c r="AD38" i="1"/>
  <c r="AD35" i="1"/>
  <c r="AD31" i="1"/>
  <c r="AD22" i="1"/>
  <c r="AD44" i="1"/>
  <c r="AD25" i="1"/>
  <c r="AD29" i="1"/>
  <c r="AD32" i="1"/>
  <c r="AD26" i="1"/>
  <c r="AD23" i="1"/>
  <c r="AD30" i="1"/>
  <c r="AD27" i="1"/>
  <c r="AD19" i="1"/>
  <c r="AD17" i="1"/>
  <c r="AD16" i="1"/>
  <c r="AD11" i="1"/>
  <c r="AD33" i="1"/>
  <c r="AD18" i="1"/>
  <c r="AD13" i="1"/>
  <c r="AD20" i="1"/>
  <c r="AD34" i="1"/>
  <c r="AD21" i="1"/>
  <c r="AD12" i="1"/>
  <c r="AD9" i="1"/>
  <c r="AD8" i="1"/>
  <c r="AD15" i="1"/>
  <c r="AD10" i="1"/>
  <c r="AD6" i="1"/>
  <c r="AD14" i="1"/>
  <c r="AD24" i="1"/>
  <c r="AD7" i="1"/>
  <c r="H5" i="1"/>
  <c r="H6" i="1" l="1"/>
  <c r="H4" i="1"/>
  <c r="H24" i="1" s="1"/>
  <c r="I4" i="1"/>
  <c r="J4" i="1"/>
  <c r="K4" i="1"/>
  <c r="L4" i="1"/>
  <c r="M4" i="1"/>
  <c r="N4" i="1"/>
  <c r="O4" i="1"/>
  <c r="P4" i="1"/>
  <c r="Q4" i="1"/>
  <c r="R4" i="1"/>
  <c r="S4" i="1"/>
  <c r="T4" i="1"/>
  <c r="G4" i="1"/>
  <c r="H20" i="1" l="1"/>
  <c r="H58" i="1"/>
  <c r="H10" i="1"/>
  <c r="H56" i="1"/>
  <c r="H27" i="1"/>
  <c r="H55" i="1"/>
  <c r="H29" i="1"/>
  <c r="H32" i="1"/>
  <c r="H8" i="1"/>
  <c r="H71" i="1"/>
  <c r="H43" i="1"/>
  <c r="H18" i="1"/>
  <c r="H74" i="1"/>
  <c r="H80" i="1"/>
  <c r="H12" i="1"/>
  <c r="H78" i="1"/>
  <c r="H39" i="1"/>
  <c r="R81" i="1"/>
  <c r="R75" i="1"/>
  <c r="R78" i="1"/>
  <c r="R72" i="1"/>
  <c r="R69" i="1"/>
  <c r="R76" i="1"/>
  <c r="R73" i="1"/>
  <c r="R79" i="1"/>
  <c r="R70" i="1"/>
  <c r="R74" i="1"/>
  <c r="R71" i="1"/>
  <c r="R77" i="1"/>
  <c r="R65" i="1"/>
  <c r="R62" i="1"/>
  <c r="R59" i="1"/>
  <c r="R66" i="1"/>
  <c r="R80" i="1"/>
  <c r="R60" i="1"/>
  <c r="R67" i="1"/>
  <c r="R63" i="1"/>
  <c r="R68" i="1"/>
  <c r="R58" i="1"/>
  <c r="R53" i="1"/>
  <c r="R56" i="1"/>
  <c r="R50" i="1"/>
  <c r="R61" i="1"/>
  <c r="R54" i="1"/>
  <c r="R51" i="1"/>
  <c r="R48" i="1"/>
  <c r="R64" i="1"/>
  <c r="R52" i="1"/>
  <c r="R49" i="1"/>
  <c r="R57" i="1"/>
  <c r="R46" i="1"/>
  <c r="R43" i="1"/>
  <c r="R37" i="1"/>
  <c r="R47" i="1"/>
  <c r="R40" i="1"/>
  <c r="R44" i="1"/>
  <c r="R38" i="1"/>
  <c r="R35" i="1"/>
  <c r="R55" i="1"/>
  <c r="R41" i="1"/>
  <c r="R36" i="1"/>
  <c r="R45" i="1"/>
  <c r="R42" i="1"/>
  <c r="R39" i="1"/>
  <c r="R30" i="1"/>
  <c r="R27" i="1"/>
  <c r="R33" i="1"/>
  <c r="R24" i="1"/>
  <c r="R28" i="1"/>
  <c r="R31" i="1"/>
  <c r="R22" i="1"/>
  <c r="R34" i="1"/>
  <c r="R25" i="1"/>
  <c r="R32" i="1"/>
  <c r="R26" i="1"/>
  <c r="R23" i="1"/>
  <c r="R15" i="1"/>
  <c r="R14" i="1"/>
  <c r="R29" i="1"/>
  <c r="R21" i="1"/>
  <c r="R19" i="1"/>
  <c r="R17" i="1"/>
  <c r="R11" i="1"/>
  <c r="R20" i="1"/>
  <c r="R18" i="1"/>
  <c r="R13" i="1"/>
  <c r="R12" i="1"/>
  <c r="R7" i="1"/>
  <c r="R6" i="1"/>
  <c r="R10" i="1"/>
  <c r="R9" i="1"/>
  <c r="R8" i="1"/>
  <c r="S78" i="1"/>
  <c r="S72" i="1"/>
  <c r="S69" i="1"/>
  <c r="S76" i="1"/>
  <c r="S73" i="1"/>
  <c r="S79" i="1"/>
  <c r="S70" i="1"/>
  <c r="S74" i="1"/>
  <c r="S80" i="1"/>
  <c r="S77" i="1"/>
  <c r="S81" i="1"/>
  <c r="S75" i="1"/>
  <c r="S62" i="1"/>
  <c r="S59" i="1"/>
  <c r="S66" i="1"/>
  <c r="S71" i="1"/>
  <c r="S60" i="1"/>
  <c r="S67" i="1"/>
  <c r="S63" i="1"/>
  <c r="S57" i="1"/>
  <c r="S64" i="1"/>
  <c r="S61" i="1"/>
  <c r="S65" i="1"/>
  <c r="S56" i="1"/>
  <c r="S50" i="1"/>
  <c r="S47" i="1"/>
  <c r="S54" i="1"/>
  <c r="S51" i="1"/>
  <c r="S48" i="1"/>
  <c r="S52" i="1"/>
  <c r="S68" i="1"/>
  <c r="S55" i="1"/>
  <c r="S46" i="1"/>
  <c r="S58" i="1"/>
  <c r="S53" i="1"/>
  <c r="S40" i="1"/>
  <c r="S34" i="1"/>
  <c r="S44" i="1"/>
  <c r="S38" i="1"/>
  <c r="S35" i="1"/>
  <c r="S49" i="1"/>
  <c r="S41" i="1"/>
  <c r="S36" i="1"/>
  <c r="S45" i="1"/>
  <c r="S42" i="1"/>
  <c r="S39" i="1"/>
  <c r="S43" i="1"/>
  <c r="S37" i="1"/>
  <c r="S30" i="1"/>
  <c r="S27" i="1"/>
  <c r="S33" i="1"/>
  <c r="S24" i="1"/>
  <c r="S28" i="1"/>
  <c r="S31" i="1"/>
  <c r="S25" i="1"/>
  <c r="S29" i="1"/>
  <c r="S15" i="1"/>
  <c r="S14" i="1"/>
  <c r="S26" i="1"/>
  <c r="S21" i="1"/>
  <c r="S22" i="1"/>
  <c r="S19" i="1"/>
  <c r="S16" i="1"/>
  <c r="S32" i="1"/>
  <c r="S23" i="1"/>
  <c r="S13" i="1"/>
  <c r="S7" i="1"/>
  <c r="S6" i="1"/>
  <c r="S11" i="1"/>
  <c r="S9" i="1"/>
  <c r="S8" i="1"/>
  <c r="S18" i="1"/>
  <c r="S12" i="1"/>
  <c r="S20" i="1"/>
  <c r="S10" i="1"/>
  <c r="K78" i="1"/>
  <c r="K72" i="1"/>
  <c r="K69" i="1"/>
  <c r="K76" i="1"/>
  <c r="K73" i="1"/>
  <c r="K79" i="1"/>
  <c r="K70" i="1"/>
  <c r="K74" i="1"/>
  <c r="K80" i="1"/>
  <c r="K77" i="1"/>
  <c r="K81" i="1"/>
  <c r="K75" i="1"/>
  <c r="K62" i="1"/>
  <c r="K59" i="1"/>
  <c r="K66" i="1"/>
  <c r="K60" i="1"/>
  <c r="K71" i="1"/>
  <c r="K67" i="1"/>
  <c r="K63" i="1"/>
  <c r="K64" i="1"/>
  <c r="K61" i="1"/>
  <c r="K65" i="1"/>
  <c r="K58" i="1"/>
  <c r="K56" i="1"/>
  <c r="K50" i="1"/>
  <c r="K47" i="1"/>
  <c r="K54" i="1"/>
  <c r="K51" i="1"/>
  <c r="K57" i="1"/>
  <c r="K48" i="1"/>
  <c r="K52" i="1"/>
  <c r="K55" i="1"/>
  <c r="K46" i="1"/>
  <c r="K53" i="1"/>
  <c r="K40" i="1"/>
  <c r="K44" i="1"/>
  <c r="K38" i="1"/>
  <c r="K35" i="1"/>
  <c r="K41" i="1"/>
  <c r="K68" i="1"/>
  <c r="K49" i="1"/>
  <c r="K45" i="1"/>
  <c r="K36" i="1"/>
  <c r="K42" i="1"/>
  <c r="K39" i="1"/>
  <c r="K43" i="1"/>
  <c r="K37" i="1"/>
  <c r="K30" i="1"/>
  <c r="K27" i="1"/>
  <c r="K33" i="1"/>
  <c r="K24" i="1"/>
  <c r="K28" i="1"/>
  <c r="K34" i="1"/>
  <c r="K31" i="1"/>
  <c r="K25" i="1"/>
  <c r="K29" i="1"/>
  <c r="K23" i="1"/>
  <c r="K15" i="1"/>
  <c r="K14" i="1"/>
  <c r="K21" i="1"/>
  <c r="K26" i="1"/>
  <c r="K19" i="1"/>
  <c r="K17" i="1"/>
  <c r="K16" i="1"/>
  <c r="K32" i="1"/>
  <c r="K22" i="1"/>
  <c r="K7" i="1"/>
  <c r="K13" i="1"/>
  <c r="K8" i="1"/>
  <c r="K20" i="1"/>
  <c r="K18" i="1"/>
  <c r="K10" i="1"/>
  <c r="K12" i="1"/>
  <c r="K11" i="1"/>
  <c r="K6" i="1"/>
  <c r="H17" i="1"/>
  <c r="H69" i="1"/>
  <c r="H57" i="1"/>
  <c r="H77" i="1"/>
  <c r="H67" i="1"/>
  <c r="H50" i="1"/>
  <c r="H37" i="1"/>
  <c r="H70" i="1"/>
  <c r="H34" i="1"/>
  <c r="H66" i="1"/>
  <c r="H47" i="1"/>
  <c r="H54" i="1"/>
  <c r="Q71" i="1"/>
  <c r="Q81" i="1"/>
  <c r="Q75" i="1"/>
  <c r="Q78" i="1"/>
  <c r="Q72" i="1"/>
  <c r="Q69" i="1"/>
  <c r="Q76" i="1"/>
  <c r="Q73" i="1"/>
  <c r="Q79" i="1"/>
  <c r="Q70" i="1"/>
  <c r="Q80" i="1"/>
  <c r="Q77" i="1"/>
  <c r="Q68" i="1"/>
  <c r="Q58" i="1"/>
  <c r="Q65" i="1"/>
  <c r="Q62" i="1"/>
  <c r="Q59" i="1"/>
  <c r="Q66" i="1"/>
  <c r="Q74" i="1"/>
  <c r="Q60" i="1"/>
  <c r="Q67" i="1"/>
  <c r="Q63" i="1"/>
  <c r="Q64" i="1"/>
  <c r="Q61" i="1"/>
  <c r="Q49" i="1"/>
  <c r="Q53" i="1"/>
  <c r="Q56" i="1"/>
  <c r="Q50" i="1"/>
  <c r="Q47" i="1"/>
  <c r="Q54" i="1"/>
  <c r="Q51" i="1"/>
  <c r="Q48" i="1"/>
  <c r="Q57" i="1"/>
  <c r="Q55" i="1"/>
  <c r="Q46" i="1"/>
  <c r="Q43" i="1"/>
  <c r="Q37" i="1"/>
  <c r="Q40" i="1"/>
  <c r="Q52" i="1"/>
  <c r="Q44" i="1"/>
  <c r="Q38" i="1"/>
  <c r="Q35" i="1"/>
  <c r="Q41" i="1"/>
  <c r="Q45" i="1"/>
  <c r="Q42" i="1"/>
  <c r="Q39" i="1"/>
  <c r="Q36" i="1"/>
  <c r="Q32" i="1"/>
  <c r="Q26" i="1"/>
  <c r="Q23" i="1"/>
  <c r="Q30" i="1"/>
  <c r="Q27" i="1"/>
  <c r="Q33" i="1"/>
  <c r="Q24" i="1"/>
  <c r="Q28" i="1"/>
  <c r="Q31" i="1"/>
  <c r="Q22" i="1"/>
  <c r="Q29" i="1"/>
  <c r="Q34" i="1"/>
  <c r="Q20" i="1"/>
  <c r="Q18" i="1"/>
  <c r="Q13" i="1"/>
  <c r="Q12" i="1"/>
  <c r="Q14" i="1"/>
  <c r="Q21" i="1"/>
  <c r="Q19" i="1"/>
  <c r="Q17" i="1"/>
  <c r="Q16" i="1"/>
  <c r="Q25" i="1"/>
  <c r="Q7" i="1"/>
  <c r="Q6" i="1"/>
  <c r="Q11" i="1"/>
  <c r="Q9" i="1"/>
  <c r="Q8" i="1"/>
  <c r="Q10" i="1"/>
  <c r="H33" i="1"/>
  <c r="H13" i="1"/>
  <c r="H22" i="1"/>
  <c r="H26" i="1"/>
  <c r="H62" i="1"/>
  <c r="H76" i="1"/>
  <c r="H35" i="1"/>
  <c r="H73" i="1"/>
  <c r="H59" i="1"/>
  <c r="I71" i="1"/>
  <c r="I81" i="1"/>
  <c r="I75" i="1"/>
  <c r="I78" i="1"/>
  <c r="I72" i="1"/>
  <c r="I69" i="1"/>
  <c r="I76" i="1"/>
  <c r="I73" i="1"/>
  <c r="I79" i="1"/>
  <c r="I70" i="1"/>
  <c r="I80" i="1"/>
  <c r="I77" i="1"/>
  <c r="I68" i="1"/>
  <c r="I58" i="1"/>
  <c r="I65" i="1"/>
  <c r="I62" i="1"/>
  <c r="I59" i="1"/>
  <c r="I66" i="1"/>
  <c r="I60" i="1"/>
  <c r="I74" i="1"/>
  <c r="I67" i="1"/>
  <c r="I63" i="1"/>
  <c r="I64" i="1"/>
  <c r="I61" i="1"/>
  <c r="I49" i="1"/>
  <c r="I53" i="1"/>
  <c r="I56" i="1"/>
  <c r="I50" i="1"/>
  <c r="I47" i="1"/>
  <c r="I54" i="1"/>
  <c r="I51" i="1"/>
  <c r="I57" i="1"/>
  <c r="I48" i="1"/>
  <c r="I55" i="1"/>
  <c r="I46" i="1"/>
  <c r="I43" i="1"/>
  <c r="I37" i="1"/>
  <c r="I40" i="1"/>
  <c r="I44" i="1"/>
  <c r="I52" i="1"/>
  <c r="I38" i="1"/>
  <c r="I35" i="1"/>
  <c r="I41" i="1"/>
  <c r="I42" i="1"/>
  <c r="I39" i="1"/>
  <c r="I32" i="1"/>
  <c r="I26" i="1"/>
  <c r="I23" i="1"/>
  <c r="I36" i="1"/>
  <c r="I45" i="1"/>
  <c r="I30" i="1"/>
  <c r="I27" i="1"/>
  <c r="I33" i="1"/>
  <c r="I24" i="1"/>
  <c r="I28" i="1"/>
  <c r="I34" i="1"/>
  <c r="I31" i="1"/>
  <c r="I22" i="1"/>
  <c r="I29" i="1"/>
  <c r="I20" i="1"/>
  <c r="I18" i="1"/>
  <c r="I13" i="1"/>
  <c r="I12" i="1"/>
  <c r="I15" i="1"/>
  <c r="I14" i="1"/>
  <c r="I21" i="1"/>
  <c r="I19" i="1"/>
  <c r="I17" i="1"/>
  <c r="I16" i="1"/>
  <c r="I25" i="1"/>
  <c r="I11" i="1"/>
  <c r="I6" i="1"/>
  <c r="I9" i="1"/>
  <c r="I8" i="1"/>
  <c r="I10" i="1"/>
  <c r="H11" i="1"/>
  <c r="H30" i="1"/>
  <c r="P80" i="1"/>
  <c r="P77" i="1"/>
  <c r="P71" i="1"/>
  <c r="P81" i="1"/>
  <c r="P75" i="1"/>
  <c r="P78" i="1"/>
  <c r="P72" i="1"/>
  <c r="P69" i="1"/>
  <c r="P76" i="1"/>
  <c r="P73" i="1"/>
  <c r="P74" i="1"/>
  <c r="P64" i="1"/>
  <c r="P61" i="1"/>
  <c r="P68" i="1"/>
  <c r="P58" i="1"/>
  <c r="P65" i="1"/>
  <c r="P62" i="1"/>
  <c r="P59" i="1"/>
  <c r="P70" i="1"/>
  <c r="P66" i="1"/>
  <c r="P60" i="1"/>
  <c r="P57" i="1"/>
  <c r="P63" i="1"/>
  <c r="P55" i="1"/>
  <c r="P46" i="1"/>
  <c r="P49" i="1"/>
  <c r="P53" i="1"/>
  <c r="P56" i="1"/>
  <c r="P50" i="1"/>
  <c r="P54" i="1"/>
  <c r="P51" i="1"/>
  <c r="P67" i="1"/>
  <c r="P52" i="1"/>
  <c r="P45" i="1"/>
  <c r="P42" i="1"/>
  <c r="P39" i="1"/>
  <c r="P47" i="1"/>
  <c r="P43" i="1"/>
  <c r="P37" i="1"/>
  <c r="P40" i="1"/>
  <c r="P34" i="1"/>
  <c r="P79" i="1"/>
  <c r="P44" i="1"/>
  <c r="P38" i="1"/>
  <c r="P35" i="1"/>
  <c r="P36" i="1"/>
  <c r="P29" i="1"/>
  <c r="P32" i="1"/>
  <c r="P26" i="1"/>
  <c r="P30" i="1"/>
  <c r="P27" i="1"/>
  <c r="P33" i="1"/>
  <c r="P24" i="1"/>
  <c r="P41" i="1"/>
  <c r="P28" i="1"/>
  <c r="P25" i="1"/>
  <c r="P48" i="1"/>
  <c r="P23" i="1"/>
  <c r="P20" i="1"/>
  <c r="P18" i="1"/>
  <c r="P13" i="1"/>
  <c r="P22" i="1"/>
  <c r="P15" i="1"/>
  <c r="P21" i="1"/>
  <c r="P31" i="1"/>
  <c r="P19" i="1"/>
  <c r="P10" i="1"/>
  <c r="P16" i="1"/>
  <c r="P9" i="1"/>
  <c r="P7" i="1"/>
  <c r="P6" i="1"/>
  <c r="P11" i="1"/>
  <c r="P8" i="1"/>
  <c r="P12" i="1"/>
  <c r="P17" i="1"/>
  <c r="O74" i="1"/>
  <c r="O80" i="1"/>
  <c r="O77" i="1"/>
  <c r="O71" i="1"/>
  <c r="O81" i="1"/>
  <c r="O75" i="1"/>
  <c r="O78" i="1"/>
  <c r="O72" i="1"/>
  <c r="O69" i="1"/>
  <c r="O79" i="1"/>
  <c r="O70" i="1"/>
  <c r="O57" i="1"/>
  <c r="O64" i="1"/>
  <c r="O61" i="1"/>
  <c r="O76" i="1"/>
  <c r="O68" i="1"/>
  <c r="O58" i="1"/>
  <c r="O65" i="1"/>
  <c r="O62" i="1"/>
  <c r="O59" i="1"/>
  <c r="O66" i="1"/>
  <c r="O73" i="1"/>
  <c r="O67" i="1"/>
  <c r="O63" i="1"/>
  <c r="O52" i="1"/>
  <c r="O55" i="1"/>
  <c r="O49" i="1"/>
  <c r="O53" i="1"/>
  <c r="O60" i="1"/>
  <c r="O56" i="1"/>
  <c r="O50" i="1"/>
  <c r="O47" i="1"/>
  <c r="O48" i="1"/>
  <c r="O36" i="1"/>
  <c r="O46" i="1"/>
  <c r="O45" i="1"/>
  <c r="O42" i="1"/>
  <c r="O39" i="1"/>
  <c r="O43" i="1"/>
  <c r="O37" i="1"/>
  <c r="O40" i="1"/>
  <c r="O44" i="1"/>
  <c r="O54" i="1"/>
  <c r="O51" i="1"/>
  <c r="O41" i="1"/>
  <c r="O25" i="1"/>
  <c r="O29" i="1"/>
  <c r="O32" i="1"/>
  <c r="O26" i="1"/>
  <c r="O23" i="1"/>
  <c r="O38" i="1"/>
  <c r="O35" i="1"/>
  <c r="O30" i="1"/>
  <c r="O27" i="1"/>
  <c r="O33" i="1"/>
  <c r="O24" i="1"/>
  <c r="O34" i="1"/>
  <c r="O31" i="1"/>
  <c r="O22" i="1"/>
  <c r="O20" i="1"/>
  <c r="O18" i="1"/>
  <c r="O12" i="1"/>
  <c r="O15" i="1"/>
  <c r="O14" i="1"/>
  <c r="O19" i="1"/>
  <c r="O17" i="1"/>
  <c r="O16" i="1"/>
  <c r="O11" i="1"/>
  <c r="O28" i="1"/>
  <c r="O10" i="1"/>
  <c r="O21" i="1"/>
  <c r="O7" i="1"/>
  <c r="O6" i="1"/>
  <c r="O9" i="1"/>
  <c r="O8" i="1"/>
  <c r="H9" i="1"/>
  <c r="H44" i="1"/>
  <c r="H23" i="1"/>
  <c r="H41" i="1"/>
  <c r="H31" i="1"/>
  <c r="H21" i="1"/>
  <c r="H81" i="1"/>
  <c r="H45" i="1"/>
  <c r="H7" i="1"/>
  <c r="H64" i="1"/>
  <c r="N79" i="1"/>
  <c r="N70" i="1"/>
  <c r="N74" i="1"/>
  <c r="N80" i="1"/>
  <c r="N77" i="1"/>
  <c r="N71" i="1"/>
  <c r="N81" i="1"/>
  <c r="N75" i="1"/>
  <c r="N78" i="1"/>
  <c r="N72" i="1"/>
  <c r="N69" i="1"/>
  <c r="N76" i="1"/>
  <c r="N73" i="1"/>
  <c r="N67" i="1"/>
  <c r="N63" i="1"/>
  <c r="N64" i="1"/>
  <c r="N61" i="1"/>
  <c r="N68" i="1"/>
  <c r="N58" i="1"/>
  <c r="N65" i="1"/>
  <c r="N62" i="1"/>
  <c r="N59" i="1"/>
  <c r="N60" i="1"/>
  <c r="N57" i="1"/>
  <c r="N48" i="1"/>
  <c r="N66" i="1"/>
  <c r="N52" i="1"/>
  <c r="N55" i="1"/>
  <c r="N46" i="1"/>
  <c r="N49" i="1"/>
  <c r="N53" i="1"/>
  <c r="N56" i="1"/>
  <c r="N50" i="1"/>
  <c r="N47" i="1"/>
  <c r="N54" i="1"/>
  <c r="N51" i="1"/>
  <c r="N45" i="1"/>
  <c r="N41" i="1"/>
  <c r="N36" i="1"/>
  <c r="N42" i="1"/>
  <c r="N39" i="1"/>
  <c r="N43" i="1"/>
  <c r="N37" i="1"/>
  <c r="N40" i="1"/>
  <c r="N38" i="1"/>
  <c r="N35" i="1"/>
  <c r="N34" i="1"/>
  <c r="N31" i="1"/>
  <c r="N22" i="1"/>
  <c r="N25" i="1"/>
  <c r="N29" i="1"/>
  <c r="N44" i="1"/>
  <c r="N32" i="1"/>
  <c r="N26" i="1"/>
  <c r="N23" i="1"/>
  <c r="N30" i="1"/>
  <c r="N27" i="1"/>
  <c r="N28" i="1"/>
  <c r="N19" i="1"/>
  <c r="N17" i="1"/>
  <c r="N16" i="1"/>
  <c r="N11" i="1"/>
  <c r="N24" i="1"/>
  <c r="N33" i="1"/>
  <c r="N20" i="1"/>
  <c r="N18" i="1"/>
  <c r="N21" i="1"/>
  <c r="N9" i="1"/>
  <c r="N8" i="1"/>
  <c r="N13" i="1"/>
  <c r="N10" i="1"/>
  <c r="N6" i="1"/>
  <c r="N15" i="1"/>
  <c r="N7" i="1"/>
  <c r="N14" i="1"/>
  <c r="H19" i="1"/>
  <c r="H48" i="1"/>
  <c r="H38" i="1"/>
  <c r="H52" i="1"/>
  <c r="H46" i="1"/>
  <c r="H25" i="1"/>
  <c r="H28" i="1"/>
  <c r="H49" i="1"/>
  <c r="H14" i="1"/>
  <c r="H75" i="1"/>
  <c r="H36" i="1"/>
  <c r="H60" i="1"/>
  <c r="H79" i="1"/>
  <c r="J81" i="1"/>
  <c r="J75" i="1"/>
  <c r="J78" i="1"/>
  <c r="J72" i="1"/>
  <c r="J69" i="1"/>
  <c r="J76" i="1"/>
  <c r="J73" i="1"/>
  <c r="J79" i="1"/>
  <c r="J70" i="1"/>
  <c r="J74" i="1"/>
  <c r="J71" i="1"/>
  <c r="J65" i="1"/>
  <c r="J77" i="1"/>
  <c r="J62" i="1"/>
  <c r="J59" i="1"/>
  <c r="J66" i="1"/>
  <c r="J60" i="1"/>
  <c r="J80" i="1"/>
  <c r="J67" i="1"/>
  <c r="J63" i="1"/>
  <c r="J68" i="1"/>
  <c r="J58" i="1"/>
  <c r="J53" i="1"/>
  <c r="J56" i="1"/>
  <c r="J50" i="1"/>
  <c r="J61" i="1"/>
  <c r="J54" i="1"/>
  <c r="J51" i="1"/>
  <c r="J57" i="1"/>
  <c r="J48" i="1"/>
  <c r="J52" i="1"/>
  <c r="J49" i="1"/>
  <c r="J43" i="1"/>
  <c r="J37" i="1"/>
  <c r="J40" i="1"/>
  <c r="J44" i="1"/>
  <c r="J46" i="1"/>
  <c r="J38" i="1"/>
  <c r="J35" i="1"/>
  <c r="J47" i="1"/>
  <c r="J41" i="1"/>
  <c r="J55" i="1"/>
  <c r="J45" i="1"/>
  <c r="J36" i="1"/>
  <c r="J64" i="1"/>
  <c r="J30" i="1"/>
  <c r="J27" i="1"/>
  <c r="J42" i="1"/>
  <c r="J39" i="1"/>
  <c r="J33" i="1"/>
  <c r="J24" i="1"/>
  <c r="J28" i="1"/>
  <c r="J34" i="1"/>
  <c r="J31" i="1"/>
  <c r="J22" i="1"/>
  <c r="J25" i="1"/>
  <c r="J32" i="1"/>
  <c r="J26" i="1"/>
  <c r="J23" i="1"/>
  <c r="J15" i="1"/>
  <c r="J14" i="1"/>
  <c r="J21" i="1"/>
  <c r="J29" i="1"/>
  <c r="J19" i="1"/>
  <c r="J17" i="1"/>
  <c r="J16" i="1"/>
  <c r="J11" i="1"/>
  <c r="J20" i="1"/>
  <c r="J18" i="1"/>
  <c r="J13" i="1"/>
  <c r="J12" i="1"/>
  <c r="J7" i="1"/>
  <c r="J6" i="1"/>
  <c r="J9" i="1"/>
  <c r="J10" i="1"/>
  <c r="M76" i="1"/>
  <c r="M73" i="1"/>
  <c r="M79" i="1"/>
  <c r="M70" i="1"/>
  <c r="M74" i="1"/>
  <c r="M80" i="1"/>
  <c r="M77" i="1"/>
  <c r="M71" i="1"/>
  <c r="M81" i="1"/>
  <c r="M75" i="1"/>
  <c r="M60" i="1"/>
  <c r="M72" i="1"/>
  <c r="M67" i="1"/>
  <c r="M63" i="1"/>
  <c r="M64" i="1"/>
  <c r="M61" i="1"/>
  <c r="M68" i="1"/>
  <c r="M58" i="1"/>
  <c r="M69" i="1"/>
  <c r="M65" i="1"/>
  <c r="M78" i="1"/>
  <c r="M66" i="1"/>
  <c r="M54" i="1"/>
  <c r="M51" i="1"/>
  <c r="M62" i="1"/>
  <c r="M57" i="1"/>
  <c r="M48" i="1"/>
  <c r="M52" i="1"/>
  <c r="M55" i="1"/>
  <c r="M49" i="1"/>
  <c r="M53" i="1"/>
  <c r="M38" i="1"/>
  <c r="M35" i="1"/>
  <c r="M41" i="1"/>
  <c r="M56" i="1"/>
  <c r="M50" i="1"/>
  <c r="M46" i="1"/>
  <c r="M45" i="1"/>
  <c r="M36" i="1"/>
  <c r="M47" i="1"/>
  <c r="M42" i="1"/>
  <c r="M39" i="1"/>
  <c r="M59" i="1"/>
  <c r="M43" i="1"/>
  <c r="M37" i="1"/>
  <c r="M44" i="1"/>
  <c r="M28" i="1"/>
  <c r="M34" i="1"/>
  <c r="M31" i="1"/>
  <c r="M25" i="1"/>
  <c r="M29" i="1"/>
  <c r="M32" i="1"/>
  <c r="M26" i="1"/>
  <c r="M23" i="1"/>
  <c r="M40" i="1"/>
  <c r="M33" i="1"/>
  <c r="M24" i="1"/>
  <c r="M27" i="1"/>
  <c r="M21" i="1"/>
  <c r="M30" i="1"/>
  <c r="M19" i="1"/>
  <c r="M17" i="1"/>
  <c r="M16" i="1"/>
  <c r="M20" i="1"/>
  <c r="M18" i="1"/>
  <c r="M13" i="1"/>
  <c r="M12" i="1"/>
  <c r="M22" i="1"/>
  <c r="M15" i="1"/>
  <c r="M14" i="1"/>
  <c r="M9" i="1"/>
  <c r="M8" i="1"/>
  <c r="M10" i="1"/>
  <c r="M7" i="1"/>
  <c r="M6" i="1"/>
  <c r="H51" i="1"/>
  <c r="H42" i="1"/>
  <c r="H16" i="1"/>
  <c r="T76" i="1"/>
  <c r="T73" i="1"/>
  <c r="T79" i="1"/>
  <c r="T70" i="1"/>
  <c r="T74" i="1"/>
  <c r="T20" i="1"/>
  <c r="T80" i="1"/>
  <c r="T77" i="1"/>
  <c r="T71" i="1"/>
  <c r="T78" i="1"/>
  <c r="T72" i="1"/>
  <c r="T69" i="1"/>
  <c r="T81" i="1"/>
  <c r="T66" i="1"/>
  <c r="T60" i="1"/>
  <c r="T75" i="1"/>
  <c r="T67" i="1"/>
  <c r="T63" i="1"/>
  <c r="T64" i="1"/>
  <c r="T61" i="1"/>
  <c r="T68" i="1"/>
  <c r="T58" i="1"/>
  <c r="T62" i="1"/>
  <c r="T59" i="1"/>
  <c r="T54" i="1"/>
  <c r="T51" i="1"/>
  <c r="T65" i="1"/>
  <c r="T48" i="1"/>
  <c r="T52" i="1"/>
  <c r="T55" i="1"/>
  <c r="T46" i="1"/>
  <c r="T57" i="1"/>
  <c r="T49" i="1"/>
  <c r="T56" i="1"/>
  <c r="T50" i="1"/>
  <c r="T47" i="1"/>
  <c r="T53" i="1"/>
  <c r="T44" i="1"/>
  <c r="T38" i="1"/>
  <c r="T35" i="1"/>
  <c r="T41" i="1"/>
  <c r="T36" i="1"/>
  <c r="T45" i="1"/>
  <c r="T42" i="1"/>
  <c r="T39" i="1"/>
  <c r="T40" i="1"/>
  <c r="T34" i="1"/>
  <c r="T33" i="1"/>
  <c r="T24" i="1"/>
  <c r="T28" i="1"/>
  <c r="T31" i="1"/>
  <c r="T25" i="1"/>
  <c r="T29" i="1"/>
  <c r="T43" i="1"/>
  <c r="T37" i="1"/>
  <c r="T32" i="1"/>
  <c r="T26" i="1"/>
  <c r="T23" i="1"/>
  <c r="T30" i="1"/>
  <c r="T27" i="1"/>
  <c r="T15" i="1"/>
  <c r="T14" i="1"/>
  <c r="T21" i="1"/>
  <c r="T22" i="1"/>
  <c r="T19" i="1"/>
  <c r="T17" i="1"/>
  <c r="T16" i="1"/>
  <c r="T11" i="1"/>
  <c r="T13" i="1"/>
  <c r="T12" i="1"/>
  <c r="T9" i="1"/>
  <c r="T8" i="1"/>
  <c r="T10" i="1"/>
  <c r="T7" i="1"/>
  <c r="T6" i="1"/>
  <c r="L76" i="1"/>
  <c r="L73" i="1"/>
  <c r="L79" i="1"/>
  <c r="L70" i="1"/>
  <c r="L74" i="1"/>
  <c r="L80" i="1"/>
  <c r="L77" i="1"/>
  <c r="L71" i="1"/>
  <c r="L78" i="1"/>
  <c r="L72" i="1"/>
  <c r="L69" i="1"/>
  <c r="L66" i="1"/>
  <c r="L81" i="1"/>
  <c r="L60" i="1"/>
  <c r="L67" i="1"/>
  <c r="L63" i="1"/>
  <c r="L75" i="1"/>
  <c r="L64" i="1"/>
  <c r="L61" i="1"/>
  <c r="L68" i="1"/>
  <c r="L58" i="1"/>
  <c r="L62" i="1"/>
  <c r="L59" i="1"/>
  <c r="L54" i="1"/>
  <c r="L51" i="1"/>
  <c r="L57" i="1"/>
  <c r="L48" i="1"/>
  <c r="L65" i="1"/>
  <c r="L52" i="1"/>
  <c r="L55" i="1"/>
  <c r="L46" i="1"/>
  <c r="L49" i="1"/>
  <c r="L56" i="1"/>
  <c r="L50" i="1"/>
  <c r="L47" i="1"/>
  <c r="L44" i="1"/>
  <c r="L53" i="1"/>
  <c r="L38" i="1"/>
  <c r="L35" i="1"/>
  <c r="L41" i="1"/>
  <c r="L45" i="1"/>
  <c r="L36" i="1"/>
  <c r="L42" i="1"/>
  <c r="L39" i="1"/>
  <c r="L40" i="1"/>
  <c r="L33" i="1"/>
  <c r="L24" i="1"/>
  <c r="L28" i="1"/>
  <c r="L34" i="1"/>
  <c r="L31" i="1"/>
  <c r="L25" i="1"/>
  <c r="L29" i="1"/>
  <c r="L32" i="1"/>
  <c r="L26" i="1"/>
  <c r="L23" i="1"/>
  <c r="L30" i="1"/>
  <c r="L27" i="1"/>
  <c r="L15" i="1"/>
  <c r="L14" i="1"/>
  <c r="L21" i="1"/>
  <c r="L19" i="1"/>
  <c r="L17" i="1"/>
  <c r="L16" i="1"/>
  <c r="L37" i="1"/>
  <c r="L20" i="1"/>
  <c r="L18" i="1"/>
  <c r="L13" i="1"/>
  <c r="L12" i="1"/>
  <c r="L43" i="1"/>
  <c r="L9" i="1"/>
  <c r="L8" i="1"/>
  <c r="L22" i="1"/>
  <c r="L11" i="1"/>
  <c r="L7" i="1"/>
  <c r="L6" i="1"/>
  <c r="H15" i="1"/>
  <c r="H63" i="1"/>
  <c r="H53" i="1"/>
  <c r="H72" i="1"/>
  <c r="H61" i="1"/>
  <c r="H40" i="1"/>
  <c r="H68" i="1"/>
  <c r="H65" i="1"/>
  <c r="CH51" i="1" l="1"/>
  <c r="CH44" i="1"/>
  <c r="CH10" i="1"/>
  <c r="CH27" i="1"/>
  <c r="CH41" i="1"/>
  <c r="CI20" i="1"/>
  <c r="CK20" i="1" s="1"/>
  <c r="CI27" i="1"/>
  <c r="CK27" i="1" s="1"/>
  <c r="CI55" i="1"/>
  <c r="CK55" i="1" s="1"/>
  <c r="CJ55" i="1"/>
  <c r="CH6" i="1"/>
  <c r="CH56" i="1"/>
  <c r="CH39" i="1"/>
  <c r="CH24" i="1"/>
  <c r="CJ58" i="1"/>
  <c r="CH57" i="1"/>
  <c r="CI57" i="1"/>
  <c r="CK57" i="1" s="1"/>
  <c r="CJ57" i="1"/>
  <c r="CI65" i="1"/>
  <c r="CK65" i="1" s="1"/>
  <c r="CJ65" i="1"/>
  <c r="CH65" i="1"/>
  <c r="CI51" i="1"/>
  <c r="CK51" i="1" s="1"/>
  <c r="CJ51" i="1"/>
  <c r="CI60" i="1"/>
  <c r="CK60" i="1" s="1"/>
  <c r="CH60" i="1"/>
  <c r="CJ60" i="1"/>
  <c r="CH52" i="1"/>
  <c r="CI52" i="1"/>
  <c r="CK52" i="1" s="1"/>
  <c r="CJ52" i="1"/>
  <c r="CI7" i="1"/>
  <c r="CK7" i="1" s="1"/>
  <c r="CJ7" i="1"/>
  <c r="CH7" i="1"/>
  <c r="CJ9" i="1"/>
  <c r="CH9" i="1"/>
  <c r="CI9" i="1"/>
  <c r="CK9" i="1" s="1"/>
  <c r="CI11" i="1"/>
  <c r="CK11" i="1" s="1"/>
  <c r="CH11" i="1"/>
  <c r="CJ11" i="1"/>
  <c r="CJ62" i="1"/>
  <c r="CH62" i="1"/>
  <c r="CI62" i="1"/>
  <c r="CK62" i="1" s="1"/>
  <c r="CH54" i="1"/>
  <c r="CI54" i="1"/>
  <c r="CK54" i="1" s="1"/>
  <c r="CJ54" i="1"/>
  <c r="CH77" i="1"/>
  <c r="CI77" i="1"/>
  <c r="CK77" i="1" s="1"/>
  <c r="CJ77" i="1"/>
  <c r="CI39" i="1"/>
  <c r="CK39" i="1" s="1"/>
  <c r="CJ39" i="1"/>
  <c r="CH55" i="1"/>
  <c r="CJ27" i="1"/>
  <c r="CH20" i="1"/>
  <c r="CH68" i="1"/>
  <c r="CI68" i="1"/>
  <c r="CK68" i="1" s="1"/>
  <c r="CJ68" i="1"/>
  <c r="CH71" i="1"/>
  <c r="CI71" i="1"/>
  <c r="CK71" i="1" s="1"/>
  <c r="CJ71" i="1"/>
  <c r="CH40" i="1"/>
  <c r="CI40" i="1"/>
  <c r="CK40" i="1" s="1"/>
  <c r="CJ40" i="1"/>
  <c r="CH75" i="1"/>
  <c r="CI75" i="1"/>
  <c r="CK75" i="1" s="1"/>
  <c r="CJ75" i="1"/>
  <c r="CJ48" i="1"/>
  <c r="CH48" i="1"/>
  <c r="CI48" i="1"/>
  <c r="CK48" i="1" s="1"/>
  <c r="CH81" i="1"/>
  <c r="CI81" i="1"/>
  <c r="CK81" i="1" s="1"/>
  <c r="CJ81" i="1"/>
  <c r="CH22" i="1"/>
  <c r="CI22" i="1"/>
  <c r="CK22" i="1" s="1"/>
  <c r="CJ22" i="1"/>
  <c r="CH66" i="1"/>
  <c r="CI66" i="1"/>
  <c r="CK66" i="1" s="1"/>
  <c r="CJ66" i="1"/>
  <c r="CI69" i="1"/>
  <c r="CK69" i="1" s="1"/>
  <c r="CH69" i="1"/>
  <c r="CJ69" i="1"/>
  <c r="CH12" i="1"/>
  <c r="CI12" i="1"/>
  <c r="CK12" i="1" s="1"/>
  <c r="CJ12" i="1"/>
  <c r="CH8" i="1"/>
  <c r="CI8" i="1"/>
  <c r="CK8" i="1" s="1"/>
  <c r="CJ8" i="1"/>
  <c r="CH61" i="1"/>
  <c r="CI61" i="1"/>
  <c r="CK61" i="1" s="1"/>
  <c r="CJ61" i="1"/>
  <c r="CI14" i="1"/>
  <c r="CK14" i="1" s="1"/>
  <c r="CJ14" i="1"/>
  <c r="CH14" i="1"/>
  <c r="CH19" i="1"/>
  <c r="CI19" i="1"/>
  <c r="CK19" i="1" s="1"/>
  <c r="CJ19" i="1"/>
  <c r="CH21" i="1"/>
  <c r="CI21" i="1"/>
  <c r="CK21" i="1" s="1"/>
  <c r="CJ21" i="1"/>
  <c r="CJ13" i="1"/>
  <c r="CH13" i="1"/>
  <c r="CI13" i="1"/>
  <c r="CK13" i="1" s="1"/>
  <c r="CI34" i="1"/>
  <c r="CK34" i="1" s="1"/>
  <c r="CH34" i="1"/>
  <c r="CJ34" i="1"/>
  <c r="CH17" i="1"/>
  <c r="CI17" i="1"/>
  <c r="CK17" i="1" s="1"/>
  <c r="CJ17" i="1"/>
  <c r="CH80" i="1"/>
  <c r="CI80" i="1"/>
  <c r="CK80" i="1" s="1"/>
  <c r="CJ80" i="1"/>
  <c r="CJ10" i="1"/>
  <c r="CJ56" i="1"/>
  <c r="CI58" i="1"/>
  <c r="CK58" i="1" s="1"/>
  <c r="CH47" i="1"/>
  <c r="CI47" i="1"/>
  <c r="CK47" i="1" s="1"/>
  <c r="CJ47" i="1"/>
  <c r="CJ78" i="1"/>
  <c r="CH78" i="1"/>
  <c r="CI78" i="1"/>
  <c r="CK78" i="1" s="1"/>
  <c r="CI72" i="1"/>
  <c r="CK72" i="1" s="1"/>
  <c r="CJ72" i="1"/>
  <c r="CH72" i="1"/>
  <c r="CH49" i="1"/>
  <c r="CI49" i="1"/>
  <c r="CK49" i="1" s="1"/>
  <c r="CJ49" i="1"/>
  <c r="CH31" i="1"/>
  <c r="CI31" i="1"/>
  <c r="CK31" i="1" s="1"/>
  <c r="CJ31" i="1"/>
  <c r="CH59" i="1"/>
  <c r="CI59" i="1"/>
  <c r="CK59" i="1" s="1"/>
  <c r="CJ59" i="1"/>
  <c r="CH33" i="1"/>
  <c r="CI33" i="1"/>
  <c r="CK33" i="1" s="1"/>
  <c r="CJ33" i="1"/>
  <c r="CH70" i="1"/>
  <c r="CI70" i="1"/>
  <c r="CK70" i="1" s="1"/>
  <c r="CJ70" i="1"/>
  <c r="CJ74" i="1"/>
  <c r="CH74" i="1"/>
  <c r="CI74" i="1"/>
  <c r="CK74" i="1" s="1"/>
  <c r="CI10" i="1"/>
  <c r="CK10" i="1" s="1"/>
  <c r="CI56" i="1"/>
  <c r="CK56" i="1" s="1"/>
  <c r="CH58" i="1"/>
  <c r="CH53" i="1"/>
  <c r="CI53" i="1"/>
  <c r="CK53" i="1" s="1"/>
  <c r="CJ53" i="1"/>
  <c r="CH28" i="1"/>
  <c r="CI28" i="1"/>
  <c r="CK28" i="1" s="1"/>
  <c r="CJ28" i="1"/>
  <c r="CJ41" i="1"/>
  <c r="CI41" i="1"/>
  <c r="CK41" i="1" s="1"/>
  <c r="CH73" i="1"/>
  <c r="CI73" i="1"/>
  <c r="CK73" i="1" s="1"/>
  <c r="CJ73" i="1"/>
  <c r="CH37" i="1"/>
  <c r="CI37" i="1"/>
  <c r="CK37" i="1" s="1"/>
  <c r="CJ37" i="1"/>
  <c r="CJ6" i="1"/>
  <c r="CJ24" i="1"/>
  <c r="CH26" i="1"/>
  <c r="CI26" i="1"/>
  <c r="CK26" i="1" s="1"/>
  <c r="CJ26" i="1"/>
  <c r="CH63" i="1"/>
  <c r="CI63" i="1"/>
  <c r="CK63" i="1" s="1"/>
  <c r="CJ63" i="1"/>
  <c r="CJ16" i="1"/>
  <c r="CI16" i="1"/>
  <c r="CK16" i="1" s="1"/>
  <c r="CH16" i="1"/>
  <c r="CJ25" i="1"/>
  <c r="CH25" i="1"/>
  <c r="CI25" i="1"/>
  <c r="CK25" i="1" s="1"/>
  <c r="CI23" i="1"/>
  <c r="CK23" i="1" s="1"/>
  <c r="CJ23" i="1"/>
  <c r="CH23" i="1"/>
  <c r="CH35" i="1"/>
  <c r="CI35" i="1"/>
  <c r="CK35" i="1" s="1"/>
  <c r="CJ35" i="1"/>
  <c r="CH50" i="1"/>
  <c r="CJ50" i="1"/>
  <c r="CI50" i="1"/>
  <c r="CK50" i="1" s="1"/>
  <c r="CI6" i="1"/>
  <c r="CK6" i="1" s="1"/>
  <c r="CI24" i="1"/>
  <c r="CK24" i="1" s="1"/>
  <c r="CI18" i="1"/>
  <c r="CK18" i="1" s="1"/>
  <c r="CH18" i="1"/>
  <c r="CJ18" i="1"/>
  <c r="CJ20" i="1"/>
  <c r="CJ32" i="1"/>
  <c r="CH32" i="1"/>
  <c r="CI32" i="1"/>
  <c r="CK32" i="1" s="1"/>
  <c r="CH36" i="1"/>
  <c r="CI36" i="1"/>
  <c r="CK36" i="1" s="1"/>
  <c r="CJ36" i="1"/>
  <c r="CH38" i="1"/>
  <c r="CI38" i="1"/>
  <c r="CK38" i="1" s="1"/>
  <c r="CJ38" i="1"/>
  <c r="CJ45" i="1"/>
  <c r="CH45" i="1"/>
  <c r="CI45" i="1"/>
  <c r="CK45" i="1" s="1"/>
  <c r="CH15" i="1"/>
  <c r="CI15" i="1"/>
  <c r="CK15" i="1" s="1"/>
  <c r="CJ15" i="1"/>
  <c r="CH42" i="1"/>
  <c r="CI42" i="1"/>
  <c r="CK42" i="1" s="1"/>
  <c r="CJ42" i="1"/>
  <c r="CH79" i="1"/>
  <c r="CI79" i="1"/>
  <c r="CK79" i="1" s="1"/>
  <c r="CJ79" i="1"/>
  <c r="CI46" i="1"/>
  <c r="CK46" i="1" s="1"/>
  <c r="CJ46" i="1"/>
  <c r="CH46" i="1"/>
  <c r="CH64" i="1"/>
  <c r="CI64" i="1"/>
  <c r="CK64" i="1" s="1"/>
  <c r="CJ64" i="1"/>
  <c r="CI44" i="1"/>
  <c r="CK44" i="1" s="1"/>
  <c r="CJ44" i="1"/>
  <c r="CI30" i="1"/>
  <c r="CK30" i="1" s="1"/>
  <c r="CJ30" i="1"/>
  <c r="CH30" i="1"/>
  <c r="CI76" i="1"/>
  <c r="CK76" i="1" s="1"/>
  <c r="CH76" i="1"/>
  <c r="CJ76" i="1"/>
  <c r="CJ67" i="1"/>
  <c r="CH67" i="1"/>
  <c r="CI67" i="1"/>
  <c r="CK67" i="1" s="1"/>
  <c r="CI43" i="1"/>
  <c r="CK43" i="1" s="1"/>
  <c r="CH43" i="1"/>
  <c r="CJ43" i="1"/>
  <c r="CJ29" i="1"/>
  <c r="CH29" i="1"/>
  <c r="CI29" i="1"/>
  <c r="CK29" i="1" s="1"/>
  <c r="CH83" i="1" l="1"/>
</calcChain>
</file>

<file path=xl/sharedStrings.xml><?xml version="1.0" encoding="utf-8"?>
<sst xmlns="http://schemas.openxmlformats.org/spreadsheetml/2006/main" count="16" uniqueCount="15">
  <si>
    <t>X cord.</t>
  </si>
  <si>
    <t>ısOPen</t>
  </si>
  <si>
    <t>OBJ</t>
  </si>
  <si>
    <t>Total obj</t>
  </si>
  <si>
    <t>How many cities are there?</t>
  </si>
  <si>
    <t>Demand</t>
  </si>
  <si>
    <t>Y cord.</t>
  </si>
  <si>
    <t>#</t>
  </si>
  <si>
    <t>cities</t>
  </si>
  <si>
    <t>HlookUp</t>
  </si>
  <si>
    <t>Vlookup</t>
  </si>
  <si>
    <t>iteration Number</t>
  </si>
  <si>
    <t>Generation Size</t>
  </si>
  <si>
    <t>p restriction</t>
  </si>
  <si>
    <t>p restiriction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</si>
</sst>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4" borderId="0" xfId="0" applyFont="1" applyFill="1"/>
    <xf numFmtId="0" fontId="1" fillId="2" borderId="0" xfId="0" applyFont="1" applyFill="1"/>
    <xf numFmtId="0" fontId="0" fillId="5" borderId="0" xfId="0" applyFill="1"/>
    <xf numFmtId="0" fontId="1" fillId="6" borderId="0" xfId="0" applyFont="1" applyFill="1"/>
    <xf numFmtId="164" fontId="0" fillId="3" borderId="0" xfId="0" applyNumberFormat="1" applyFill="1"/>
    <xf numFmtId="0" fontId="3" fillId="7" borderId="0" xfId="0" applyFont="1" applyFill="1" applyAlignment="1">
      <alignment horizontal="center" vertical="center"/>
    </xf>
    <xf numFmtId="0" fontId="0" fillId="10" borderId="0" xfId="0" applyFill="1"/>
    <xf numFmtId="0" fontId="1" fillId="2" borderId="0" xfId="0" applyFont="1" applyFill="1" applyAlignment="1">
      <alignment horizontal="center" vertical="center"/>
    </xf>
    <xf numFmtId="2" fontId="0" fillId="10" borderId="0" xfId="0" applyNumberFormat="1" applyFill="1"/>
    <xf numFmtId="2" fontId="0" fillId="3" borderId="0" xfId="0" applyNumberFormat="1" applyFill="1"/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114300</xdr:rowOff>
        </xdr:from>
        <xdr:to>
          <xdr:col>3</xdr:col>
          <xdr:colOff>447675</xdr:colOff>
          <xdr:row>8</xdr:row>
          <xdr:rowOff>85725</xdr:rowOff>
        </xdr:to>
        <xdr:sp macro="" textlink="">
          <xdr:nvSpPr>
            <xdr:cNvPr id="1025" name="starting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9</xdr:row>
          <xdr:rowOff>28575</xdr:rowOff>
        </xdr:from>
        <xdr:to>
          <xdr:col>3</xdr:col>
          <xdr:colOff>400050</xdr:colOff>
          <xdr:row>10</xdr:row>
          <xdr:rowOff>142875</xdr:rowOff>
        </xdr:to>
        <xdr:sp macro="" textlink="">
          <xdr:nvSpPr>
            <xdr:cNvPr id="1026" name="control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0</xdr:row>
          <xdr:rowOff>133350</xdr:rowOff>
        </xdr:from>
        <xdr:to>
          <xdr:col>6</xdr:col>
          <xdr:colOff>123825</xdr:colOff>
          <xdr:row>3</xdr:row>
          <xdr:rowOff>57150</xdr:rowOff>
        </xdr:to>
        <xdr:sp macro="" textlink="">
          <xdr:nvSpPr>
            <xdr:cNvPr id="3073" name="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Coords" displayName="Coords" ref="A5:E81" totalsRowShown="0" headerRowDxfId="6" dataDxfId="5">
  <autoFilter ref="A5:E81"/>
  <tableColumns count="5">
    <tableColumn id="1" name="#" dataDxfId="4"/>
    <tableColumn id="2" name="Demand" dataDxfId="3"/>
    <tableColumn id="3" name="X cord." dataDxfId="2"/>
    <tableColumn id="4" name="Y cord." dataDxfId="1"/>
    <tableColumn id="5" name="ısOP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3"/>
  <sheetViews>
    <sheetView workbookViewId="0">
      <selection activeCell="A7" sqref="A7"/>
    </sheetView>
  </sheetViews>
  <sheetFormatPr defaultColWidth="9.140625" defaultRowHeight="15" x14ac:dyDescent="0.25"/>
  <cols>
    <col min="1" max="16376" width="9.140625" customWidth="1"/>
  </cols>
  <sheetData>
    <row r="1" spans="1:4" x14ac:dyDescent="0.25">
      <c r="A1" s="11" t="s">
        <v>4</v>
      </c>
      <c r="B1" s="11"/>
      <c r="C1" s="12">
        <v>76</v>
      </c>
      <c r="D1" s="12"/>
    </row>
    <row r="2" spans="1:4" x14ac:dyDescent="0.25">
      <c r="A2" s="11"/>
      <c r="B2" s="11"/>
      <c r="C2" s="12"/>
      <c r="D2" s="12"/>
    </row>
    <row r="3" spans="1:4" x14ac:dyDescent="0.25">
      <c r="A3" s="11"/>
      <c r="B3" s="11"/>
      <c r="C3" s="12"/>
      <c r="D3" s="12"/>
    </row>
    <row r="4" spans="1:4" x14ac:dyDescent="0.25">
      <c r="A4" s="11" t="s">
        <v>13</v>
      </c>
      <c r="B4" s="11"/>
      <c r="C4" s="12">
        <v>9</v>
      </c>
      <c r="D4" s="12"/>
    </row>
    <row r="5" spans="1:4" ht="15" customHeight="1" x14ac:dyDescent="0.25">
      <c r="A5" s="11"/>
      <c r="B5" s="11"/>
      <c r="C5" s="12"/>
      <c r="D5" s="12"/>
    </row>
    <row r="6" spans="1:4" x14ac:dyDescent="0.25">
      <c r="A6" s="11"/>
      <c r="B6" s="11"/>
      <c r="C6" s="12"/>
      <c r="D6" s="12"/>
    </row>
    <row r="13" spans="1:4" x14ac:dyDescent="0.25">
      <c r="A13" t="s">
        <v>7</v>
      </c>
    </row>
  </sheetData>
  <mergeCells count="4">
    <mergeCell ref="A1:B3"/>
    <mergeCell ref="C1:D3"/>
    <mergeCell ref="A4:B6"/>
    <mergeCell ref="C4:D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ntrolButton">
          <controlPr defaultSize="0" autoLine="0" r:id="rId5">
            <anchor moveWithCells="1">
              <from>
                <xdr:col>0</xdr:col>
                <xdr:colOff>561975</xdr:colOff>
                <xdr:row>9</xdr:row>
                <xdr:rowOff>28575</xdr:rowOff>
              </from>
              <to>
                <xdr:col>3</xdr:col>
                <xdr:colOff>400050</xdr:colOff>
                <xdr:row>10</xdr:row>
                <xdr:rowOff>142875</xdr:rowOff>
              </to>
            </anchor>
          </controlPr>
        </control>
      </mc:Choice>
      <mc:Fallback>
        <control shapeId="1026" r:id="rId4" name="controlButton"/>
      </mc:Fallback>
    </mc:AlternateContent>
    <mc:AlternateContent xmlns:mc="http://schemas.openxmlformats.org/markup-compatibility/2006">
      <mc:Choice Requires="x14">
        <control shapeId="1025" r:id="rId6" name="startingButton">
          <controlPr defaultSize="0" autoLine="0" autoPict="0" r:id="rId7">
            <anchor moveWithCells="1">
              <from>
                <xdr:col>1</xdr:col>
                <xdr:colOff>28575</xdr:colOff>
                <xdr:row>6</xdr:row>
                <xdr:rowOff>114300</xdr:rowOff>
              </from>
              <to>
                <xdr:col>3</xdr:col>
                <xdr:colOff>447675</xdr:colOff>
                <xdr:row>8</xdr:row>
                <xdr:rowOff>85725</xdr:rowOff>
              </to>
            </anchor>
          </controlPr>
        </control>
      </mc:Choice>
      <mc:Fallback>
        <control shapeId="1025" r:id="rId6" name="startin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83"/>
  <sheetViews>
    <sheetView zoomScale="70" zoomScaleNormal="70" workbookViewId="0">
      <selection activeCell="A4" sqref="A4"/>
    </sheetView>
  </sheetViews>
  <sheetFormatPr defaultRowHeight="15" x14ac:dyDescent="0.25"/>
  <cols>
    <col min="1" max="1" width="18.140625" customWidth="1"/>
    <col min="2" max="2" width="10.5703125" customWidth="1"/>
    <col min="5" max="5" width="9.42578125" customWidth="1"/>
    <col min="7" max="7" width="5.7109375" customWidth="1"/>
    <col min="8" max="40" width="5.85546875" customWidth="1"/>
    <col min="41" max="41" width="7.28515625" customWidth="1"/>
    <col min="42" max="58" width="5.85546875" customWidth="1"/>
    <col min="59" max="59" width="6" customWidth="1"/>
    <col min="60" max="83" width="5.85546875" customWidth="1"/>
  </cols>
  <sheetData>
    <row r="1" spans="1:89" x14ac:dyDescent="0.25">
      <c r="A1" t="s">
        <v>11</v>
      </c>
      <c r="B1">
        <v>50</v>
      </c>
    </row>
    <row r="2" spans="1:89" x14ac:dyDescent="0.25">
      <c r="A2" t="s">
        <v>12</v>
      </c>
      <c r="B2">
        <v>51</v>
      </c>
    </row>
    <row r="3" spans="1:89" x14ac:dyDescent="0.25">
      <c r="A3" t="s">
        <v>14</v>
      </c>
      <c r="B3">
        <v>11</v>
      </c>
    </row>
    <row r="4" spans="1:89" x14ac:dyDescent="0.25">
      <c r="G4" t="str">
        <f t="shared" ref="G4:T4" si="0">INDEX(IsOpen,COLUMN(A1),ROW(A1))</f>
        <v>ısOPen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ref="U4:BF4" si="1">INDEX(IsOpen,COLUMN(O1),ROW(O1))</f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  <c r="BG4">
        <f t="shared" ref="BG4" si="2">INDEX(IsOpen,COLUMN(BA1),ROW(BA1))</f>
        <v>0</v>
      </c>
      <c r="BH4">
        <f t="shared" ref="BH4" si="3">INDEX(IsOpen,COLUMN(BB1),ROW(BB1))</f>
        <v>0</v>
      </c>
      <c r="BI4">
        <f t="shared" ref="BI4" si="4">INDEX(IsOpen,COLUMN(BC1),ROW(BC1))</f>
        <v>0</v>
      </c>
      <c r="BJ4">
        <f t="shared" ref="BJ4" si="5">INDEX(IsOpen,COLUMN(BD1),ROW(BD1))</f>
        <v>0</v>
      </c>
      <c r="BK4">
        <f t="shared" ref="BK4" si="6">INDEX(IsOpen,COLUMN(BE1),ROW(BE1))</f>
        <v>0</v>
      </c>
      <c r="BL4">
        <f t="shared" ref="BL4" si="7">INDEX(IsOpen,COLUMN(BF1),ROW(BF1))</f>
        <v>0</v>
      </c>
      <c r="BM4">
        <f t="shared" ref="BM4" si="8">INDEX(IsOpen,COLUMN(BG1),ROW(BG1))</f>
        <v>0</v>
      </c>
      <c r="BN4">
        <f t="shared" ref="BN4" si="9">INDEX(IsOpen,COLUMN(BH1),ROW(BH1))</f>
        <v>0</v>
      </c>
      <c r="BO4">
        <f t="shared" ref="BO4" si="10">INDEX(IsOpen,COLUMN(BI1),ROW(BI1))</f>
        <v>0</v>
      </c>
      <c r="BP4">
        <f t="shared" ref="BP4" si="11">INDEX(IsOpen,COLUMN(BJ1),ROW(BJ1))</f>
        <v>0</v>
      </c>
      <c r="BQ4">
        <f t="shared" ref="BQ4" si="12">INDEX(IsOpen,COLUMN(BK1),ROW(BK1))</f>
        <v>0</v>
      </c>
      <c r="BR4">
        <f t="shared" ref="BR4" si="13">INDEX(IsOpen,COLUMN(BL1),ROW(BL1))</f>
        <v>0</v>
      </c>
      <c r="BS4">
        <f t="shared" ref="BS4" si="14">INDEX(IsOpen,COLUMN(BM1),ROW(BM1))</f>
        <v>0</v>
      </c>
      <c r="BT4">
        <f t="shared" ref="BT4" si="15">INDEX(IsOpen,COLUMN(BN1),ROW(BN1))</f>
        <v>0</v>
      </c>
      <c r="BU4">
        <f t="shared" ref="BU4" si="16">INDEX(IsOpen,COLUMN(BO1),ROW(BO1))</f>
        <v>0</v>
      </c>
      <c r="BV4">
        <f t="shared" ref="BV4" si="17">INDEX(IsOpen,COLUMN(BP1),ROW(BP1))</f>
        <v>0</v>
      </c>
      <c r="BW4">
        <f t="shared" ref="BW4" si="18">INDEX(IsOpen,COLUMN(BQ1),ROW(BQ1))</f>
        <v>0</v>
      </c>
      <c r="BX4">
        <f t="shared" ref="BX4" si="19">INDEX(IsOpen,COLUMN(BR1),ROW(BR1))</f>
        <v>0</v>
      </c>
      <c r="BY4">
        <f t="shared" ref="BY4" si="20">INDEX(IsOpen,COLUMN(BS1),ROW(BS1))</f>
        <v>0</v>
      </c>
      <c r="BZ4">
        <f t="shared" ref="BZ4" si="21">INDEX(IsOpen,COLUMN(BT1),ROW(BT1))</f>
        <v>0</v>
      </c>
      <c r="CA4">
        <f t="shared" ref="CA4" si="22">INDEX(IsOpen,COLUMN(BU1),ROW(BU1))</f>
        <v>0</v>
      </c>
      <c r="CB4">
        <f t="shared" ref="CB4" si="23">INDEX(IsOpen,COLUMN(BV1),ROW(BV1))</f>
        <v>0</v>
      </c>
      <c r="CC4">
        <f t="shared" ref="CC4" si="24">INDEX(IsOpen,COLUMN(BW1),ROW(BW1))</f>
        <v>0</v>
      </c>
      <c r="CD4">
        <f t="shared" ref="CD4" si="25">INDEX(IsOpen,COLUMN(BX1),ROW(BX1))</f>
        <v>0</v>
      </c>
      <c r="CE4">
        <f t="shared" ref="CE4" si="26">INDEX(IsOpen,COLUMN(BY1),ROW(BY1))</f>
        <v>0</v>
      </c>
    </row>
    <row r="5" spans="1:89" ht="18.75" x14ac:dyDescent="0.25">
      <c r="A5" t="s">
        <v>7</v>
      </c>
      <c r="B5" s="2" t="s">
        <v>5</v>
      </c>
      <c r="C5" s="2" t="s">
        <v>0</v>
      </c>
      <c r="D5" s="2" t="s">
        <v>6</v>
      </c>
      <c r="E5" s="1" t="s">
        <v>1</v>
      </c>
      <c r="G5" t="s">
        <v>8</v>
      </c>
      <c r="H5" s="4">
        <f>INDEX(Coords[[#All],['#]],COLUMN(B1),ROW(B1))</f>
        <v>1</v>
      </c>
      <c r="I5" s="4">
        <v>2</v>
      </c>
      <c r="J5" s="4">
        <v>3</v>
      </c>
      <c r="K5" s="4">
        <v>4</v>
      </c>
      <c r="L5" s="4">
        <v>5</v>
      </c>
      <c r="M5" s="4">
        <v>6</v>
      </c>
      <c r="N5" s="4">
        <v>7</v>
      </c>
      <c r="O5" s="4">
        <v>8</v>
      </c>
      <c r="P5" s="4">
        <v>9</v>
      </c>
      <c r="Q5" s="4">
        <v>10</v>
      </c>
      <c r="R5" s="4">
        <v>11</v>
      </c>
      <c r="S5" s="4">
        <v>12</v>
      </c>
      <c r="T5" s="4">
        <v>13</v>
      </c>
      <c r="U5" s="4">
        <v>14</v>
      </c>
      <c r="V5" s="4">
        <v>15</v>
      </c>
      <c r="W5" s="4">
        <v>16</v>
      </c>
      <c r="X5" s="4">
        <v>17</v>
      </c>
      <c r="Y5" s="4">
        <v>18</v>
      </c>
      <c r="Z5" s="4">
        <v>19</v>
      </c>
      <c r="AA5" s="4">
        <v>20</v>
      </c>
      <c r="AB5" s="4">
        <v>21</v>
      </c>
      <c r="AC5" s="4">
        <v>22</v>
      </c>
      <c r="AD5" s="4">
        <v>23</v>
      </c>
      <c r="AE5" s="4">
        <v>24</v>
      </c>
      <c r="AF5" s="4">
        <v>25</v>
      </c>
      <c r="AG5" s="4">
        <v>26</v>
      </c>
      <c r="AH5" s="4">
        <v>27</v>
      </c>
      <c r="AI5" s="4">
        <v>28</v>
      </c>
      <c r="AJ5" s="4">
        <v>29</v>
      </c>
      <c r="AK5" s="4">
        <v>30</v>
      </c>
      <c r="AL5" s="4">
        <v>31</v>
      </c>
      <c r="AM5" s="4">
        <v>32</v>
      </c>
      <c r="AN5" s="4">
        <v>33</v>
      </c>
      <c r="AO5" s="4">
        <v>34</v>
      </c>
      <c r="AP5" s="4">
        <v>35</v>
      </c>
      <c r="AQ5" s="4">
        <v>36</v>
      </c>
      <c r="AR5" s="4">
        <v>37</v>
      </c>
      <c r="AS5" s="4">
        <v>38</v>
      </c>
      <c r="AT5" s="4">
        <v>39</v>
      </c>
      <c r="AU5" s="4">
        <v>40</v>
      </c>
      <c r="AV5" s="4">
        <v>41</v>
      </c>
      <c r="AW5" s="4">
        <v>42</v>
      </c>
      <c r="AX5" s="4">
        <v>43</v>
      </c>
      <c r="AY5" s="4">
        <v>44</v>
      </c>
      <c r="AZ5" s="4">
        <v>45</v>
      </c>
      <c r="BA5" s="4">
        <v>46</v>
      </c>
      <c r="BB5" s="4">
        <v>47</v>
      </c>
      <c r="BC5" s="4">
        <v>48</v>
      </c>
      <c r="BD5" s="4">
        <v>49</v>
      </c>
      <c r="BE5" s="4">
        <v>50</v>
      </c>
      <c r="BF5" s="4">
        <v>51</v>
      </c>
      <c r="BG5" s="4">
        <v>52</v>
      </c>
      <c r="BH5" s="4">
        <v>53</v>
      </c>
      <c r="BI5" s="4">
        <v>54</v>
      </c>
      <c r="BJ5" s="4">
        <v>55</v>
      </c>
      <c r="BK5" s="4">
        <v>56</v>
      </c>
      <c r="BL5" s="4">
        <v>57</v>
      </c>
      <c r="BM5" s="4">
        <v>58</v>
      </c>
      <c r="BN5" s="4">
        <v>59</v>
      </c>
      <c r="BO5" s="4">
        <v>60</v>
      </c>
      <c r="BP5" s="4">
        <v>61</v>
      </c>
      <c r="BQ5" s="4">
        <v>62</v>
      </c>
      <c r="BR5" s="4">
        <v>63</v>
      </c>
      <c r="BS5" s="4">
        <v>64</v>
      </c>
      <c r="BT5" s="4">
        <v>65</v>
      </c>
      <c r="BU5" s="4">
        <v>66</v>
      </c>
      <c r="BV5" s="4">
        <v>67</v>
      </c>
      <c r="BW5" s="4">
        <v>68</v>
      </c>
      <c r="BX5" s="4">
        <v>69</v>
      </c>
      <c r="BY5" s="4">
        <v>70</v>
      </c>
      <c r="BZ5" s="4">
        <v>71</v>
      </c>
      <c r="CA5" s="4">
        <v>72</v>
      </c>
      <c r="CB5" s="4">
        <v>73</v>
      </c>
      <c r="CC5" s="4">
        <v>74</v>
      </c>
      <c r="CD5" s="4">
        <v>75</v>
      </c>
      <c r="CE5" s="4">
        <v>76</v>
      </c>
      <c r="CF5" s="4"/>
      <c r="CH5" s="6" t="s">
        <v>2</v>
      </c>
      <c r="CI5" s="6" t="s">
        <v>10</v>
      </c>
      <c r="CJ5" s="6" t="s">
        <v>9</v>
      </c>
    </row>
    <row r="6" spans="1:89" x14ac:dyDescent="0.25">
      <c r="A6" s="8">
        <v>1</v>
      </c>
      <c r="B6" s="3"/>
      <c r="C6" s="3"/>
      <c r="D6" s="3"/>
      <c r="E6" s="3"/>
      <c r="G6" s="4">
        <v>1</v>
      </c>
      <c r="H6" s="10">
        <f>IF($G6=H$5,1000,IF(H$4=0,1000,SQRT((VLOOKUP($G6,Coords[],3,FALSE)-VLOOKUP(H$5,Coords[],3,FALSE))^2+(VLOOKUP($G6,Coords[],4,FALSE)-VLOOKUP(H$5,Coords[],4,FALSE))^2)))</f>
        <v>1000</v>
      </c>
      <c r="I6" s="10">
        <f>IF($G6=I$5,1000,IF(I$4=0,1000,SQRT((VLOOKUP($G6,Coords[],3,FALSE)-VLOOKUP(I$5,Coords[],3,FALSE))^2+(VLOOKUP($G6,Coords[],4,FALSE)-VLOOKUP(I$5,Coords[],4,FALSE))^2)))</f>
        <v>1000</v>
      </c>
      <c r="J6" s="10">
        <f>IF($G6=J$5,1000,IF(J$4=0,1000,SQRT((VLOOKUP($G6,Coords[],3,FALSE)-VLOOKUP(J$5,Coords[],3,FALSE))^2+(VLOOKUP($G6,Coords[],4,FALSE)-VLOOKUP(J$5,Coords[],4,FALSE))^2)))</f>
        <v>1000</v>
      </c>
      <c r="K6" s="10">
        <f>IF($G6=K$5,1000,IF(K$4=0,1000,SQRT((VLOOKUP($G6,Coords[],3,FALSE)-VLOOKUP(K$5,Coords[],3,FALSE))^2+(VLOOKUP($G6,Coords[],4,FALSE)-VLOOKUP(K$5,Coords[],4,FALSE))^2)))</f>
        <v>1000</v>
      </c>
      <c r="L6" s="10">
        <f>IF($G6=L$5,1000,IF(L$4=0,1000,SQRT((VLOOKUP($G6,Coords[],3,FALSE)-VLOOKUP(L$5,Coords[],3,FALSE))^2+(VLOOKUP($G6,Coords[],4,FALSE)-VLOOKUP(L$5,Coords[],4,FALSE))^2)))</f>
        <v>1000</v>
      </c>
      <c r="M6" s="10">
        <f>IF($G6=M$5,1000,IF(M$4=0,1000,SQRT((VLOOKUP($G6,Coords[],3,FALSE)-VLOOKUP(M$5,Coords[],3,FALSE))^2+(VLOOKUP($G6,Coords[],4,FALSE)-VLOOKUP(M$5,Coords[],4,FALSE))^2)))</f>
        <v>1000</v>
      </c>
      <c r="N6" s="10">
        <f>IF($G6=N$5,1000,IF(N$4=0,1000,SQRT((VLOOKUP($G6,Coords[],3,FALSE)-VLOOKUP(N$5,Coords[],3,FALSE))^2+(VLOOKUP($G6,Coords[],4,FALSE)-VLOOKUP(N$5,Coords[],4,FALSE))^2)))</f>
        <v>1000</v>
      </c>
      <c r="O6" s="10">
        <f>IF($G6=O$5,1000,IF(O$4=0,1000,SQRT((VLOOKUP($G6,Coords[],3,FALSE)-VLOOKUP(O$5,Coords[],3,FALSE))^2+(VLOOKUP($G6,Coords[],4,FALSE)-VLOOKUP(O$5,Coords[],4,FALSE))^2)))</f>
        <v>1000</v>
      </c>
      <c r="P6" s="10">
        <f>IF($G6=P$5,1000,IF(P$4=0,1000,SQRT((VLOOKUP($G6,Coords[],3,FALSE)-VLOOKUP(P$5,Coords[],3,FALSE))^2+(VLOOKUP($G6,Coords[],4,FALSE)-VLOOKUP(P$5,Coords[],4,FALSE))^2)))</f>
        <v>1000</v>
      </c>
      <c r="Q6" s="10">
        <f>IF($G6=Q$5,1000,IF(Q$4=0,1000,SQRT((VLOOKUP($G6,Coords[],3,FALSE)-VLOOKUP(Q$5,Coords[],3,FALSE))^2+(VLOOKUP($G6,Coords[],4,FALSE)-VLOOKUP(Q$5,Coords[],4,FALSE))^2)))</f>
        <v>1000</v>
      </c>
      <c r="R6" s="10">
        <f>IF($G6=R$5,1000,IF(R$4=0,1000,SQRT((VLOOKUP($G6,Coords[],3,FALSE)-VLOOKUP(R$5,Coords[],3,FALSE))^2+(VLOOKUP($G6,Coords[],4,FALSE)-VLOOKUP(R$5,Coords[],4,FALSE))^2)))</f>
        <v>1000</v>
      </c>
      <c r="S6" s="10">
        <f>IF($G6=S$5,1000,IF(S$4=0,1000,SQRT((VLOOKUP($G6,Coords[],3,FALSE)-VLOOKUP(S$5,Coords[],3,FALSE))^2+(VLOOKUP($G6,Coords[],4,FALSE)-VLOOKUP(S$5,Coords[],4,FALSE))^2)))</f>
        <v>1000</v>
      </c>
      <c r="T6" s="10">
        <f>IF($G6=T$5,1000,IF(T$4=0,1000,SQRT((VLOOKUP($G6,Coords[],3,FALSE)-VLOOKUP(T$5,Coords[],3,FALSE))^2+(VLOOKUP($G6,Coords[],4,FALSE)-VLOOKUP(T$5,Coords[],4,FALSE))^2)))</f>
        <v>1000</v>
      </c>
      <c r="U6" s="10">
        <f>IF($G6=U$5,1000,IF(U$4=0,1000,SQRT((VLOOKUP($G6,Coords[],3,FALSE)-VLOOKUP(U$5,Coords[],3,FALSE))^2+(VLOOKUP($G6,Coords[],4,FALSE)-VLOOKUP(U$5,Coords[],4,FALSE))^2)))</f>
        <v>1000</v>
      </c>
      <c r="V6" s="10">
        <f>IF($G6=V$5,1000,IF(V$4=0,1000,SQRT((VLOOKUP($G6,Coords[],3,FALSE)-VLOOKUP(V$5,Coords[],3,FALSE))^2+(VLOOKUP($G6,Coords[],4,FALSE)-VLOOKUP(V$5,Coords[],4,FALSE))^2)))</f>
        <v>1000</v>
      </c>
      <c r="W6" s="10">
        <f>IF($G6=W$5,1000,IF(W$4=0,1000,SQRT((VLOOKUP($G6,Coords[],3,FALSE)-VLOOKUP(W$5,Coords[],3,FALSE))^2+(VLOOKUP($G6,Coords[],4,FALSE)-VLOOKUP(W$5,Coords[],4,FALSE))^2)))</f>
        <v>1000</v>
      </c>
      <c r="X6" s="10">
        <f>IF($G6=X$5,1000,IF(X$4=0,1000,SQRT((VLOOKUP($G6,Coords[],3,FALSE)-VLOOKUP(X$5,Coords[],3,FALSE))^2+(VLOOKUP($G6,Coords[],4,FALSE)-VLOOKUP(X$5,Coords[],4,FALSE))^2)))</f>
        <v>1000</v>
      </c>
      <c r="Y6" s="10">
        <f>IF($G6=Y$5,1000,IF(Y$4=0,1000,SQRT((VLOOKUP($G6,Coords[],3,FALSE)-VLOOKUP(Y$5,Coords[],3,FALSE))^2+(VLOOKUP($G6,Coords[],4,FALSE)-VLOOKUP(Y$5,Coords[],4,FALSE))^2)))</f>
        <v>1000</v>
      </c>
      <c r="Z6" s="10">
        <f>IF($G6=Z$5,1000,IF(Z$4=0,1000,SQRT((VLOOKUP($G6,Coords[],3,FALSE)-VLOOKUP(Z$5,Coords[],3,FALSE))^2+(VLOOKUP($G6,Coords[],4,FALSE)-VLOOKUP(Z$5,Coords[],4,FALSE))^2)))</f>
        <v>1000</v>
      </c>
      <c r="AA6" s="10">
        <f>IF($G6=AA$5,1000,IF(AA$4=0,1000,SQRT((VLOOKUP($G6,Coords[],3,FALSE)-VLOOKUP(AA$5,Coords[],3,FALSE))^2+(VLOOKUP($G6,Coords[],4,FALSE)-VLOOKUP(AA$5,Coords[],4,FALSE))^2)))</f>
        <v>1000</v>
      </c>
      <c r="AB6" s="10">
        <f>IF($G6=AB$5,1000,IF(AB$4=0,1000,SQRT((VLOOKUP($G6,Coords[],3,FALSE)-VLOOKUP(AB$5,Coords[],3,FALSE))^2+(VLOOKUP($G6,Coords[],4,FALSE)-VLOOKUP(AB$5,Coords[],4,FALSE))^2)))</f>
        <v>1000</v>
      </c>
      <c r="AC6" s="10">
        <f>IF($G6=AC$5,1000,IF(AC$4=0,1000,SQRT((VLOOKUP($G6,Coords[],3,FALSE)-VLOOKUP(AC$5,Coords[],3,FALSE))^2+(VLOOKUP($G6,Coords[],4,FALSE)-VLOOKUP(AC$5,Coords[],4,FALSE))^2)))</f>
        <v>1000</v>
      </c>
      <c r="AD6" s="10">
        <f>IF($G6=AD$5,1000,IF(AD$4=0,1000,SQRT((VLOOKUP($G6,Coords[],3,FALSE)-VLOOKUP(AD$5,Coords[],3,FALSE))^2+(VLOOKUP($G6,Coords[],4,FALSE)-VLOOKUP(AD$5,Coords[],4,FALSE))^2)))</f>
        <v>1000</v>
      </c>
      <c r="AE6" s="10">
        <f>IF($G6=AE$5,1000,IF(AE$4=0,1000,SQRT((VLOOKUP($G6,Coords[],3,FALSE)-VLOOKUP(AE$5,Coords[],3,FALSE))^2+(VLOOKUP($G6,Coords[],4,FALSE)-VLOOKUP(AE$5,Coords[],4,FALSE))^2)))</f>
        <v>1000</v>
      </c>
      <c r="AF6" s="10">
        <f>IF($G6=AF$5,1000,IF(AF$4=0,1000,SQRT((VLOOKUP($G6,Coords[],3,FALSE)-VLOOKUP(AF$5,Coords[],3,FALSE))^2+(VLOOKUP($G6,Coords[],4,FALSE)-VLOOKUP(AF$5,Coords[],4,FALSE))^2)))</f>
        <v>1000</v>
      </c>
      <c r="AG6" s="10">
        <f>IF($G6=AG$5,1000,IF(AG$4=0,1000,SQRT((VLOOKUP($G6,Coords[],3,FALSE)-VLOOKUP(AG$5,Coords[],3,FALSE))^2+(VLOOKUP($G6,Coords[],4,FALSE)-VLOOKUP(AG$5,Coords[],4,FALSE))^2)))</f>
        <v>1000</v>
      </c>
      <c r="AH6" s="10">
        <f>IF($G6=AH$5,1000,IF(AH$4=0,1000,SQRT((VLOOKUP($G6,Coords[],3,FALSE)-VLOOKUP(AH$5,Coords[],3,FALSE))^2+(VLOOKUP($G6,Coords[],4,FALSE)-VLOOKUP(AH$5,Coords[],4,FALSE))^2)))</f>
        <v>1000</v>
      </c>
      <c r="AI6" s="10">
        <f>IF($G6=AI$5,1000,IF(AI$4=0,1000,SQRT((VLOOKUP($G6,Coords[],3,FALSE)-VLOOKUP(AI$5,Coords[],3,FALSE))^2+(VLOOKUP($G6,Coords[],4,FALSE)-VLOOKUP(AI$5,Coords[],4,FALSE))^2)))</f>
        <v>1000</v>
      </c>
      <c r="AJ6" s="10">
        <f>IF($G6=AJ$5,1000,IF(AJ$4=0,1000,SQRT((VLOOKUP($G6,Coords[],3,FALSE)-VLOOKUP(AJ$5,Coords[],3,FALSE))^2+(VLOOKUP($G6,Coords[],4,FALSE)-VLOOKUP(AJ$5,Coords[],4,FALSE))^2)))</f>
        <v>1000</v>
      </c>
      <c r="AK6" s="10">
        <f>IF($G6=AK$5,1000,IF(AK$4=0,1000,SQRT((VLOOKUP($G6,Coords[],3,FALSE)-VLOOKUP(AK$5,Coords[],3,FALSE))^2+(VLOOKUP($G6,Coords[],4,FALSE)-VLOOKUP(AK$5,Coords[],4,FALSE))^2)))</f>
        <v>1000</v>
      </c>
      <c r="AL6" s="10">
        <f>IF($G6=AL$5,1000,IF(AL$4=0,1000,SQRT((VLOOKUP($G6,Coords[],3,FALSE)-VLOOKUP(AL$5,Coords[],3,FALSE))^2+(VLOOKUP($G6,Coords[],4,FALSE)-VLOOKUP(AL$5,Coords[],4,FALSE))^2)))</f>
        <v>1000</v>
      </c>
      <c r="AM6" s="10">
        <f>IF($G6=AM$5,1000,IF(AM$4=0,1000,SQRT((VLOOKUP($G6,Coords[],3,FALSE)-VLOOKUP(AM$5,Coords[],3,FALSE))^2+(VLOOKUP($G6,Coords[],4,FALSE)-VLOOKUP(AM$5,Coords[],4,FALSE))^2)))</f>
        <v>1000</v>
      </c>
      <c r="AN6" s="10">
        <f>IF($G6=AN$5,1000,IF(AN$4=0,1000,SQRT((VLOOKUP($G6,Coords[],3,FALSE)-VLOOKUP(AN$5,Coords[],3,FALSE))^2+(VLOOKUP($G6,Coords[],4,FALSE)-VLOOKUP(AN$5,Coords[],4,FALSE))^2)))</f>
        <v>1000</v>
      </c>
      <c r="AO6" s="10">
        <f>IF($G6=AO$5,1000,IF(AO$4=0,1000,SQRT((VLOOKUP($G6,Coords[],3,FALSE)-VLOOKUP(AO$5,Coords[],3,FALSE))^2+(VLOOKUP($G6,Coords[],4,FALSE)-VLOOKUP(AO$5,Coords[],4,FALSE))^2)))</f>
        <v>1000</v>
      </c>
      <c r="AP6" s="10">
        <f>IF($G6=AP$5,1000,IF(AP$4=0,1000,SQRT((VLOOKUP($G6,Coords[],3,FALSE)-VLOOKUP(AP$5,Coords[],3,FALSE))^2+(VLOOKUP($G6,Coords[],4,FALSE)-VLOOKUP(AP$5,Coords[],4,FALSE))^2)))</f>
        <v>1000</v>
      </c>
      <c r="AQ6" s="10">
        <f>IF($G6=AQ$5,1000,IF(AQ$4=0,1000,SQRT((VLOOKUP($G6,Coords[],3,FALSE)-VLOOKUP(AQ$5,Coords[],3,FALSE))^2+(VLOOKUP($G6,Coords[],4,FALSE)-VLOOKUP(AQ$5,Coords[],4,FALSE))^2)))</f>
        <v>1000</v>
      </c>
      <c r="AR6" s="10">
        <f>IF($G6=AR$5,1000,IF(AR$4=0,1000,SQRT((VLOOKUP($G6,Coords[],3,FALSE)-VLOOKUP(AR$5,Coords[],3,FALSE))^2+(VLOOKUP($G6,Coords[],4,FALSE)-VLOOKUP(AR$5,Coords[],4,FALSE))^2)))</f>
        <v>1000</v>
      </c>
      <c r="AS6" s="10">
        <f>IF($G6=AS$5,1000,IF(AS$4=0,1000,SQRT((VLOOKUP($G6,Coords[],3,FALSE)-VLOOKUP(AS$5,Coords[],3,FALSE))^2+(VLOOKUP($G6,Coords[],4,FALSE)-VLOOKUP(AS$5,Coords[],4,FALSE))^2)))</f>
        <v>1000</v>
      </c>
      <c r="AT6" s="10">
        <f>IF($G6=AT$5,1000,IF(AT$4=0,1000,SQRT((VLOOKUP($G6,Coords[],3,FALSE)-VLOOKUP(AT$5,Coords[],3,FALSE))^2+(VLOOKUP($G6,Coords[],4,FALSE)-VLOOKUP(AT$5,Coords[],4,FALSE))^2)))</f>
        <v>1000</v>
      </c>
      <c r="AU6" s="10">
        <f>IF($G6=AU$5,1000,IF(AU$4=0,1000,SQRT((VLOOKUP($G6,Coords[],3,FALSE)-VLOOKUP(AU$5,Coords[],3,FALSE))^2+(VLOOKUP($G6,Coords[],4,FALSE)-VLOOKUP(AU$5,Coords[],4,FALSE))^2)))</f>
        <v>1000</v>
      </c>
      <c r="AV6" s="10">
        <f>IF($G6=AV$5,1000,IF(AV$4=0,1000,SQRT((VLOOKUP($G6,Coords[],3,FALSE)-VLOOKUP(AV$5,Coords[],3,FALSE))^2+(VLOOKUP($G6,Coords[],4,FALSE)-VLOOKUP(AV$5,Coords[],4,FALSE))^2)))</f>
        <v>1000</v>
      </c>
      <c r="AW6" s="10">
        <f>IF($G6=AW$5,1000,IF(AW$4=0,1000,SQRT((VLOOKUP($G6,Coords[],3,FALSE)-VLOOKUP(AW$5,Coords[],3,FALSE))^2+(VLOOKUP($G6,Coords[],4,FALSE)-VLOOKUP(AW$5,Coords[],4,FALSE))^2)))</f>
        <v>1000</v>
      </c>
      <c r="AX6" s="10">
        <f>IF($G6=AX$5,1000,IF(AX$4=0,1000,SQRT((VLOOKUP($G6,Coords[],3,FALSE)-VLOOKUP(AX$5,Coords[],3,FALSE))^2+(VLOOKUP($G6,Coords[],4,FALSE)-VLOOKUP(AX$5,Coords[],4,FALSE))^2)))</f>
        <v>1000</v>
      </c>
      <c r="AY6" s="10">
        <f>IF($G6=AY$5,1000,IF(AY$4=0,1000,SQRT((VLOOKUP($G6,Coords[],3,FALSE)-VLOOKUP(AY$5,Coords[],3,FALSE))^2+(VLOOKUP($G6,Coords[],4,FALSE)-VLOOKUP(AY$5,Coords[],4,FALSE))^2)))</f>
        <v>1000</v>
      </c>
      <c r="AZ6" s="10">
        <f>IF($G6=AZ$5,1000,IF(AZ$4=0,1000,SQRT((VLOOKUP($G6,Coords[],3,FALSE)-VLOOKUP(AZ$5,Coords[],3,FALSE))^2+(VLOOKUP($G6,Coords[],4,FALSE)-VLOOKUP(AZ$5,Coords[],4,FALSE))^2)))</f>
        <v>1000</v>
      </c>
      <c r="BA6" s="10">
        <f>IF($G6=BA$5,1000,IF(BA$4=0,1000,SQRT((VLOOKUP($G6,Coords[],3,FALSE)-VLOOKUP(BA$5,Coords[],3,FALSE))^2+(VLOOKUP($G6,Coords[],4,FALSE)-VLOOKUP(BA$5,Coords[],4,FALSE))^2)))</f>
        <v>1000</v>
      </c>
      <c r="BB6" s="10">
        <f>IF($G6=BB$5,1000,IF(BB$4=0,1000,SQRT((VLOOKUP($G6,Coords[],3,FALSE)-VLOOKUP(BB$5,Coords[],3,FALSE))^2+(VLOOKUP($G6,Coords[],4,FALSE)-VLOOKUP(BB$5,Coords[],4,FALSE))^2)))</f>
        <v>1000</v>
      </c>
      <c r="BC6" s="10">
        <f>IF($G6=BC$5,1000,IF(BC$4=0,1000,SQRT((VLOOKUP($G6,Coords[],3,FALSE)-VLOOKUP(BC$5,Coords[],3,FALSE))^2+(VLOOKUP($G6,Coords[],4,FALSE)-VLOOKUP(BC$5,Coords[],4,FALSE))^2)))</f>
        <v>1000</v>
      </c>
      <c r="BD6" s="10">
        <f>IF($G6=BD$5,1000,IF(BD$4=0,1000,SQRT((VLOOKUP($G6,Coords[],3,FALSE)-VLOOKUP(BD$5,Coords[],3,FALSE))^2+(VLOOKUP($G6,Coords[],4,FALSE)-VLOOKUP(BD$5,Coords[],4,FALSE))^2)))</f>
        <v>1000</v>
      </c>
      <c r="BE6" s="10">
        <f>IF($G6=BE$5,1000,IF(BE$4=0,1000,SQRT((VLOOKUP($G6,Coords[],3,FALSE)-VLOOKUP(BE$5,Coords[],3,FALSE))^2+(VLOOKUP($G6,Coords[],4,FALSE)-VLOOKUP(BE$5,Coords[],4,FALSE))^2)))</f>
        <v>1000</v>
      </c>
      <c r="BF6" s="10">
        <f>IF($G6=BF$5,1000,IF(BF$4=0,1000,SQRT((VLOOKUP($G6,Coords[],3,FALSE)-VLOOKUP(BF$5,Coords[],3,FALSE))^2+(VLOOKUP($G6,Coords[],4,FALSE)-VLOOKUP(BF$5,Coords[],4,FALSE))^2)))</f>
        <v>1000</v>
      </c>
      <c r="BG6" s="10">
        <f>IF($G6=BG$5,1000,IF(BG$4=0,1000,SQRT((VLOOKUP($G6,Coords[],3,FALSE)-VLOOKUP(BG$5,Coords[],3,FALSE))^2+(VLOOKUP($G6,Coords[],4,FALSE)-VLOOKUP(BG$5,Coords[],4,FALSE))^2)))</f>
        <v>1000</v>
      </c>
      <c r="BH6" s="10">
        <f>IF($G6=BH$5,1000,IF(BH$4=0,1000,SQRT((VLOOKUP($G6,Coords[],3,FALSE)-VLOOKUP(BH$5,Coords[],3,FALSE))^2+(VLOOKUP($G6,Coords[],4,FALSE)-VLOOKUP(BH$5,Coords[],4,FALSE))^2)))</f>
        <v>1000</v>
      </c>
      <c r="BI6" s="10">
        <f>IF($G6=BI$5,1000,IF(BI$4=0,1000,SQRT((VLOOKUP($G6,Coords[],3,FALSE)-VLOOKUP(BI$5,Coords[],3,FALSE))^2+(VLOOKUP($G6,Coords[],4,FALSE)-VLOOKUP(BI$5,Coords[],4,FALSE))^2)))</f>
        <v>1000</v>
      </c>
      <c r="BJ6" s="10">
        <f>IF($G6=BJ$5,1000,IF(BJ$4=0,1000,SQRT((VLOOKUP($G6,Coords[],3,FALSE)-VLOOKUP(BJ$5,Coords[],3,FALSE))^2+(VLOOKUP($G6,Coords[],4,FALSE)-VLOOKUP(BJ$5,Coords[],4,FALSE))^2)))</f>
        <v>1000</v>
      </c>
      <c r="BK6" s="10">
        <f>IF($G6=BK$5,1000,IF(BK$4=0,1000,SQRT((VLOOKUP($G6,Coords[],3,FALSE)-VLOOKUP(BK$5,Coords[],3,FALSE))^2+(VLOOKUP($G6,Coords[],4,FALSE)-VLOOKUP(BK$5,Coords[],4,FALSE))^2)))</f>
        <v>1000</v>
      </c>
      <c r="BL6" s="10">
        <f>IF($G6=BL$5,1000,IF(BL$4=0,1000,SQRT((VLOOKUP($G6,Coords[],3,FALSE)-VLOOKUP(BL$5,Coords[],3,FALSE))^2+(VLOOKUP($G6,Coords[],4,FALSE)-VLOOKUP(BL$5,Coords[],4,FALSE))^2)))</f>
        <v>1000</v>
      </c>
      <c r="BM6" s="10">
        <f>IF($G6=BM$5,1000,IF(BM$4=0,1000,SQRT((VLOOKUP($G6,Coords[],3,FALSE)-VLOOKUP(BM$5,Coords[],3,FALSE))^2+(VLOOKUP($G6,Coords[],4,FALSE)-VLOOKUP(BM$5,Coords[],4,FALSE))^2)))</f>
        <v>1000</v>
      </c>
      <c r="BN6" s="10">
        <f>IF($G6=BN$5,1000,IF(BN$4=0,1000,SQRT((VLOOKUP($G6,Coords[],3,FALSE)-VLOOKUP(BN$5,Coords[],3,FALSE))^2+(VLOOKUP($G6,Coords[],4,FALSE)-VLOOKUP(BN$5,Coords[],4,FALSE))^2)))</f>
        <v>1000</v>
      </c>
      <c r="BO6" s="10">
        <f>IF($G6=BO$5,1000,IF(BO$4=0,1000,SQRT((VLOOKUP($G6,Coords[],3,FALSE)-VLOOKUP(BO$5,Coords[],3,FALSE))^2+(VLOOKUP($G6,Coords[],4,FALSE)-VLOOKUP(BO$5,Coords[],4,FALSE))^2)))</f>
        <v>1000</v>
      </c>
      <c r="BP6" s="10">
        <f>IF($G6=BP$5,1000,IF(BP$4=0,1000,SQRT((VLOOKUP($G6,Coords[],3,FALSE)-VLOOKUP(BP$5,Coords[],3,FALSE))^2+(VLOOKUP($G6,Coords[],4,FALSE)-VLOOKUP(BP$5,Coords[],4,FALSE))^2)))</f>
        <v>1000</v>
      </c>
      <c r="BQ6" s="10">
        <f>IF($G6=BQ$5,1000,IF(BQ$4=0,1000,SQRT((VLOOKUP($G6,Coords[],3,FALSE)-VLOOKUP(BQ$5,Coords[],3,FALSE))^2+(VLOOKUP($G6,Coords[],4,FALSE)-VLOOKUP(BQ$5,Coords[],4,FALSE))^2)))</f>
        <v>1000</v>
      </c>
      <c r="BR6" s="10">
        <f>IF($G6=BR$5,1000,IF(BR$4=0,1000,SQRT((VLOOKUP($G6,Coords[],3,FALSE)-VLOOKUP(BR$5,Coords[],3,FALSE))^2+(VLOOKUP($G6,Coords[],4,FALSE)-VLOOKUP(BR$5,Coords[],4,FALSE))^2)))</f>
        <v>1000</v>
      </c>
      <c r="BS6" s="10">
        <f>IF($G6=BS$5,1000,IF(BS$4=0,1000,SQRT((VLOOKUP($G6,Coords[],3,FALSE)-VLOOKUP(BS$5,Coords[],3,FALSE))^2+(VLOOKUP($G6,Coords[],4,FALSE)-VLOOKUP(BS$5,Coords[],4,FALSE))^2)))</f>
        <v>1000</v>
      </c>
      <c r="BT6" s="10">
        <f>IF($G6=BT$5,1000,IF(BT$4=0,1000,SQRT((VLOOKUP($G6,Coords[],3,FALSE)-VLOOKUP(BT$5,Coords[],3,FALSE))^2+(VLOOKUP($G6,Coords[],4,FALSE)-VLOOKUP(BT$5,Coords[],4,FALSE))^2)))</f>
        <v>1000</v>
      </c>
      <c r="BU6" s="10">
        <f>IF($G6=BU$5,1000,IF(BU$4=0,1000,SQRT((VLOOKUP($G6,Coords[],3,FALSE)-VLOOKUP(BU$5,Coords[],3,FALSE))^2+(VLOOKUP($G6,Coords[],4,FALSE)-VLOOKUP(BU$5,Coords[],4,FALSE))^2)))</f>
        <v>1000</v>
      </c>
      <c r="BV6" s="10">
        <f>IF($G6=BV$5,1000,IF(BV$4=0,1000,SQRT((VLOOKUP($G6,Coords[],3,FALSE)-VLOOKUP(BV$5,Coords[],3,FALSE))^2+(VLOOKUP($G6,Coords[],4,FALSE)-VLOOKUP(BV$5,Coords[],4,FALSE))^2)))</f>
        <v>1000</v>
      </c>
      <c r="BW6" s="10">
        <f>IF($G6=BW$5,1000,IF(BW$4=0,1000,SQRT((VLOOKUP($G6,Coords[],3,FALSE)-VLOOKUP(BW$5,Coords[],3,FALSE))^2+(VLOOKUP($G6,Coords[],4,FALSE)-VLOOKUP(BW$5,Coords[],4,FALSE))^2)))</f>
        <v>1000</v>
      </c>
      <c r="BX6" s="10">
        <f>IF($G6=BX$5,1000,IF(BX$4=0,1000,SQRT((VLOOKUP($G6,Coords[],3,FALSE)-VLOOKUP(BX$5,Coords[],3,FALSE))^2+(VLOOKUP($G6,Coords[],4,FALSE)-VLOOKUP(BX$5,Coords[],4,FALSE))^2)))</f>
        <v>1000</v>
      </c>
      <c r="BY6" s="10">
        <f>IF($G6=BY$5,1000,IF(BY$4=0,1000,SQRT((VLOOKUP($G6,Coords[],3,FALSE)-VLOOKUP(BY$5,Coords[],3,FALSE))^2+(VLOOKUP($G6,Coords[],4,FALSE)-VLOOKUP(BY$5,Coords[],4,FALSE))^2)))</f>
        <v>1000</v>
      </c>
      <c r="BZ6" s="10">
        <f>IF($G6=BZ$5,1000,IF(BZ$4=0,1000,SQRT((VLOOKUP($G6,Coords[],3,FALSE)-VLOOKUP(BZ$5,Coords[],3,FALSE))^2+(VLOOKUP($G6,Coords[],4,FALSE)-VLOOKUP(BZ$5,Coords[],4,FALSE))^2)))</f>
        <v>1000</v>
      </c>
      <c r="CA6" s="10">
        <f>IF($G6=CA$5,1000,IF(CA$4=0,1000,SQRT((VLOOKUP($G6,Coords[],3,FALSE)-VLOOKUP(CA$5,Coords[],3,FALSE))^2+(VLOOKUP($G6,Coords[],4,FALSE)-VLOOKUP(CA$5,Coords[],4,FALSE))^2)))</f>
        <v>1000</v>
      </c>
      <c r="CB6" s="10">
        <f>IF($G6=CB$5,1000,IF(CB$4=0,1000,SQRT((VLOOKUP($G6,Coords[],3,FALSE)-VLOOKUP(CB$5,Coords[],3,FALSE))^2+(VLOOKUP($G6,Coords[],4,FALSE)-VLOOKUP(CB$5,Coords[],4,FALSE))^2)))</f>
        <v>1000</v>
      </c>
      <c r="CC6" s="10">
        <f>IF($G6=CC$5,1000,IF(CC$4=0,1000,SQRT((VLOOKUP($G6,Coords[],3,FALSE)-VLOOKUP(CC$5,Coords[],3,FALSE))^2+(VLOOKUP($G6,Coords[],4,FALSE)-VLOOKUP(CC$5,Coords[],4,FALSE))^2)))</f>
        <v>1000</v>
      </c>
      <c r="CD6" s="10">
        <f>IF($G6=CD$5,1000,IF(CD$4=0,1000,SQRT((VLOOKUP($G6,Coords[],3,FALSE)-VLOOKUP(CD$5,Coords[],3,FALSE))^2+(VLOOKUP($G6,Coords[],4,FALSE)-VLOOKUP(CD$5,Coords[],4,FALSE))^2)))</f>
        <v>1000</v>
      </c>
      <c r="CE6" s="10">
        <f>IF($G6=CE$5,1000,IF(CE$4=0,1000,SQRT((VLOOKUP($G6,Coords[],3,FALSE)-VLOOKUP(CE$5,Coords[],3,FALSE))^2+(VLOOKUP($G6,Coords[],4,FALSE)-VLOOKUP(CE$5,Coords[],4,FALSE))^2)))</f>
        <v>1000</v>
      </c>
      <c r="CF6" s="4">
        <v>1</v>
      </c>
      <c r="CH6" s="5">
        <f>IF(E6=1,0,VLOOKUP($G6,$G$6:$CE$82,HLOOKUP(MIN(H6:CE6),$H6:$CE$82,((COUNT($G$6:$G$81)+2)-$G6),FALSE)+1,FALSE)*B6)</f>
        <v>0</v>
      </c>
      <c r="CI6" s="9">
        <f>VLOOKUP($G6,$G$6:$CE$82,HLOOKUP(MIN(H6:CE6),$H6:$CE$82,((COUNT($G$6:$G$81)+2)-$G6),FALSE)+1,FALSE)</f>
        <v>1000</v>
      </c>
      <c r="CJ6" s="7">
        <f>HLOOKUP(MIN(H6:CE6),$H6:$CE$82,((COUNT($G$6:$G$81)+2)-$G6),FALSE)</f>
        <v>1</v>
      </c>
      <c r="CK6">
        <f>CI6*Coords[[#This Row],[Demand]]</f>
        <v>0</v>
      </c>
    </row>
    <row r="7" spans="1:89" x14ac:dyDescent="0.25">
      <c r="A7" s="8">
        <v>2</v>
      </c>
      <c r="B7" s="3"/>
      <c r="C7" s="3"/>
      <c r="D7" s="3"/>
      <c r="E7" s="3"/>
      <c r="G7" s="4">
        <v>2</v>
      </c>
      <c r="H7" s="10">
        <f>IF($G7=H$5,1000,IF(H$4=0,1000,SQRT((VLOOKUP($G7,Coords[],3,FALSE)-VLOOKUP(H$5,Coords[],3,FALSE))^2+(VLOOKUP($G7,Coords[],4,FALSE)-VLOOKUP(H$5,Coords[],4,FALSE))^2)))</f>
        <v>1000</v>
      </c>
      <c r="I7" s="10">
        <f>IF($G7=I$5,1000,IF(I$4=0,1000,SQRT((VLOOKUP($G7,Coords[],3,FALSE)-VLOOKUP(I$5,Coords[],3,FALSE))^2+(VLOOKUP($G7,Coords[],4,FALSE)-VLOOKUP(I$5,Coords[],4,FALSE))^2)))</f>
        <v>1000</v>
      </c>
      <c r="J7" s="10">
        <f>IF($G7=J$5,1000,IF(J$4=0,1000,SQRT((VLOOKUP($G7,Coords[],3,FALSE)-VLOOKUP(J$5,Coords[],3,FALSE))^2+(VLOOKUP($G7,Coords[],4,FALSE)-VLOOKUP(J$5,Coords[],4,FALSE))^2)))</f>
        <v>1000</v>
      </c>
      <c r="K7" s="10">
        <f>IF($G7=K$5,1000,IF(K$4=0,1000,SQRT((VLOOKUP($G7,Coords[],3,FALSE)-VLOOKUP(K$5,Coords[],3,FALSE))^2+(VLOOKUP($G7,Coords[],4,FALSE)-VLOOKUP(K$5,Coords[],4,FALSE))^2)))</f>
        <v>1000</v>
      </c>
      <c r="L7" s="10">
        <f>IF($G7=L$5,1000,IF(L$4=0,1000,SQRT((VLOOKUP($G7,Coords[],3,FALSE)-VLOOKUP(L$5,Coords[],3,FALSE))^2+(VLOOKUP($G7,Coords[],4,FALSE)-VLOOKUP(L$5,Coords[],4,FALSE))^2)))</f>
        <v>1000</v>
      </c>
      <c r="M7" s="10">
        <f>IF($G7=M$5,1000,IF(M$4=0,1000,SQRT((VLOOKUP($G7,Coords[],3,FALSE)-VLOOKUP(M$5,Coords[],3,FALSE))^2+(VLOOKUP($G7,Coords[],4,FALSE)-VLOOKUP(M$5,Coords[],4,FALSE))^2)))</f>
        <v>1000</v>
      </c>
      <c r="N7" s="10">
        <f>IF($G7=N$5,1000,IF(N$4=0,1000,SQRT((VLOOKUP($G7,Coords[],3,FALSE)-VLOOKUP(N$5,Coords[],3,FALSE))^2+(VLOOKUP($G7,Coords[],4,FALSE)-VLOOKUP(N$5,Coords[],4,FALSE))^2)))</f>
        <v>1000</v>
      </c>
      <c r="O7" s="10">
        <f>IF($G7=O$5,1000,IF(O$4=0,1000,SQRT((VLOOKUP($G7,Coords[],3,FALSE)-VLOOKUP(O$5,Coords[],3,FALSE))^2+(VLOOKUP($G7,Coords[],4,FALSE)-VLOOKUP(O$5,Coords[],4,FALSE))^2)))</f>
        <v>1000</v>
      </c>
      <c r="P7" s="10">
        <f>IF($G7=P$5,1000,IF(P$4=0,1000,SQRT((VLOOKUP($G7,Coords[],3,FALSE)-VLOOKUP(P$5,Coords[],3,FALSE))^2+(VLOOKUP($G7,Coords[],4,FALSE)-VLOOKUP(P$5,Coords[],4,FALSE))^2)))</f>
        <v>1000</v>
      </c>
      <c r="Q7" s="10">
        <f>IF($G7=Q$5,1000,IF(Q$4=0,1000,SQRT((VLOOKUP($G7,Coords[],3,FALSE)-VLOOKUP(Q$5,Coords[],3,FALSE))^2+(VLOOKUP($G7,Coords[],4,FALSE)-VLOOKUP(Q$5,Coords[],4,FALSE))^2)))</f>
        <v>1000</v>
      </c>
      <c r="R7" s="10">
        <f>IF($G7=R$5,1000,IF(R$4=0,1000,SQRT((VLOOKUP($G7,Coords[],3,FALSE)-VLOOKUP(R$5,Coords[],3,FALSE))^2+(VLOOKUP($G7,Coords[],4,FALSE)-VLOOKUP(R$5,Coords[],4,FALSE))^2)))</f>
        <v>1000</v>
      </c>
      <c r="S7" s="10">
        <f>IF($G7=S$5,1000,IF(S$4=0,1000,SQRT((VLOOKUP($G7,Coords[],3,FALSE)-VLOOKUP(S$5,Coords[],3,FALSE))^2+(VLOOKUP($G7,Coords[],4,FALSE)-VLOOKUP(S$5,Coords[],4,FALSE))^2)))</f>
        <v>1000</v>
      </c>
      <c r="T7" s="10">
        <f>IF($G7=T$5,1000,IF(T$4=0,1000,SQRT((VLOOKUP($G7,Coords[],3,FALSE)-VLOOKUP(T$5,Coords[],3,FALSE))^2+(VLOOKUP($G7,Coords[],4,FALSE)-VLOOKUP(T$5,Coords[],4,FALSE))^2)))</f>
        <v>1000</v>
      </c>
      <c r="U7" s="10">
        <f>IF($G7=U$5,1000,IF(U$4=0,1000,SQRT((VLOOKUP($G7,Coords[],3,FALSE)-VLOOKUP(U$5,Coords[],3,FALSE))^2+(VLOOKUP($G7,Coords[],4,FALSE)-VLOOKUP(U$5,Coords[],4,FALSE))^2)))</f>
        <v>1000</v>
      </c>
      <c r="V7" s="10">
        <f>IF($G7=V$5,1000,IF(V$4=0,1000,SQRT((VLOOKUP($G7,Coords[],3,FALSE)-VLOOKUP(V$5,Coords[],3,FALSE))^2+(VLOOKUP($G7,Coords[],4,FALSE)-VLOOKUP(V$5,Coords[],4,FALSE))^2)))</f>
        <v>1000</v>
      </c>
      <c r="W7" s="10">
        <f>IF($G7=W$5,1000,IF(W$4=0,1000,SQRT((VLOOKUP($G7,Coords[],3,FALSE)-VLOOKUP(W$5,Coords[],3,FALSE))^2+(VLOOKUP($G7,Coords[],4,FALSE)-VLOOKUP(W$5,Coords[],4,FALSE))^2)))</f>
        <v>1000</v>
      </c>
      <c r="X7" s="10">
        <f>IF($G7=X$5,1000,IF(X$4=0,1000,SQRT((VLOOKUP($G7,Coords[],3,FALSE)-VLOOKUP(X$5,Coords[],3,FALSE))^2+(VLOOKUP($G7,Coords[],4,FALSE)-VLOOKUP(X$5,Coords[],4,FALSE))^2)))</f>
        <v>1000</v>
      </c>
      <c r="Y7" s="10">
        <f>IF($G7=Y$5,1000,IF(Y$4=0,1000,SQRT((VLOOKUP($G7,Coords[],3,FALSE)-VLOOKUP(Y$5,Coords[],3,FALSE))^2+(VLOOKUP($G7,Coords[],4,FALSE)-VLOOKUP(Y$5,Coords[],4,FALSE))^2)))</f>
        <v>1000</v>
      </c>
      <c r="Z7" s="10">
        <f>IF($G7=Z$5,1000,IF(Z$4=0,1000,SQRT((VLOOKUP($G7,Coords[],3,FALSE)-VLOOKUP(Z$5,Coords[],3,FALSE))^2+(VLOOKUP($G7,Coords[],4,FALSE)-VLOOKUP(Z$5,Coords[],4,FALSE))^2)))</f>
        <v>1000</v>
      </c>
      <c r="AA7" s="10">
        <f>IF($G7=AA$5,1000,IF(AA$4=0,1000,SQRT((VLOOKUP($G7,Coords[],3,FALSE)-VLOOKUP(AA$5,Coords[],3,FALSE))^2+(VLOOKUP($G7,Coords[],4,FALSE)-VLOOKUP(AA$5,Coords[],4,FALSE))^2)))</f>
        <v>1000</v>
      </c>
      <c r="AB7" s="10">
        <f>IF($G7=AB$5,1000,IF(AB$4=0,1000,SQRT((VLOOKUP($G7,Coords[],3,FALSE)-VLOOKUP(AB$5,Coords[],3,FALSE))^2+(VLOOKUP($G7,Coords[],4,FALSE)-VLOOKUP(AB$5,Coords[],4,FALSE))^2)))</f>
        <v>1000</v>
      </c>
      <c r="AC7" s="10">
        <f>IF($G7=AC$5,1000,IF(AC$4=0,1000,SQRT((VLOOKUP($G7,Coords[],3,FALSE)-VLOOKUP(AC$5,Coords[],3,FALSE))^2+(VLOOKUP($G7,Coords[],4,FALSE)-VLOOKUP(AC$5,Coords[],4,FALSE))^2)))</f>
        <v>1000</v>
      </c>
      <c r="AD7" s="10">
        <f>IF($G7=AD$5,1000,IF(AD$4=0,1000,SQRT((VLOOKUP($G7,Coords[],3,FALSE)-VLOOKUP(AD$5,Coords[],3,FALSE))^2+(VLOOKUP($G7,Coords[],4,FALSE)-VLOOKUP(AD$5,Coords[],4,FALSE))^2)))</f>
        <v>1000</v>
      </c>
      <c r="AE7" s="10">
        <f>IF($G7=AE$5,1000,IF(AE$4=0,1000,SQRT((VLOOKUP($G7,Coords[],3,FALSE)-VLOOKUP(AE$5,Coords[],3,FALSE))^2+(VLOOKUP($G7,Coords[],4,FALSE)-VLOOKUP(AE$5,Coords[],4,FALSE))^2)))</f>
        <v>1000</v>
      </c>
      <c r="AF7" s="10">
        <f>IF($G7=AF$5,1000,IF(AF$4=0,1000,SQRT((VLOOKUP($G7,Coords[],3,FALSE)-VLOOKUP(AF$5,Coords[],3,FALSE))^2+(VLOOKUP($G7,Coords[],4,FALSE)-VLOOKUP(AF$5,Coords[],4,FALSE))^2)))</f>
        <v>1000</v>
      </c>
      <c r="AG7" s="10">
        <f>IF($G7=AG$5,1000,IF(AG$4=0,1000,SQRT((VLOOKUP($G7,Coords[],3,FALSE)-VLOOKUP(AG$5,Coords[],3,FALSE))^2+(VLOOKUP($G7,Coords[],4,FALSE)-VLOOKUP(AG$5,Coords[],4,FALSE))^2)))</f>
        <v>1000</v>
      </c>
      <c r="AH7" s="10">
        <f>IF($G7=AH$5,1000,IF(AH$4=0,1000,SQRT((VLOOKUP($G7,Coords[],3,FALSE)-VLOOKUP(AH$5,Coords[],3,FALSE))^2+(VLOOKUP($G7,Coords[],4,FALSE)-VLOOKUP(AH$5,Coords[],4,FALSE))^2)))</f>
        <v>1000</v>
      </c>
      <c r="AI7" s="10">
        <f>IF($G7=AI$5,1000,IF(AI$4=0,1000,SQRT((VLOOKUP($G7,Coords[],3,FALSE)-VLOOKUP(AI$5,Coords[],3,FALSE))^2+(VLOOKUP($G7,Coords[],4,FALSE)-VLOOKUP(AI$5,Coords[],4,FALSE))^2)))</f>
        <v>1000</v>
      </c>
      <c r="AJ7" s="10">
        <f>IF($G7=AJ$5,1000,IF(AJ$4=0,1000,SQRT((VLOOKUP($G7,Coords[],3,FALSE)-VLOOKUP(AJ$5,Coords[],3,FALSE))^2+(VLOOKUP($G7,Coords[],4,FALSE)-VLOOKUP(AJ$5,Coords[],4,FALSE))^2)))</f>
        <v>1000</v>
      </c>
      <c r="AK7" s="10">
        <f>IF($G7=AK$5,1000,IF(AK$4=0,1000,SQRT((VLOOKUP($G7,Coords[],3,FALSE)-VLOOKUP(AK$5,Coords[],3,FALSE))^2+(VLOOKUP($G7,Coords[],4,FALSE)-VLOOKUP(AK$5,Coords[],4,FALSE))^2)))</f>
        <v>1000</v>
      </c>
      <c r="AL7" s="10">
        <f>IF($G7=AL$5,1000,IF(AL$4=0,1000,SQRT((VLOOKUP($G7,Coords[],3,FALSE)-VLOOKUP(AL$5,Coords[],3,FALSE))^2+(VLOOKUP($G7,Coords[],4,FALSE)-VLOOKUP(AL$5,Coords[],4,FALSE))^2)))</f>
        <v>1000</v>
      </c>
      <c r="AM7" s="10">
        <f>IF($G7=AM$5,1000,IF(AM$4=0,1000,SQRT((VLOOKUP($G7,Coords[],3,FALSE)-VLOOKUP(AM$5,Coords[],3,FALSE))^2+(VLOOKUP($G7,Coords[],4,FALSE)-VLOOKUP(AM$5,Coords[],4,FALSE))^2)))</f>
        <v>1000</v>
      </c>
      <c r="AN7" s="10">
        <f>IF($G7=AN$5,1000,IF(AN$4=0,1000,SQRT((VLOOKUP($G7,Coords[],3,FALSE)-VLOOKUP(AN$5,Coords[],3,FALSE))^2+(VLOOKUP($G7,Coords[],4,FALSE)-VLOOKUP(AN$5,Coords[],4,FALSE))^2)))</f>
        <v>1000</v>
      </c>
      <c r="AO7" s="10">
        <f>IF($G7=AO$5,1000,IF(AO$4=0,1000,SQRT((VLOOKUP($G7,Coords[],3,FALSE)-VLOOKUP(AO$5,Coords[],3,FALSE))^2+(VLOOKUP($G7,Coords[],4,FALSE)-VLOOKUP(AO$5,Coords[],4,FALSE))^2)))</f>
        <v>1000</v>
      </c>
      <c r="AP7" s="10">
        <f>IF($G7=AP$5,1000,IF(AP$4=0,1000,SQRT((VLOOKUP($G7,Coords[],3,FALSE)-VLOOKUP(AP$5,Coords[],3,FALSE))^2+(VLOOKUP($G7,Coords[],4,FALSE)-VLOOKUP(AP$5,Coords[],4,FALSE))^2)))</f>
        <v>1000</v>
      </c>
      <c r="AQ7" s="10">
        <f>IF($G7=AQ$5,1000,IF(AQ$4=0,1000,SQRT((VLOOKUP($G7,Coords[],3,FALSE)-VLOOKUP(AQ$5,Coords[],3,FALSE))^2+(VLOOKUP($G7,Coords[],4,FALSE)-VLOOKUP(AQ$5,Coords[],4,FALSE))^2)))</f>
        <v>1000</v>
      </c>
      <c r="AR7" s="10">
        <f>IF($G7=AR$5,1000,IF(AR$4=0,1000,SQRT((VLOOKUP($G7,Coords[],3,FALSE)-VLOOKUP(AR$5,Coords[],3,FALSE))^2+(VLOOKUP($G7,Coords[],4,FALSE)-VLOOKUP(AR$5,Coords[],4,FALSE))^2)))</f>
        <v>1000</v>
      </c>
      <c r="AS7" s="10">
        <f>IF($G7=AS$5,1000,IF(AS$4=0,1000,SQRT((VLOOKUP($G7,Coords[],3,FALSE)-VLOOKUP(AS$5,Coords[],3,FALSE))^2+(VLOOKUP($G7,Coords[],4,FALSE)-VLOOKUP(AS$5,Coords[],4,FALSE))^2)))</f>
        <v>1000</v>
      </c>
      <c r="AT7" s="10">
        <f>IF($G7=AT$5,1000,IF(AT$4=0,1000,SQRT((VLOOKUP($G7,Coords[],3,FALSE)-VLOOKUP(AT$5,Coords[],3,FALSE))^2+(VLOOKUP($G7,Coords[],4,FALSE)-VLOOKUP(AT$5,Coords[],4,FALSE))^2)))</f>
        <v>1000</v>
      </c>
      <c r="AU7" s="10">
        <f>IF($G7=AU$5,1000,IF(AU$4=0,1000,SQRT((VLOOKUP($G7,Coords[],3,FALSE)-VLOOKUP(AU$5,Coords[],3,FALSE))^2+(VLOOKUP($G7,Coords[],4,FALSE)-VLOOKUP(AU$5,Coords[],4,FALSE))^2)))</f>
        <v>1000</v>
      </c>
      <c r="AV7" s="10">
        <f>IF($G7=AV$5,1000,IF(AV$4=0,1000,SQRT((VLOOKUP($G7,Coords[],3,FALSE)-VLOOKUP(AV$5,Coords[],3,FALSE))^2+(VLOOKUP($G7,Coords[],4,FALSE)-VLOOKUP(AV$5,Coords[],4,FALSE))^2)))</f>
        <v>1000</v>
      </c>
      <c r="AW7" s="10">
        <f>IF($G7=AW$5,1000,IF(AW$4=0,1000,SQRT((VLOOKUP($G7,Coords[],3,FALSE)-VLOOKUP(AW$5,Coords[],3,FALSE))^2+(VLOOKUP($G7,Coords[],4,FALSE)-VLOOKUP(AW$5,Coords[],4,FALSE))^2)))</f>
        <v>1000</v>
      </c>
      <c r="AX7" s="10">
        <f>IF($G7=AX$5,1000,IF(AX$4=0,1000,SQRT((VLOOKUP($G7,Coords[],3,FALSE)-VLOOKUP(AX$5,Coords[],3,FALSE))^2+(VLOOKUP($G7,Coords[],4,FALSE)-VLOOKUP(AX$5,Coords[],4,FALSE))^2)))</f>
        <v>1000</v>
      </c>
      <c r="AY7" s="10">
        <f>IF($G7=AY$5,1000,IF(AY$4=0,1000,SQRT((VLOOKUP($G7,Coords[],3,FALSE)-VLOOKUP(AY$5,Coords[],3,FALSE))^2+(VLOOKUP($G7,Coords[],4,FALSE)-VLOOKUP(AY$5,Coords[],4,FALSE))^2)))</f>
        <v>1000</v>
      </c>
      <c r="AZ7" s="10">
        <f>IF($G7=AZ$5,1000,IF(AZ$4=0,1000,SQRT((VLOOKUP($G7,Coords[],3,FALSE)-VLOOKUP(AZ$5,Coords[],3,FALSE))^2+(VLOOKUP($G7,Coords[],4,FALSE)-VLOOKUP(AZ$5,Coords[],4,FALSE))^2)))</f>
        <v>1000</v>
      </c>
      <c r="BA7" s="10">
        <f>IF($G7=BA$5,1000,IF(BA$4=0,1000,SQRT((VLOOKUP($G7,Coords[],3,FALSE)-VLOOKUP(BA$5,Coords[],3,FALSE))^2+(VLOOKUP($G7,Coords[],4,FALSE)-VLOOKUP(BA$5,Coords[],4,FALSE))^2)))</f>
        <v>1000</v>
      </c>
      <c r="BB7" s="10">
        <f>IF($G7=BB$5,1000,IF(BB$4=0,1000,SQRT((VLOOKUP($G7,Coords[],3,FALSE)-VLOOKUP(BB$5,Coords[],3,FALSE))^2+(VLOOKUP($G7,Coords[],4,FALSE)-VLOOKUP(BB$5,Coords[],4,FALSE))^2)))</f>
        <v>1000</v>
      </c>
      <c r="BC7" s="10">
        <f>IF($G7=BC$5,1000,IF(BC$4=0,1000,SQRT((VLOOKUP($G7,Coords[],3,FALSE)-VLOOKUP(BC$5,Coords[],3,FALSE))^2+(VLOOKUP($G7,Coords[],4,FALSE)-VLOOKUP(BC$5,Coords[],4,FALSE))^2)))</f>
        <v>1000</v>
      </c>
      <c r="BD7" s="10">
        <f>IF($G7=BD$5,1000,IF(BD$4=0,1000,SQRT((VLOOKUP($G7,Coords[],3,FALSE)-VLOOKUP(BD$5,Coords[],3,FALSE))^2+(VLOOKUP($G7,Coords[],4,FALSE)-VLOOKUP(BD$5,Coords[],4,FALSE))^2)))</f>
        <v>1000</v>
      </c>
      <c r="BE7" s="10">
        <f>IF($G7=BE$5,1000,IF(BE$4=0,1000,SQRT((VLOOKUP($G7,Coords[],3,FALSE)-VLOOKUP(BE$5,Coords[],3,FALSE))^2+(VLOOKUP($G7,Coords[],4,FALSE)-VLOOKUP(BE$5,Coords[],4,FALSE))^2)))</f>
        <v>1000</v>
      </c>
      <c r="BF7" s="10">
        <f>IF($G7=BF$5,1000,IF(BF$4=0,1000,SQRT((VLOOKUP($G7,Coords[],3,FALSE)-VLOOKUP(BF$5,Coords[],3,FALSE))^2+(VLOOKUP($G7,Coords[],4,FALSE)-VLOOKUP(BF$5,Coords[],4,FALSE))^2)))</f>
        <v>1000</v>
      </c>
      <c r="BG7" s="10">
        <f>IF($G7=BG$5,1000,IF(BG$4=0,1000,SQRT((VLOOKUP($G7,Coords[],3,FALSE)-VLOOKUP(BG$5,Coords[],3,FALSE))^2+(VLOOKUP($G7,Coords[],4,FALSE)-VLOOKUP(BG$5,Coords[],4,FALSE))^2)))</f>
        <v>1000</v>
      </c>
      <c r="BH7" s="10">
        <f>IF($G7=BH$5,1000,IF(BH$4=0,1000,SQRT((VLOOKUP($G7,Coords[],3,FALSE)-VLOOKUP(BH$5,Coords[],3,FALSE))^2+(VLOOKUP($G7,Coords[],4,FALSE)-VLOOKUP(BH$5,Coords[],4,FALSE))^2)))</f>
        <v>1000</v>
      </c>
      <c r="BI7" s="10">
        <f>IF($G7=BI$5,1000,IF(BI$4=0,1000,SQRT((VLOOKUP($G7,Coords[],3,FALSE)-VLOOKUP(BI$5,Coords[],3,FALSE))^2+(VLOOKUP($G7,Coords[],4,FALSE)-VLOOKUP(BI$5,Coords[],4,FALSE))^2)))</f>
        <v>1000</v>
      </c>
      <c r="BJ7" s="10">
        <f>IF($G7=BJ$5,1000,IF(BJ$4=0,1000,SQRT((VLOOKUP($G7,Coords[],3,FALSE)-VLOOKUP(BJ$5,Coords[],3,FALSE))^2+(VLOOKUP($G7,Coords[],4,FALSE)-VLOOKUP(BJ$5,Coords[],4,FALSE))^2)))</f>
        <v>1000</v>
      </c>
      <c r="BK7" s="10">
        <f>IF($G7=BK$5,1000,IF(BK$4=0,1000,SQRT((VLOOKUP($G7,Coords[],3,FALSE)-VLOOKUP(BK$5,Coords[],3,FALSE))^2+(VLOOKUP($G7,Coords[],4,FALSE)-VLOOKUP(BK$5,Coords[],4,FALSE))^2)))</f>
        <v>1000</v>
      </c>
      <c r="BL7" s="10">
        <f>IF($G7=BL$5,1000,IF(BL$4=0,1000,SQRT((VLOOKUP($G7,Coords[],3,FALSE)-VLOOKUP(BL$5,Coords[],3,FALSE))^2+(VLOOKUP($G7,Coords[],4,FALSE)-VLOOKUP(BL$5,Coords[],4,FALSE))^2)))</f>
        <v>1000</v>
      </c>
      <c r="BM7" s="10">
        <f>IF($G7=BM$5,1000,IF(BM$4=0,1000,SQRT((VLOOKUP($G7,Coords[],3,FALSE)-VLOOKUP(BM$5,Coords[],3,FALSE))^2+(VLOOKUP($G7,Coords[],4,FALSE)-VLOOKUP(BM$5,Coords[],4,FALSE))^2)))</f>
        <v>1000</v>
      </c>
      <c r="BN7" s="10">
        <f>IF($G7=BN$5,1000,IF(BN$4=0,1000,SQRT((VLOOKUP($G7,Coords[],3,FALSE)-VLOOKUP(BN$5,Coords[],3,FALSE))^2+(VLOOKUP($G7,Coords[],4,FALSE)-VLOOKUP(BN$5,Coords[],4,FALSE))^2)))</f>
        <v>1000</v>
      </c>
      <c r="BO7" s="10">
        <f>IF($G7=BO$5,1000,IF(BO$4=0,1000,SQRT((VLOOKUP($G7,Coords[],3,FALSE)-VLOOKUP(BO$5,Coords[],3,FALSE))^2+(VLOOKUP($G7,Coords[],4,FALSE)-VLOOKUP(BO$5,Coords[],4,FALSE))^2)))</f>
        <v>1000</v>
      </c>
      <c r="BP7" s="10">
        <f>IF($G7=BP$5,1000,IF(BP$4=0,1000,SQRT((VLOOKUP($G7,Coords[],3,FALSE)-VLOOKUP(BP$5,Coords[],3,FALSE))^2+(VLOOKUP($G7,Coords[],4,FALSE)-VLOOKUP(BP$5,Coords[],4,FALSE))^2)))</f>
        <v>1000</v>
      </c>
      <c r="BQ7" s="10">
        <f>IF($G7=BQ$5,1000,IF(BQ$4=0,1000,SQRT((VLOOKUP($G7,Coords[],3,FALSE)-VLOOKUP(BQ$5,Coords[],3,FALSE))^2+(VLOOKUP($G7,Coords[],4,FALSE)-VLOOKUP(BQ$5,Coords[],4,FALSE))^2)))</f>
        <v>1000</v>
      </c>
      <c r="BR7" s="10">
        <f>IF($G7=BR$5,1000,IF(BR$4=0,1000,SQRT((VLOOKUP($G7,Coords[],3,FALSE)-VLOOKUP(BR$5,Coords[],3,FALSE))^2+(VLOOKUP($G7,Coords[],4,FALSE)-VLOOKUP(BR$5,Coords[],4,FALSE))^2)))</f>
        <v>1000</v>
      </c>
      <c r="BS7" s="10">
        <f>IF($G7=BS$5,1000,IF(BS$4=0,1000,SQRT((VLOOKUP($G7,Coords[],3,FALSE)-VLOOKUP(BS$5,Coords[],3,FALSE))^2+(VLOOKUP($G7,Coords[],4,FALSE)-VLOOKUP(BS$5,Coords[],4,FALSE))^2)))</f>
        <v>1000</v>
      </c>
      <c r="BT7" s="10">
        <f>IF($G7=BT$5,1000,IF(BT$4=0,1000,SQRT((VLOOKUP($G7,Coords[],3,FALSE)-VLOOKUP(BT$5,Coords[],3,FALSE))^2+(VLOOKUP($G7,Coords[],4,FALSE)-VLOOKUP(BT$5,Coords[],4,FALSE))^2)))</f>
        <v>1000</v>
      </c>
      <c r="BU7" s="10">
        <f>IF($G7=BU$5,1000,IF(BU$4=0,1000,SQRT((VLOOKUP($G7,Coords[],3,FALSE)-VLOOKUP(BU$5,Coords[],3,FALSE))^2+(VLOOKUP($G7,Coords[],4,FALSE)-VLOOKUP(BU$5,Coords[],4,FALSE))^2)))</f>
        <v>1000</v>
      </c>
      <c r="BV7" s="10">
        <f>IF($G7=BV$5,1000,IF(BV$4=0,1000,SQRT((VLOOKUP($G7,Coords[],3,FALSE)-VLOOKUP(BV$5,Coords[],3,FALSE))^2+(VLOOKUP($G7,Coords[],4,FALSE)-VLOOKUP(BV$5,Coords[],4,FALSE))^2)))</f>
        <v>1000</v>
      </c>
      <c r="BW7" s="10">
        <f>IF($G7=BW$5,1000,IF(BW$4=0,1000,SQRT((VLOOKUP($G7,Coords[],3,FALSE)-VLOOKUP(BW$5,Coords[],3,FALSE))^2+(VLOOKUP($G7,Coords[],4,FALSE)-VLOOKUP(BW$5,Coords[],4,FALSE))^2)))</f>
        <v>1000</v>
      </c>
      <c r="BX7" s="10">
        <f>IF($G7=BX$5,1000,IF(BX$4=0,1000,SQRT((VLOOKUP($G7,Coords[],3,FALSE)-VLOOKUP(BX$5,Coords[],3,FALSE))^2+(VLOOKUP($G7,Coords[],4,FALSE)-VLOOKUP(BX$5,Coords[],4,FALSE))^2)))</f>
        <v>1000</v>
      </c>
      <c r="BY7" s="10">
        <f>IF($G7=BY$5,1000,IF(BY$4=0,1000,SQRT((VLOOKUP($G7,Coords[],3,FALSE)-VLOOKUP(BY$5,Coords[],3,FALSE))^2+(VLOOKUP($G7,Coords[],4,FALSE)-VLOOKUP(BY$5,Coords[],4,FALSE))^2)))</f>
        <v>1000</v>
      </c>
      <c r="BZ7" s="10">
        <f>IF($G7=BZ$5,1000,IF(BZ$4=0,1000,SQRT((VLOOKUP($G7,Coords[],3,FALSE)-VLOOKUP(BZ$5,Coords[],3,FALSE))^2+(VLOOKUP($G7,Coords[],4,FALSE)-VLOOKUP(BZ$5,Coords[],4,FALSE))^2)))</f>
        <v>1000</v>
      </c>
      <c r="CA7" s="10">
        <f>IF($G7=CA$5,1000,IF(CA$4=0,1000,SQRT((VLOOKUP($G7,Coords[],3,FALSE)-VLOOKUP(CA$5,Coords[],3,FALSE))^2+(VLOOKUP($G7,Coords[],4,FALSE)-VLOOKUP(CA$5,Coords[],4,FALSE))^2)))</f>
        <v>1000</v>
      </c>
      <c r="CB7" s="10">
        <f>IF($G7=CB$5,1000,IF(CB$4=0,1000,SQRT((VLOOKUP($G7,Coords[],3,FALSE)-VLOOKUP(CB$5,Coords[],3,FALSE))^2+(VLOOKUP($G7,Coords[],4,FALSE)-VLOOKUP(CB$5,Coords[],4,FALSE))^2)))</f>
        <v>1000</v>
      </c>
      <c r="CC7" s="10">
        <f>IF($G7=CC$5,1000,IF(CC$4=0,1000,SQRT((VLOOKUP($G7,Coords[],3,FALSE)-VLOOKUP(CC$5,Coords[],3,FALSE))^2+(VLOOKUP($G7,Coords[],4,FALSE)-VLOOKUP(CC$5,Coords[],4,FALSE))^2)))</f>
        <v>1000</v>
      </c>
      <c r="CD7" s="10">
        <f>IF($G7=CD$5,1000,IF(CD$4=0,1000,SQRT((VLOOKUP($G7,Coords[],3,FALSE)-VLOOKUP(CD$5,Coords[],3,FALSE))^2+(VLOOKUP($G7,Coords[],4,FALSE)-VLOOKUP(CD$5,Coords[],4,FALSE))^2)))</f>
        <v>1000</v>
      </c>
      <c r="CE7" s="10">
        <f>IF($G7=CE$5,1000,IF(CE$4=0,1000,SQRT((VLOOKUP($G7,Coords[],3,FALSE)-VLOOKUP(CE$5,Coords[],3,FALSE))^2+(VLOOKUP($G7,Coords[],4,FALSE)-VLOOKUP(CE$5,Coords[],4,FALSE))^2)))</f>
        <v>1000</v>
      </c>
      <c r="CF7" s="4">
        <v>2</v>
      </c>
      <c r="CH7" s="5">
        <f>IF(E7=1,0,VLOOKUP($G7,$G$6:$CE$82,HLOOKUP(MIN(H7:CE7),$H7:$CE$82,((COUNT($G$6:$G$81)+2)-$G7),FALSE)+1,FALSE)*B7)</f>
        <v>0</v>
      </c>
      <c r="CI7" s="9">
        <f>VLOOKUP($G7,$G$6:$CE$82,HLOOKUP(MIN(H7:CE7),$H7:$CE$82,((COUNT($G$6:$G$81)+2)-$G7),FALSE)+1,FALSE)</f>
        <v>1000</v>
      </c>
      <c r="CJ7" s="7">
        <f>HLOOKUP(MIN(H7:CE7),$H7:$CE$82,((COUNT($G$6:$G$81)+2)-$G7),FALSE)</f>
        <v>1</v>
      </c>
      <c r="CK7">
        <f>CI7*Coords[[#This Row],[Demand]]</f>
        <v>0</v>
      </c>
    </row>
    <row r="8" spans="1:89" x14ac:dyDescent="0.25">
      <c r="A8" s="8">
        <v>3</v>
      </c>
      <c r="B8" s="3"/>
      <c r="C8" s="3"/>
      <c r="D8" s="3"/>
      <c r="E8" s="3"/>
      <c r="G8" s="4">
        <v>3</v>
      </c>
      <c r="H8" s="10">
        <f>IF($G8=H$5,1000,IF(H$4=0,1000,SQRT((VLOOKUP($G8,Coords[],3,FALSE)-VLOOKUP(H$5,Coords[],3,FALSE))^2+(VLOOKUP($G8,Coords[],4,FALSE)-VLOOKUP(H$5,Coords[],4,FALSE))^2)))</f>
        <v>1000</v>
      </c>
      <c r="I8" s="10">
        <f>IF($G8=I$5,1000,IF(I$4=0,1000,SQRT((VLOOKUP($G8,Coords[],3,FALSE)-VLOOKUP(I$5,Coords[],3,FALSE))^2+(VLOOKUP($G8,Coords[],4,FALSE)-VLOOKUP(I$5,Coords[],4,FALSE))^2)))</f>
        <v>1000</v>
      </c>
      <c r="J8" s="10">
        <f>IF($G8=J$5,1000,IF(J$4=0,1000,SQRT((VLOOKUP($G8,Coords[],3,FALSE)-VLOOKUP(J$5,Coords[],3,FALSE))^2+(VLOOKUP($G8,Coords[],4,FALSE)-VLOOKUP(J$5,Coords[],4,FALSE))^2)))</f>
        <v>1000</v>
      </c>
      <c r="K8" s="10">
        <f>IF($G8=K$5,1000,IF(K$4=0,1000,SQRT((VLOOKUP($G8,Coords[],3,FALSE)-VLOOKUP(K$5,Coords[],3,FALSE))^2+(VLOOKUP($G8,Coords[],4,FALSE)-VLOOKUP(K$5,Coords[],4,FALSE))^2)))</f>
        <v>1000</v>
      </c>
      <c r="L8" s="10">
        <f>IF($G8=L$5,1000,IF(L$4=0,1000,SQRT((VLOOKUP($G8,Coords[],3,FALSE)-VLOOKUP(L$5,Coords[],3,FALSE))^2+(VLOOKUP($G8,Coords[],4,FALSE)-VLOOKUP(L$5,Coords[],4,FALSE))^2)))</f>
        <v>1000</v>
      </c>
      <c r="M8" s="10">
        <f>IF($G8=M$5,1000,IF(M$4=0,1000,SQRT((VLOOKUP($G8,Coords[],3,FALSE)-VLOOKUP(M$5,Coords[],3,FALSE))^2+(VLOOKUP($G8,Coords[],4,FALSE)-VLOOKUP(M$5,Coords[],4,FALSE))^2)))</f>
        <v>1000</v>
      </c>
      <c r="N8" s="10">
        <f>IF($G8=N$5,1000,IF(N$4=0,1000,SQRT((VLOOKUP($G8,Coords[],3,FALSE)-VLOOKUP(N$5,Coords[],3,FALSE))^2+(VLOOKUP($G8,Coords[],4,FALSE)-VLOOKUP(N$5,Coords[],4,FALSE))^2)))</f>
        <v>1000</v>
      </c>
      <c r="O8" s="10">
        <f>IF($G8=O$5,1000,IF(O$4=0,1000,SQRT((VLOOKUP($G8,Coords[],3,FALSE)-VLOOKUP(O$5,Coords[],3,FALSE))^2+(VLOOKUP($G8,Coords[],4,FALSE)-VLOOKUP(O$5,Coords[],4,FALSE))^2)))</f>
        <v>1000</v>
      </c>
      <c r="P8" s="10">
        <f>IF($G8=P$5,1000,IF(P$4=0,1000,SQRT((VLOOKUP($G8,Coords[],3,FALSE)-VLOOKUP(P$5,Coords[],3,FALSE))^2+(VLOOKUP($G8,Coords[],4,FALSE)-VLOOKUP(P$5,Coords[],4,FALSE))^2)))</f>
        <v>1000</v>
      </c>
      <c r="Q8" s="10">
        <f>IF($G8=Q$5,1000,IF(Q$4=0,1000,SQRT((VLOOKUP($G8,Coords[],3,FALSE)-VLOOKUP(Q$5,Coords[],3,FALSE))^2+(VLOOKUP($G8,Coords[],4,FALSE)-VLOOKUP(Q$5,Coords[],4,FALSE))^2)))</f>
        <v>1000</v>
      </c>
      <c r="R8" s="10">
        <f>IF($G8=R$5,1000,IF(R$4=0,1000,SQRT((VLOOKUP($G8,Coords[],3,FALSE)-VLOOKUP(R$5,Coords[],3,FALSE))^2+(VLOOKUP($G8,Coords[],4,FALSE)-VLOOKUP(R$5,Coords[],4,FALSE))^2)))</f>
        <v>1000</v>
      </c>
      <c r="S8" s="10">
        <f>IF($G8=S$5,1000,IF(S$4=0,1000,SQRT((VLOOKUP($G8,Coords[],3,FALSE)-VLOOKUP(S$5,Coords[],3,FALSE))^2+(VLOOKUP($G8,Coords[],4,FALSE)-VLOOKUP(S$5,Coords[],4,FALSE))^2)))</f>
        <v>1000</v>
      </c>
      <c r="T8" s="10">
        <f>IF($G8=T$5,1000,IF(T$4=0,1000,SQRT((VLOOKUP($G8,Coords[],3,FALSE)-VLOOKUP(T$5,Coords[],3,FALSE))^2+(VLOOKUP($G8,Coords[],4,FALSE)-VLOOKUP(T$5,Coords[],4,FALSE))^2)))</f>
        <v>1000</v>
      </c>
      <c r="U8" s="10">
        <f>IF($G8=U$5,1000,IF(U$4=0,1000,SQRT((VLOOKUP($G8,Coords[],3,FALSE)-VLOOKUP(U$5,Coords[],3,FALSE))^2+(VLOOKUP($G8,Coords[],4,FALSE)-VLOOKUP(U$5,Coords[],4,FALSE))^2)))</f>
        <v>1000</v>
      </c>
      <c r="V8" s="10">
        <f>IF($G8=V$5,1000,IF(V$4=0,1000,SQRT((VLOOKUP($G8,Coords[],3,FALSE)-VLOOKUP(V$5,Coords[],3,FALSE))^2+(VLOOKUP($G8,Coords[],4,FALSE)-VLOOKUP(V$5,Coords[],4,FALSE))^2)))</f>
        <v>1000</v>
      </c>
      <c r="W8" s="10">
        <f>IF($G8=W$5,1000,IF(W$4=0,1000,SQRT((VLOOKUP($G8,Coords[],3,FALSE)-VLOOKUP(W$5,Coords[],3,FALSE))^2+(VLOOKUP($G8,Coords[],4,FALSE)-VLOOKUP(W$5,Coords[],4,FALSE))^2)))</f>
        <v>1000</v>
      </c>
      <c r="X8" s="10">
        <f>IF($G8=X$5,1000,IF(X$4=0,1000,SQRT((VLOOKUP($G8,Coords[],3,FALSE)-VLOOKUP(X$5,Coords[],3,FALSE))^2+(VLOOKUP($G8,Coords[],4,FALSE)-VLOOKUP(X$5,Coords[],4,FALSE))^2)))</f>
        <v>1000</v>
      </c>
      <c r="Y8" s="10">
        <f>IF($G8=Y$5,1000,IF(Y$4=0,1000,SQRT((VLOOKUP($G8,Coords[],3,FALSE)-VLOOKUP(Y$5,Coords[],3,FALSE))^2+(VLOOKUP($G8,Coords[],4,FALSE)-VLOOKUP(Y$5,Coords[],4,FALSE))^2)))</f>
        <v>1000</v>
      </c>
      <c r="Z8" s="10">
        <f>IF($G8=Z$5,1000,IF(Z$4=0,1000,SQRT((VLOOKUP($G8,Coords[],3,FALSE)-VLOOKUP(Z$5,Coords[],3,FALSE))^2+(VLOOKUP($G8,Coords[],4,FALSE)-VLOOKUP(Z$5,Coords[],4,FALSE))^2)))</f>
        <v>1000</v>
      </c>
      <c r="AA8" s="10">
        <f>IF($G8=AA$5,1000,IF(AA$4=0,1000,SQRT((VLOOKUP($G8,Coords[],3,FALSE)-VLOOKUP(AA$5,Coords[],3,FALSE))^2+(VLOOKUP($G8,Coords[],4,FALSE)-VLOOKUP(AA$5,Coords[],4,FALSE))^2)))</f>
        <v>1000</v>
      </c>
      <c r="AB8" s="10">
        <f>IF($G8=AB$5,1000,IF(AB$4=0,1000,SQRT((VLOOKUP($G8,Coords[],3,FALSE)-VLOOKUP(AB$5,Coords[],3,FALSE))^2+(VLOOKUP($G8,Coords[],4,FALSE)-VLOOKUP(AB$5,Coords[],4,FALSE))^2)))</f>
        <v>1000</v>
      </c>
      <c r="AC8" s="10">
        <f>IF($G8=AC$5,1000,IF(AC$4=0,1000,SQRT((VLOOKUP($G8,Coords[],3,FALSE)-VLOOKUP(AC$5,Coords[],3,FALSE))^2+(VLOOKUP($G8,Coords[],4,FALSE)-VLOOKUP(AC$5,Coords[],4,FALSE))^2)))</f>
        <v>1000</v>
      </c>
      <c r="AD8" s="10">
        <f>IF($G8=AD$5,1000,IF(AD$4=0,1000,SQRT((VLOOKUP($G8,Coords[],3,FALSE)-VLOOKUP(AD$5,Coords[],3,FALSE))^2+(VLOOKUP($G8,Coords[],4,FALSE)-VLOOKUP(AD$5,Coords[],4,FALSE))^2)))</f>
        <v>1000</v>
      </c>
      <c r="AE8" s="10">
        <f>IF($G8=AE$5,1000,IF(AE$4=0,1000,SQRT((VLOOKUP($G8,Coords[],3,FALSE)-VLOOKUP(AE$5,Coords[],3,FALSE))^2+(VLOOKUP($G8,Coords[],4,FALSE)-VLOOKUP(AE$5,Coords[],4,FALSE))^2)))</f>
        <v>1000</v>
      </c>
      <c r="AF8" s="10">
        <f>IF($G8=AF$5,1000,IF(AF$4=0,1000,SQRT((VLOOKUP($G8,Coords[],3,FALSE)-VLOOKUP(AF$5,Coords[],3,FALSE))^2+(VLOOKUP($G8,Coords[],4,FALSE)-VLOOKUP(AF$5,Coords[],4,FALSE))^2)))</f>
        <v>1000</v>
      </c>
      <c r="AG8" s="10">
        <f>IF($G8=AG$5,1000,IF(AG$4=0,1000,SQRT((VLOOKUP($G8,Coords[],3,FALSE)-VLOOKUP(AG$5,Coords[],3,FALSE))^2+(VLOOKUP($G8,Coords[],4,FALSE)-VLOOKUP(AG$5,Coords[],4,FALSE))^2)))</f>
        <v>1000</v>
      </c>
      <c r="AH8" s="10">
        <f>IF($G8=AH$5,1000,IF(AH$4=0,1000,SQRT((VLOOKUP($G8,Coords[],3,FALSE)-VLOOKUP(AH$5,Coords[],3,FALSE))^2+(VLOOKUP($G8,Coords[],4,FALSE)-VLOOKUP(AH$5,Coords[],4,FALSE))^2)))</f>
        <v>1000</v>
      </c>
      <c r="AI8" s="10">
        <f>IF($G8=AI$5,1000,IF(AI$4=0,1000,SQRT((VLOOKUP($G8,Coords[],3,FALSE)-VLOOKUP(AI$5,Coords[],3,FALSE))^2+(VLOOKUP($G8,Coords[],4,FALSE)-VLOOKUP(AI$5,Coords[],4,FALSE))^2)))</f>
        <v>1000</v>
      </c>
      <c r="AJ8" s="10">
        <f>IF($G8=AJ$5,1000,IF(AJ$4=0,1000,SQRT((VLOOKUP($G8,Coords[],3,FALSE)-VLOOKUP(AJ$5,Coords[],3,FALSE))^2+(VLOOKUP($G8,Coords[],4,FALSE)-VLOOKUP(AJ$5,Coords[],4,FALSE))^2)))</f>
        <v>1000</v>
      </c>
      <c r="AK8" s="10">
        <f>IF($G8=AK$5,1000,IF(AK$4=0,1000,SQRT((VLOOKUP($G8,Coords[],3,FALSE)-VLOOKUP(AK$5,Coords[],3,FALSE))^2+(VLOOKUP($G8,Coords[],4,FALSE)-VLOOKUP(AK$5,Coords[],4,FALSE))^2)))</f>
        <v>1000</v>
      </c>
      <c r="AL8" s="10">
        <f>IF($G8=AL$5,1000,IF(AL$4=0,1000,SQRT((VLOOKUP($G8,Coords[],3,FALSE)-VLOOKUP(AL$5,Coords[],3,FALSE))^2+(VLOOKUP($G8,Coords[],4,FALSE)-VLOOKUP(AL$5,Coords[],4,FALSE))^2)))</f>
        <v>1000</v>
      </c>
      <c r="AM8" s="10">
        <f>IF($G8=AM$5,1000,IF(AM$4=0,1000,SQRT((VLOOKUP($G8,Coords[],3,FALSE)-VLOOKUP(AM$5,Coords[],3,FALSE))^2+(VLOOKUP($G8,Coords[],4,FALSE)-VLOOKUP(AM$5,Coords[],4,FALSE))^2)))</f>
        <v>1000</v>
      </c>
      <c r="AN8" s="10">
        <f>IF($G8=AN$5,1000,IF(AN$4=0,1000,SQRT((VLOOKUP($G8,Coords[],3,FALSE)-VLOOKUP(AN$5,Coords[],3,FALSE))^2+(VLOOKUP($G8,Coords[],4,FALSE)-VLOOKUP(AN$5,Coords[],4,FALSE))^2)))</f>
        <v>1000</v>
      </c>
      <c r="AO8" s="10">
        <f>IF($G8=AO$5,1000,IF(AO$4=0,1000,SQRT((VLOOKUP($G8,Coords[],3,FALSE)-VLOOKUP(AO$5,Coords[],3,FALSE))^2+(VLOOKUP($G8,Coords[],4,FALSE)-VLOOKUP(AO$5,Coords[],4,FALSE))^2)))</f>
        <v>1000</v>
      </c>
      <c r="AP8" s="10">
        <f>IF($G8=AP$5,1000,IF(AP$4=0,1000,SQRT((VLOOKUP($G8,Coords[],3,FALSE)-VLOOKUP(AP$5,Coords[],3,FALSE))^2+(VLOOKUP($G8,Coords[],4,FALSE)-VLOOKUP(AP$5,Coords[],4,FALSE))^2)))</f>
        <v>1000</v>
      </c>
      <c r="AQ8" s="10">
        <f>IF($G8=AQ$5,1000,IF(AQ$4=0,1000,SQRT((VLOOKUP($G8,Coords[],3,FALSE)-VLOOKUP(AQ$5,Coords[],3,FALSE))^2+(VLOOKUP($G8,Coords[],4,FALSE)-VLOOKUP(AQ$5,Coords[],4,FALSE))^2)))</f>
        <v>1000</v>
      </c>
      <c r="AR8" s="10">
        <f>IF($G8=AR$5,1000,IF(AR$4=0,1000,SQRT((VLOOKUP($G8,Coords[],3,FALSE)-VLOOKUP(AR$5,Coords[],3,FALSE))^2+(VLOOKUP($G8,Coords[],4,FALSE)-VLOOKUP(AR$5,Coords[],4,FALSE))^2)))</f>
        <v>1000</v>
      </c>
      <c r="AS8" s="10">
        <f>IF($G8=AS$5,1000,IF(AS$4=0,1000,SQRT((VLOOKUP($G8,Coords[],3,FALSE)-VLOOKUP(AS$5,Coords[],3,FALSE))^2+(VLOOKUP($G8,Coords[],4,FALSE)-VLOOKUP(AS$5,Coords[],4,FALSE))^2)))</f>
        <v>1000</v>
      </c>
      <c r="AT8" s="10">
        <f>IF($G8=AT$5,1000,IF(AT$4=0,1000,SQRT((VLOOKUP($G8,Coords[],3,FALSE)-VLOOKUP(AT$5,Coords[],3,FALSE))^2+(VLOOKUP($G8,Coords[],4,FALSE)-VLOOKUP(AT$5,Coords[],4,FALSE))^2)))</f>
        <v>1000</v>
      </c>
      <c r="AU8" s="10">
        <f>IF($G8=AU$5,1000,IF(AU$4=0,1000,SQRT((VLOOKUP($G8,Coords[],3,FALSE)-VLOOKUP(AU$5,Coords[],3,FALSE))^2+(VLOOKUP($G8,Coords[],4,FALSE)-VLOOKUP(AU$5,Coords[],4,FALSE))^2)))</f>
        <v>1000</v>
      </c>
      <c r="AV8" s="10">
        <f>IF($G8=AV$5,1000,IF(AV$4=0,1000,SQRT((VLOOKUP($G8,Coords[],3,FALSE)-VLOOKUP(AV$5,Coords[],3,FALSE))^2+(VLOOKUP($G8,Coords[],4,FALSE)-VLOOKUP(AV$5,Coords[],4,FALSE))^2)))</f>
        <v>1000</v>
      </c>
      <c r="AW8" s="10">
        <f>IF($G8=AW$5,1000,IF(AW$4=0,1000,SQRT((VLOOKUP($G8,Coords[],3,FALSE)-VLOOKUP(AW$5,Coords[],3,FALSE))^2+(VLOOKUP($G8,Coords[],4,FALSE)-VLOOKUP(AW$5,Coords[],4,FALSE))^2)))</f>
        <v>1000</v>
      </c>
      <c r="AX8" s="10">
        <f>IF($G8=AX$5,1000,IF(AX$4=0,1000,SQRT((VLOOKUP($G8,Coords[],3,FALSE)-VLOOKUP(AX$5,Coords[],3,FALSE))^2+(VLOOKUP($G8,Coords[],4,FALSE)-VLOOKUP(AX$5,Coords[],4,FALSE))^2)))</f>
        <v>1000</v>
      </c>
      <c r="AY8" s="10">
        <f>IF($G8=AY$5,1000,IF(AY$4=0,1000,SQRT((VLOOKUP($G8,Coords[],3,FALSE)-VLOOKUP(AY$5,Coords[],3,FALSE))^2+(VLOOKUP($G8,Coords[],4,FALSE)-VLOOKUP(AY$5,Coords[],4,FALSE))^2)))</f>
        <v>1000</v>
      </c>
      <c r="AZ8" s="10">
        <f>IF($G8=AZ$5,1000,IF(AZ$4=0,1000,SQRT((VLOOKUP($G8,Coords[],3,FALSE)-VLOOKUP(AZ$5,Coords[],3,FALSE))^2+(VLOOKUP($G8,Coords[],4,FALSE)-VLOOKUP(AZ$5,Coords[],4,FALSE))^2)))</f>
        <v>1000</v>
      </c>
      <c r="BA8" s="10">
        <f>IF($G8=BA$5,1000,IF(BA$4=0,1000,SQRT((VLOOKUP($G8,Coords[],3,FALSE)-VLOOKUP(BA$5,Coords[],3,FALSE))^2+(VLOOKUP($G8,Coords[],4,FALSE)-VLOOKUP(BA$5,Coords[],4,FALSE))^2)))</f>
        <v>1000</v>
      </c>
      <c r="BB8" s="10">
        <f>IF($G8=BB$5,1000,IF(BB$4=0,1000,SQRT((VLOOKUP($G8,Coords[],3,FALSE)-VLOOKUP(BB$5,Coords[],3,FALSE))^2+(VLOOKUP($G8,Coords[],4,FALSE)-VLOOKUP(BB$5,Coords[],4,FALSE))^2)))</f>
        <v>1000</v>
      </c>
      <c r="BC8" s="10">
        <f>IF($G8=BC$5,1000,IF(BC$4=0,1000,SQRT((VLOOKUP($G8,Coords[],3,FALSE)-VLOOKUP(BC$5,Coords[],3,FALSE))^2+(VLOOKUP($G8,Coords[],4,FALSE)-VLOOKUP(BC$5,Coords[],4,FALSE))^2)))</f>
        <v>1000</v>
      </c>
      <c r="BD8" s="10">
        <f>IF($G8=BD$5,1000,IF(BD$4=0,1000,SQRT((VLOOKUP($G8,Coords[],3,FALSE)-VLOOKUP(BD$5,Coords[],3,FALSE))^2+(VLOOKUP($G8,Coords[],4,FALSE)-VLOOKUP(BD$5,Coords[],4,FALSE))^2)))</f>
        <v>1000</v>
      </c>
      <c r="BE8" s="10">
        <f>IF($G8=BE$5,1000,IF(BE$4=0,1000,SQRT((VLOOKUP($G8,Coords[],3,FALSE)-VLOOKUP(BE$5,Coords[],3,FALSE))^2+(VLOOKUP($G8,Coords[],4,FALSE)-VLOOKUP(BE$5,Coords[],4,FALSE))^2)))</f>
        <v>1000</v>
      </c>
      <c r="BF8" s="10">
        <f>IF($G8=BF$5,1000,IF(BF$4=0,1000,SQRT((VLOOKUP($G8,Coords[],3,FALSE)-VLOOKUP(BF$5,Coords[],3,FALSE))^2+(VLOOKUP($G8,Coords[],4,FALSE)-VLOOKUP(BF$5,Coords[],4,FALSE))^2)))</f>
        <v>1000</v>
      </c>
      <c r="BG8" s="10">
        <f>IF($G8=BG$5,1000,IF(BG$4=0,1000,SQRT((VLOOKUP($G8,Coords[],3,FALSE)-VLOOKUP(BG$5,Coords[],3,FALSE))^2+(VLOOKUP($G8,Coords[],4,FALSE)-VLOOKUP(BG$5,Coords[],4,FALSE))^2)))</f>
        <v>1000</v>
      </c>
      <c r="BH8" s="10">
        <f>IF($G8=BH$5,1000,IF(BH$4=0,1000,SQRT((VLOOKUP($G8,Coords[],3,FALSE)-VLOOKUP(BH$5,Coords[],3,FALSE))^2+(VLOOKUP($G8,Coords[],4,FALSE)-VLOOKUP(BH$5,Coords[],4,FALSE))^2)))</f>
        <v>1000</v>
      </c>
      <c r="BI8" s="10">
        <f>IF($G8=BI$5,1000,IF(BI$4=0,1000,SQRT((VLOOKUP($G8,Coords[],3,FALSE)-VLOOKUP(BI$5,Coords[],3,FALSE))^2+(VLOOKUP($G8,Coords[],4,FALSE)-VLOOKUP(BI$5,Coords[],4,FALSE))^2)))</f>
        <v>1000</v>
      </c>
      <c r="BJ8" s="10">
        <f>IF($G8=BJ$5,1000,IF(BJ$4=0,1000,SQRT((VLOOKUP($G8,Coords[],3,FALSE)-VLOOKUP(BJ$5,Coords[],3,FALSE))^2+(VLOOKUP($G8,Coords[],4,FALSE)-VLOOKUP(BJ$5,Coords[],4,FALSE))^2)))</f>
        <v>1000</v>
      </c>
      <c r="BK8" s="10">
        <f>IF($G8=BK$5,1000,IF(BK$4=0,1000,SQRT((VLOOKUP($G8,Coords[],3,FALSE)-VLOOKUP(BK$5,Coords[],3,FALSE))^2+(VLOOKUP($G8,Coords[],4,FALSE)-VLOOKUP(BK$5,Coords[],4,FALSE))^2)))</f>
        <v>1000</v>
      </c>
      <c r="BL8" s="10">
        <f>IF($G8=BL$5,1000,IF(BL$4=0,1000,SQRT((VLOOKUP($G8,Coords[],3,FALSE)-VLOOKUP(BL$5,Coords[],3,FALSE))^2+(VLOOKUP($G8,Coords[],4,FALSE)-VLOOKUP(BL$5,Coords[],4,FALSE))^2)))</f>
        <v>1000</v>
      </c>
      <c r="BM8" s="10">
        <f>IF($G8=BM$5,1000,IF(BM$4=0,1000,SQRT((VLOOKUP($G8,Coords[],3,FALSE)-VLOOKUP(BM$5,Coords[],3,FALSE))^2+(VLOOKUP($G8,Coords[],4,FALSE)-VLOOKUP(BM$5,Coords[],4,FALSE))^2)))</f>
        <v>1000</v>
      </c>
      <c r="BN8" s="10">
        <f>IF($G8=BN$5,1000,IF(BN$4=0,1000,SQRT((VLOOKUP($G8,Coords[],3,FALSE)-VLOOKUP(BN$5,Coords[],3,FALSE))^2+(VLOOKUP($G8,Coords[],4,FALSE)-VLOOKUP(BN$5,Coords[],4,FALSE))^2)))</f>
        <v>1000</v>
      </c>
      <c r="BO8" s="10">
        <f>IF($G8=BO$5,1000,IF(BO$4=0,1000,SQRT((VLOOKUP($G8,Coords[],3,FALSE)-VLOOKUP(BO$5,Coords[],3,FALSE))^2+(VLOOKUP($G8,Coords[],4,FALSE)-VLOOKUP(BO$5,Coords[],4,FALSE))^2)))</f>
        <v>1000</v>
      </c>
      <c r="BP8" s="10">
        <f>IF($G8=BP$5,1000,IF(BP$4=0,1000,SQRT((VLOOKUP($G8,Coords[],3,FALSE)-VLOOKUP(BP$5,Coords[],3,FALSE))^2+(VLOOKUP($G8,Coords[],4,FALSE)-VLOOKUP(BP$5,Coords[],4,FALSE))^2)))</f>
        <v>1000</v>
      </c>
      <c r="BQ8" s="10">
        <f>IF($G8=BQ$5,1000,IF(BQ$4=0,1000,SQRT((VLOOKUP($G8,Coords[],3,FALSE)-VLOOKUP(BQ$5,Coords[],3,FALSE))^2+(VLOOKUP($G8,Coords[],4,FALSE)-VLOOKUP(BQ$5,Coords[],4,FALSE))^2)))</f>
        <v>1000</v>
      </c>
      <c r="BR8" s="10">
        <f>IF($G8=BR$5,1000,IF(BR$4=0,1000,SQRT((VLOOKUP($G8,Coords[],3,FALSE)-VLOOKUP(BR$5,Coords[],3,FALSE))^2+(VLOOKUP($G8,Coords[],4,FALSE)-VLOOKUP(BR$5,Coords[],4,FALSE))^2)))</f>
        <v>1000</v>
      </c>
      <c r="BS8" s="10">
        <f>IF($G8=BS$5,1000,IF(BS$4=0,1000,SQRT((VLOOKUP($G8,Coords[],3,FALSE)-VLOOKUP(BS$5,Coords[],3,FALSE))^2+(VLOOKUP($G8,Coords[],4,FALSE)-VLOOKUP(BS$5,Coords[],4,FALSE))^2)))</f>
        <v>1000</v>
      </c>
      <c r="BT8" s="10">
        <f>IF($G8=BT$5,1000,IF(BT$4=0,1000,SQRT((VLOOKUP($G8,Coords[],3,FALSE)-VLOOKUP(BT$5,Coords[],3,FALSE))^2+(VLOOKUP($G8,Coords[],4,FALSE)-VLOOKUP(BT$5,Coords[],4,FALSE))^2)))</f>
        <v>1000</v>
      </c>
      <c r="BU8" s="10">
        <f>IF($G8=BU$5,1000,IF(BU$4=0,1000,SQRT((VLOOKUP($G8,Coords[],3,FALSE)-VLOOKUP(BU$5,Coords[],3,FALSE))^2+(VLOOKUP($G8,Coords[],4,FALSE)-VLOOKUP(BU$5,Coords[],4,FALSE))^2)))</f>
        <v>1000</v>
      </c>
      <c r="BV8" s="10">
        <f>IF($G8=BV$5,1000,IF(BV$4=0,1000,SQRT((VLOOKUP($G8,Coords[],3,FALSE)-VLOOKUP(BV$5,Coords[],3,FALSE))^2+(VLOOKUP($G8,Coords[],4,FALSE)-VLOOKUP(BV$5,Coords[],4,FALSE))^2)))</f>
        <v>1000</v>
      </c>
      <c r="BW8" s="10">
        <f>IF($G8=BW$5,1000,IF(BW$4=0,1000,SQRT((VLOOKUP($G8,Coords[],3,FALSE)-VLOOKUP(BW$5,Coords[],3,FALSE))^2+(VLOOKUP($G8,Coords[],4,FALSE)-VLOOKUP(BW$5,Coords[],4,FALSE))^2)))</f>
        <v>1000</v>
      </c>
      <c r="BX8" s="10">
        <f>IF($G8=BX$5,1000,IF(BX$4=0,1000,SQRT((VLOOKUP($G8,Coords[],3,FALSE)-VLOOKUP(BX$5,Coords[],3,FALSE))^2+(VLOOKUP($G8,Coords[],4,FALSE)-VLOOKUP(BX$5,Coords[],4,FALSE))^2)))</f>
        <v>1000</v>
      </c>
      <c r="BY8" s="10">
        <f>IF($G8=BY$5,1000,IF(BY$4=0,1000,SQRT((VLOOKUP($G8,Coords[],3,FALSE)-VLOOKUP(BY$5,Coords[],3,FALSE))^2+(VLOOKUP($G8,Coords[],4,FALSE)-VLOOKUP(BY$5,Coords[],4,FALSE))^2)))</f>
        <v>1000</v>
      </c>
      <c r="BZ8" s="10">
        <f>IF($G8=BZ$5,1000,IF(BZ$4=0,1000,SQRT((VLOOKUP($G8,Coords[],3,FALSE)-VLOOKUP(BZ$5,Coords[],3,FALSE))^2+(VLOOKUP($G8,Coords[],4,FALSE)-VLOOKUP(BZ$5,Coords[],4,FALSE))^2)))</f>
        <v>1000</v>
      </c>
      <c r="CA8" s="10">
        <f>IF($G8=CA$5,1000,IF(CA$4=0,1000,SQRT((VLOOKUP($G8,Coords[],3,FALSE)-VLOOKUP(CA$5,Coords[],3,FALSE))^2+(VLOOKUP($G8,Coords[],4,FALSE)-VLOOKUP(CA$5,Coords[],4,FALSE))^2)))</f>
        <v>1000</v>
      </c>
      <c r="CB8" s="10">
        <f>IF($G8=CB$5,1000,IF(CB$4=0,1000,SQRT((VLOOKUP($G8,Coords[],3,FALSE)-VLOOKUP(CB$5,Coords[],3,FALSE))^2+(VLOOKUP($G8,Coords[],4,FALSE)-VLOOKUP(CB$5,Coords[],4,FALSE))^2)))</f>
        <v>1000</v>
      </c>
      <c r="CC8" s="10">
        <f>IF($G8=CC$5,1000,IF(CC$4=0,1000,SQRT((VLOOKUP($G8,Coords[],3,FALSE)-VLOOKUP(CC$5,Coords[],3,FALSE))^2+(VLOOKUP($G8,Coords[],4,FALSE)-VLOOKUP(CC$5,Coords[],4,FALSE))^2)))</f>
        <v>1000</v>
      </c>
      <c r="CD8" s="10">
        <f>IF($G8=CD$5,1000,IF(CD$4=0,1000,SQRT((VLOOKUP($G8,Coords[],3,FALSE)-VLOOKUP(CD$5,Coords[],3,FALSE))^2+(VLOOKUP($G8,Coords[],4,FALSE)-VLOOKUP(CD$5,Coords[],4,FALSE))^2)))</f>
        <v>1000</v>
      </c>
      <c r="CE8" s="10">
        <f>IF($G8=CE$5,1000,IF(CE$4=0,1000,SQRT((VLOOKUP($G8,Coords[],3,FALSE)-VLOOKUP(CE$5,Coords[],3,FALSE))^2+(VLOOKUP($G8,Coords[],4,FALSE)-VLOOKUP(CE$5,Coords[],4,FALSE))^2)))</f>
        <v>1000</v>
      </c>
      <c r="CF8" s="4">
        <v>3</v>
      </c>
      <c r="CH8" s="5">
        <f>IF(E8=1,0,VLOOKUP($G8,$G$6:$CE$82,HLOOKUP(MIN(H8:CE8),$H8:$CE$82,((COUNT($G$6:$G$81)+2)-$G8),FALSE)+1,FALSE)*B8)</f>
        <v>0</v>
      </c>
      <c r="CI8" s="9">
        <f>VLOOKUP($G8,$G$6:$CE$82,HLOOKUP(MIN(H8:CE8),$H8:$CE$82,((COUNT($G$6:$G$81)+2)-$G8),FALSE)+1,FALSE)</f>
        <v>1000</v>
      </c>
      <c r="CJ8" s="7">
        <f>HLOOKUP(MIN(H8:CE8),$H8:$CE$82,((COUNT($G$6:$G$81)+2)-$G8),FALSE)</f>
        <v>1</v>
      </c>
      <c r="CK8">
        <f>CI8*Coords[[#This Row],[Demand]]</f>
        <v>0</v>
      </c>
    </row>
    <row r="9" spans="1:89" x14ac:dyDescent="0.25">
      <c r="A9" s="8">
        <v>4</v>
      </c>
      <c r="B9" s="3"/>
      <c r="C9" s="3"/>
      <c r="D9" s="3"/>
      <c r="E9" s="3"/>
      <c r="G9" s="4">
        <v>4</v>
      </c>
      <c r="H9" s="10">
        <f>IF($G9=H$5,1000,IF(H$4=0,1000,SQRT((VLOOKUP($G9,Coords[],3,FALSE)-VLOOKUP(H$5,Coords[],3,FALSE))^2+(VLOOKUP($G9,Coords[],4,FALSE)-VLOOKUP(H$5,Coords[],4,FALSE))^2)))</f>
        <v>1000</v>
      </c>
      <c r="I9" s="10">
        <f>IF($G9=I$5,1000,IF(I$4=0,1000,SQRT((VLOOKUP($G9,Coords[],3,FALSE)-VLOOKUP(I$5,Coords[],3,FALSE))^2+(VLOOKUP($G9,Coords[],4,FALSE)-VLOOKUP(I$5,Coords[],4,FALSE))^2)))</f>
        <v>1000</v>
      </c>
      <c r="J9" s="10">
        <f>IF($G9=J$5,1000,IF(J$4=0,1000,SQRT((VLOOKUP($G9,Coords[],3,FALSE)-VLOOKUP(J$5,Coords[],3,FALSE))^2+(VLOOKUP($G9,Coords[],4,FALSE)-VLOOKUP(J$5,Coords[],4,FALSE))^2)))</f>
        <v>1000</v>
      </c>
      <c r="K9" s="10">
        <f>IF($G9=K$5,1000,IF(K$4=0,1000,SQRT((VLOOKUP($G9,Coords[],3,FALSE)-VLOOKUP(K$5,Coords[],3,FALSE))^2+(VLOOKUP($G9,Coords[],4,FALSE)-VLOOKUP(K$5,Coords[],4,FALSE))^2)))</f>
        <v>1000</v>
      </c>
      <c r="L9" s="10">
        <f>IF($G9=L$5,1000,IF(L$4=0,1000,SQRT((VLOOKUP($G9,Coords[],3,FALSE)-VLOOKUP(L$5,Coords[],3,FALSE))^2+(VLOOKUP($G9,Coords[],4,FALSE)-VLOOKUP(L$5,Coords[],4,FALSE))^2)))</f>
        <v>1000</v>
      </c>
      <c r="M9" s="10">
        <f>IF($G9=M$5,1000,IF(M$4=0,1000,SQRT((VLOOKUP($G9,Coords[],3,FALSE)-VLOOKUP(M$5,Coords[],3,FALSE))^2+(VLOOKUP($G9,Coords[],4,FALSE)-VLOOKUP(M$5,Coords[],4,FALSE))^2)))</f>
        <v>1000</v>
      </c>
      <c r="N9" s="10">
        <f>IF($G9=N$5,1000,IF(N$4=0,1000,SQRT((VLOOKUP($G9,Coords[],3,FALSE)-VLOOKUP(N$5,Coords[],3,FALSE))^2+(VLOOKUP($G9,Coords[],4,FALSE)-VLOOKUP(N$5,Coords[],4,FALSE))^2)))</f>
        <v>1000</v>
      </c>
      <c r="O9" s="10">
        <f>IF($G9=O$5,1000,IF(O$4=0,1000,SQRT((VLOOKUP($G9,Coords[],3,FALSE)-VLOOKUP(O$5,Coords[],3,FALSE))^2+(VLOOKUP($G9,Coords[],4,FALSE)-VLOOKUP(O$5,Coords[],4,FALSE))^2)))</f>
        <v>1000</v>
      </c>
      <c r="P9" s="10">
        <f>IF($G9=P$5,1000,IF(P$4=0,1000,SQRT((VLOOKUP($G9,Coords[],3,FALSE)-VLOOKUP(P$5,Coords[],3,FALSE))^2+(VLOOKUP($G9,Coords[],4,FALSE)-VLOOKUP(P$5,Coords[],4,FALSE))^2)))</f>
        <v>1000</v>
      </c>
      <c r="Q9" s="10">
        <f>IF($G9=Q$5,1000,IF(Q$4=0,1000,SQRT((VLOOKUP($G9,Coords[],3,FALSE)-VLOOKUP(Q$5,Coords[],3,FALSE))^2+(VLOOKUP($G9,Coords[],4,FALSE)-VLOOKUP(Q$5,Coords[],4,FALSE))^2)))</f>
        <v>1000</v>
      </c>
      <c r="R9" s="10">
        <f>IF($G9=R$5,1000,IF(R$4=0,1000,SQRT((VLOOKUP($G9,Coords[],3,FALSE)-VLOOKUP(R$5,Coords[],3,FALSE))^2+(VLOOKUP($G9,Coords[],4,FALSE)-VLOOKUP(R$5,Coords[],4,FALSE))^2)))</f>
        <v>1000</v>
      </c>
      <c r="S9" s="10">
        <f>IF($G9=S$5,1000,IF(S$4=0,1000,SQRT((VLOOKUP($G9,Coords[],3,FALSE)-VLOOKUP(S$5,Coords[],3,FALSE))^2+(VLOOKUP($G9,Coords[],4,FALSE)-VLOOKUP(S$5,Coords[],4,FALSE))^2)))</f>
        <v>1000</v>
      </c>
      <c r="T9" s="10">
        <f>IF($G9=T$5,1000,IF(T$4=0,1000,SQRT((VLOOKUP($G9,Coords[],3,FALSE)-VLOOKUP(T$5,Coords[],3,FALSE))^2+(VLOOKUP($G9,Coords[],4,FALSE)-VLOOKUP(T$5,Coords[],4,FALSE))^2)))</f>
        <v>1000</v>
      </c>
      <c r="U9" s="10">
        <f>IF($G9=U$5,1000,IF(U$4=0,1000,SQRT((VLOOKUP($G9,Coords[],3,FALSE)-VLOOKUP(U$5,Coords[],3,FALSE))^2+(VLOOKUP($G9,Coords[],4,FALSE)-VLOOKUP(U$5,Coords[],4,FALSE))^2)))</f>
        <v>1000</v>
      </c>
      <c r="V9" s="10">
        <f>IF($G9=V$5,1000,IF(V$4=0,1000,SQRT((VLOOKUP($G9,Coords[],3,FALSE)-VLOOKUP(V$5,Coords[],3,FALSE))^2+(VLOOKUP($G9,Coords[],4,FALSE)-VLOOKUP(V$5,Coords[],4,FALSE))^2)))</f>
        <v>1000</v>
      </c>
      <c r="W9" s="10">
        <f>IF($G9=W$5,1000,IF(W$4=0,1000,SQRT((VLOOKUP($G9,Coords[],3,FALSE)-VLOOKUP(W$5,Coords[],3,FALSE))^2+(VLOOKUP($G9,Coords[],4,FALSE)-VLOOKUP(W$5,Coords[],4,FALSE))^2)))</f>
        <v>1000</v>
      </c>
      <c r="X9" s="10">
        <f>IF($G9=X$5,1000,IF(X$4=0,1000,SQRT((VLOOKUP($G9,Coords[],3,FALSE)-VLOOKUP(X$5,Coords[],3,FALSE))^2+(VLOOKUP($G9,Coords[],4,FALSE)-VLOOKUP(X$5,Coords[],4,FALSE))^2)))</f>
        <v>1000</v>
      </c>
      <c r="Y9" s="10">
        <f>IF($G9=Y$5,1000,IF(Y$4=0,1000,SQRT((VLOOKUP($G9,Coords[],3,FALSE)-VLOOKUP(Y$5,Coords[],3,FALSE))^2+(VLOOKUP($G9,Coords[],4,FALSE)-VLOOKUP(Y$5,Coords[],4,FALSE))^2)))</f>
        <v>1000</v>
      </c>
      <c r="Z9" s="10">
        <f>IF($G9=Z$5,1000,IF(Z$4=0,1000,SQRT((VLOOKUP($G9,Coords[],3,FALSE)-VLOOKUP(Z$5,Coords[],3,FALSE))^2+(VLOOKUP($G9,Coords[],4,FALSE)-VLOOKUP(Z$5,Coords[],4,FALSE))^2)))</f>
        <v>1000</v>
      </c>
      <c r="AA9" s="10">
        <f>IF($G9=AA$5,1000,IF(AA$4=0,1000,SQRT((VLOOKUP($G9,Coords[],3,FALSE)-VLOOKUP(AA$5,Coords[],3,FALSE))^2+(VLOOKUP($G9,Coords[],4,FALSE)-VLOOKUP(AA$5,Coords[],4,FALSE))^2)))</f>
        <v>1000</v>
      </c>
      <c r="AB9" s="10">
        <f>IF($G9=AB$5,1000,IF(AB$4=0,1000,SQRT((VLOOKUP($G9,Coords[],3,FALSE)-VLOOKUP(AB$5,Coords[],3,FALSE))^2+(VLOOKUP($G9,Coords[],4,FALSE)-VLOOKUP(AB$5,Coords[],4,FALSE))^2)))</f>
        <v>1000</v>
      </c>
      <c r="AC9" s="10">
        <f>IF($G9=AC$5,1000,IF(AC$4=0,1000,SQRT((VLOOKUP($G9,Coords[],3,FALSE)-VLOOKUP(AC$5,Coords[],3,FALSE))^2+(VLOOKUP($G9,Coords[],4,FALSE)-VLOOKUP(AC$5,Coords[],4,FALSE))^2)))</f>
        <v>1000</v>
      </c>
      <c r="AD9" s="10">
        <f>IF($G9=AD$5,1000,IF(AD$4=0,1000,SQRT((VLOOKUP($G9,Coords[],3,FALSE)-VLOOKUP(AD$5,Coords[],3,FALSE))^2+(VLOOKUP($G9,Coords[],4,FALSE)-VLOOKUP(AD$5,Coords[],4,FALSE))^2)))</f>
        <v>1000</v>
      </c>
      <c r="AE9" s="10">
        <f>IF($G9=AE$5,1000,IF(AE$4=0,1000,SQRT((VLOOKUP($G9,Coords[],3,FALSE)-VLOOKUP(AE$5,Coords[],3,FALSE))^2+(VLOOKUP($G9,Coords[],4,FALSE)-VLOOKUP(AE$5,Coords[],4,FALSE))^2)))</f>
        <v>1000</v>
      </c>
      <c r="AF9" s="10">
        <f>IF($G9=AF$5,1000,IF(AF$4=0,1000,SQRT((VLOOKUP($G9,Coords[],3,FALSE)-VLOOKUP(AF$5,Coords[],3,FALSE))^2+(VLOOKUP($G9,Coords[],4,FALSE)-VLOOKUP(AF$5,Coords[],4,FALSE))^2)))</f>
        <v>1000</v>
      </c>
      <c r="AG9" s="10">
        <f>IF($G9=AG$5,1000,IF(AG$4=0,1000,SQRT((VLOOKUP($G9,Coords[],3,FALSE)-VLOOKUP(AG$5,Coords[],3,FALSE))^2+(VLOOKUP($G9,Coords[],4,FALSE)-VLOOKUP(AG$5,Coords[],4,FALSE))^2)))</f>
        <v>1000</v>
      </c>
      <c r="AH9" s="10">
        <f>IF($G9=AH$5,1000,IF(AH$4=0,1000,SQRT((VLOOKUP($G9,Coords[],3,FALSE)-VLOOKUP(AH$5,Coords[],3,FALSE))^2+(VLOOKUP($G9,Coords[],4,FALSE)-VLOOKUP(AH$5,Coords[],4,FALSE))^2)))</f>
        <v>1000</v>
      </c>
      <c r="AI9" s="10">
        <f>IF($G9=AI$5,1000,IF(AI$4=0,1000,SQRT((VLOOKUP($G9,Coords[],3,FALSE)-VLOOKUP(AI$5,Coords[],3,FALSE))^2+(VLOOKUP($G9,Coords[],4,FALSE)-VLOOKUP(AI$5,Coords[],4,FALSE))^2)))</f>
        <v>1000</v>
      </c>
      <c r="AJ9" s="10">
        <f>IF($G9=AJ$5,1000,IF(AJ$4=0,1000,SQRT((VLOOKUP($G9,Coords[],3,FALSE)-VLOOKUP(AJ$5,Coords[],3,FALSE))^2+(VLOOKUP($G9,Coords[],4,FALSE)-VLOOKUP(AJ$5,Coords[],4,FALSE))^2)))</f>
        <v>1000</v>
      </c>
      <c r="AK9" s="10">
        <f>IF($G9=AK$5,1000,IF(AK$4=0,1000,SQRT((VLOOKUP($G9,Coords[],3,FALSE)-VLOOKUP(AK$5,Coords[],3,FALSE))^2+(VLOOKUP($G9,Coords[],4,FALSE)-VLOOKUP(AK$5,Coords[],4,FALSE))^2)))</f>
        <v>1000</v>
      </c>
      <c r="AL9" s="10">
        <f>IF($G9=AL$5,1000,IF(AL$4=0,1000,SQRT((VLOOKUP($G9,Coords[],3,FALSE)-VLOOKUP(AL$5,Coords[],3,FALSE))^2+(VLOOKUP($G9,Coords[],4,FALSE)-VLOOKUP(AL$5,Coords[],4,FALSE))^2)))</f>
        <v>1000</v>
      </c>
      <c r="AM9" s="10">
        <f>IF($G9=AM$5,1000,IF(AM$4=0,1000,SQRT((VLOOKUP($G9,Coords[],3,FALSE)-VLOOKUP(AM$5,Coords[],3,FALSE))^2+(VLOOKUP($G9,Coords[],4,FALSE)-VLOOKUP(AM$5,Coords[],4,FALSE))^2)))</f>
        <v>1000</v>
      </c>
      <c r="AN9" s="10">
        <f>IF($G9=AN$5,1000,IF(AN$4=0,1000,SQRT((VLOOKUP($G9,Coords[],3,FALSE)-VLOOKUP(AN$5,Coords[],3,FALSE))^2+(VLOOKUP($G9,Coords[],4,FALSE)-VLOOKUP(AN$5,Coords[],4,FALSE))^2)))</f>
        <v>1000</v>
      </c>
      <c r="AO9" s="10">
        <f>IF($G9=AO$5,1000,IF(AO$4=0,1000,SQRT((VLOOKUP($G9,Coords[],3,FALSE)-VLOOKUP(AO$5,Coords[],3,FALSE))^2+(VLOOKUP($G9,Coords[],4,FALSE)-VLOOKUP(AO$5,Coords[],4,FALSE))^2)))</f>
        <v>1000</v>
      </c>
      <c r="AP9" s="10">
        <f>IF($G9=AP$5,1000,IF(AP$4=0,1000,SQRT((VLOOKUP($G9,Coords[],3,FALSE)-VLOOKUP(AP$5,Coords[],3,FALSE))^2+(VLOOKUP($G9,Coords[],4,FALSE)-VLOOKUP(AP$5,Coords[],4,FALSE))^2)))</f>
        <v>1000</v>
      </c>
      <c r="AQ9" s="10">
        <f>IF($G9=AQ$5,1000,IF(AQ$4=0,1000,SQRT((VLOOKUP($G9,Coords[],3,FALSE)-VLOOKUP(AQ$5,Coords[],3,FALSE))^2+(VLOOKUP($G9,Coords[],4,FALSE)-VLOOKUP(AQ$5,Coords[],4,FALSE))^2)))</f>
        <v>1000</v>
      </c>
      <c r="AR9" s="10">
        <f>IF($G9=AR$5,1000,IF(AR$4=0,1000,SQRT((VLOOKUP($G9,Coords[],3,FALSE)-VLOOKUP(AR$5,Coords[],3,FALSE))^2+(VLOOKUP($G9,Coords[],4,FALSE)-VLOOKUP(AR$5,Coords[],4,FALSE))^2)))</f>
        <v>1000</v>
      </c>
      <c r="AS9" s="10">
        <f>IF($G9=AS$5,1000,IF(AS$4=0,1000,SQRT((VLOOKUP($G9,Coords[],3,FALSE)-VLOOKUP(AS$5,Coords[],3,FALSE))^2+(VLOOKUP($G9,Coords[],4,FALSE)-VLOOKUP(AS$5,Coords[],4,FALSE))^2)))</f>
        <v>1000</v>
      </c>
      <c r="AT9" s="10">
        <f>IF($G9=AT$5,1000,IF(AT$4=0,1000,SQRT((VLOOKUP($G9,Coords[],3,FALSE)-VLOOKUP(AT$5,Coords[],3,FALSE))^2+(VLOOKUP($G9,Coords[],4,FALSE)-VLOOKUP(AT$5,Coords[],4,FALSE))^2)))</f>
        <v>1000</v>
      </c>
      <c r="AU9" s="10">
        <f>IF($G9=AU$5,1000,IF(AU$4=0,1000,SQRT((VLOOKUP($G9,Coords[],3,FALSE)-VLOOKUP(AU$5,Coords[],3,FALSE))^2+(VLOOKUP($G9,Coords[],4,FALSE)-VLOOKUP(AU$5,Coords[],4,FALSE))^2)))</f>
        <v>1000</v>
      </c>
      <c r="AV9" s="10">
        <f>IF($G9=AV$5,1000,IF(AV$4=0,1000,SQRT((VLOOKUP($G9,Coords[],3,FALSE)-VLOOKUP(AV$5,Coords[],3,FALSE))^2+(VLOOKUP($G9,Coords[],4,FALSE)-VLOOKUP(AV$5,Coords[],4,FALSE))^2)))</f>
        <v>1000</v>
      </c>
      <c r="AW9" s="10">
        <f>IF($G9=AW$5,1000,IF(AW$4=0,1000,SQRT((VLOOKUP($G9,Coords[],3,FALSE)-VLOOKUP(AW$5,Coords[],3,FALSE))^2+(VLOOKUP($G9,Coords[],4,FALSE)-VLOOKUP(AW$5,Coords[],4,FALSE))^2)))</f>
        <v>1000</v>
      </c>
      <c r="AX9" s="10">
        <f>IF($G9=AX$5,1000,IF(AX$4=0,1000,SQRT((VLOOKUP($G9,Coords[],3,FALSE)-VLOOKUP(AX$5,Coords[],3,FALSE))^2+(VLOOKUP($G9,Coords[],4,FALSE)-VLOOKUP(AX$5,Coords[],4,FALSE))^2)))</f>
        <v>1000</v>
      </c>
      <c r="AY9" s="10">
        <f>IF($G9=AY$5,1000,IF(AY$4=0,1000,SQRT((VLOOKUP($G9,Coords[],3,FALSE)-VLOOKUP(AY$5,Coords[],3,FALSE))^2+(VLOOKUP($G9,Coords[],4,FALSE)-VLOOKUP(AY$5,Coords[],4,FALSE))^2)))</f>
        <v>1000</v>
      </c>
      <c r="AZ9" s="10">
        <f>IF($G9=AZ$5,1000,IF(AZ$4=0,1000,SQRT((VLOOKUP($G9,Coords[],3,FALSE)-VLOOKUP(AZ$5,Coords[],3,FALSE))^2+(VLOOKUP($G9,Coords[],4,FALSE)-VLOOKUP(AZ$5,Coords[],4,FALSE))^2)))</f>
        <v>1000</v>
      </c>
      <c r="BA9" s="10">
        <f>IF($G9=BA$5,1000,IF(BA$4=0,1000,SQRT((VLOOKUP($G9,Coords[],3,FALSE)-VLOOKUP(BA$5,Coords[],3,FALSE))^2+(VLOOKUP($G9,Coords[],4,FALSE)-VLOOKUP(BA$5,Coords[],4,FALSE))^2)))</f>
        <v>1000</v>
      </c>
      <c r="BB9" s="10">
        <f>IF($G9=BB$5,1000,IF(BB$4=0,1000,SQRT((VLOOKUP($G9,Coords[],3,FALSE)-VLOOKUP(BB$5,Coords[],3,FALSE))^2+(VLOOKUP($G9,Coords[],4,FALSE)-VLOOKUP(BB$5,Coords[],4,FALSE))^2)))</f>
        <v>1000</v>
      </c>
      <c r="BC9" s="10">
        <f>IF($G9=BC$5,1000,IF(BC$4=0,1000,SQRT((VLOOKUP($G9,Coords[],3,FALSE)-VLOOKUP(BC$5,Coords[],3,FALSE))^2+(VLOOKUP($G9,Coords[],4,FALSE)-VLOOKUP(BC$5,Coords[],4,FALSE))^2)))</f>
        <v>1000</v>
      </c>
      <c r="BD9" s="10">
        <f>IF($G9=BD$5,1000,IF(BD$4=0,1000,SQRT((VLOOKUP($G9,Coords[],3,FALSE)-VLOOKUP(BD$5,Coords[],3,FALSE))^2+(VLOOKUP($G9,Coords[],4,FALSE)-VLOOKUP(BD$5,Coords[],4,FALSE))^2)))</f>
        <v>1000</v>
      </c>
      <c r="BE9" s="10">
        <f>IF($G9=BE$5,1000,IF(BE$4=0,1000,SQRT((VLOOKUP($G9,Coords[],3,FALSE)-VLOOKUP(BE$5,Coords[],3,FALSE))^2+(VLOOKUP($G9,Coords[],4,FALSE)-VLOOKUP(BE$5,Coords[],4,FALSE))^2)))</f>
        <v>1000</v>
      </c>
      <c r="BF9" s="10">
        <f>IF($G9=BF$5,1000,IF(BF$4=0,1000,SQRT((VLOOKUP($G9,Coords[],3,FALSE)-VLOOKUP(BF$5,Coords[],3,FALSE))^2+(VLOOKUP($G9,Coords[],4,FALSE)-VLOOKUP(BF$5,Coords[],4,FALSE))^2)))</f>
        <v>1000</v>
      </c>
      <c r="BG9" s="10">
        <f>IF($G9=BG$5,1000,IF(BG$4=0,1000,SQRT((VLOOKUP($G9,Coords[],3,FALSE)-VLOOKUP(BG$5,Coords[],3,FALSE))^2+(VLOOKUP($G9,Coords[],4,FALSE)-VLOOKUP(BG$5,Coords[],4,FALSE))^2)))</f>
        <v>1000</v>
      </c>
      <c r="BH9" s="10">
        <f>IF($G9=BH$5,1000,IF(BH$4=0,1000,SQRT((VLOOKUP($G9,Coords[],3,FALSE)-VLOOKUP(BH$5,Coords[],3,FALSE))^2+(VLOOKUP($G9,Coords[],4,FALSE)-VLOOKUP(BH$5,Coords[],4,FALSE))^2)))</f>
        <v>1000</v>
      </c>
      <c r="BI9" s="10">
        <f>IF($G9=BI$5,1000,IF(BI$4=0,1000,SQRT((VLOOKUP($G9,Coords[],3,FALSE)-VLOOKUP(BI$5,Coords[],3,FALSE))^2+(VLOOKUP($G9,Coords[],4,FALSE)-VLOOKUP(BI$5,Coords[],4,FALSE))^2)))</f>
        <v>1000</v>
      </c>
      <c r="BJ9" s="10">
        <f>IF($G9=BJ$5,1000,IF(BJ$4=0,1000,SQRT((VLOOKUP($G9,Coords[],3,FALSE)-VLOOKUP(BJ$5,Coords[],3,FALSE))^2+(VLOOKUP($G9,Coords[],4,FALSE)-VLOOKUP(BJ$5,Coords[],4,FALSE))^2)))</f>
        <v>1000</v>
      </c>
      <c r="BK9" s="10">
        <f>IF($G9=BK$5,1000,IF(BK$4=0,1000,SQRT((VLOOKUP($G9,Coords[],3,FALSE)-VLOOKUP(BK$5,Coords[],3,FALSE))^2+(VLOOKUP($G9,Coords[],4,FALSE)-VLOOKUP(BK$5,Coords[],4,FALSE))^2)))</f>
        <v>1000</v>
      </c>
      <c r="BL9" s="10">
        <f>IF($G9=BL$5,1000,IF(BL$4=0,1000,SQRT((VLOOKUP($G9,Coords[],3,FALSE)-VLOOKUP(BL$5,Coords[],3,FALSE))^2+(VLOOKUP($G9,Coords[],4,FALSE)-VLOOKUP(BL$5,Coords[],4,FALSE))^2)))</f>
        <v>1000</v>
      </c>
      <c r="BM9" s="10">
        <f>IF($G9=BM$5,1000,IF(BM$4=0,1000,SQRT((VLOOKUP($G9,Coords[],3,FALSE)-VLOOKUP(BM$5,Coords[],3,FALSE))^2+(VLOOKUP($G9,Coords[],4,FALSE)-VLOOKUP(BM$5,Coords[],4,FALSE))^2)))</f>
        <v>1000</v>
      </c>
      <c r="BN9" s="10">
        <f>IF($G9=BN$5,1000,IF(BN$4=0,1000,SQRT((VLOOKUP($G9,Coords[],3,FALSE)-VLOOKUP(BN$5,Coords[],3,FALSE))^2+(VLOOKUP($G9,Coords[],4,FALSE)-VLOOKUP(BN$5,Coords[],4,FALSE))^2)))</f>
        <v>1000</v>
      </c>
      <c r="BO9" s="10">
        <f>IF($G9=BO$5,1000,IF(BO$4=0,1000,SQRT((VLOOKUP($G9,Coords[],3,FALSE)-VLOOKUP(BO$5,Coords[],3,FALSE))^2+(VLOOKUP($G9,Coords[],4,FALSE)-VLOOKUP(BO$5,Coords[],4,FALSE))^2)))</f>
        <v>1000</v>
      </c>
      <c r="BP9" s="10">
        <f>IF($G9=BP$5,1000,IF(BP$4=0,1000,SQRT((VLOOKUP($G9,Coords[],3,FALSE)-VLOOKUP(BP$5,Coords[],3,FALSE))^2+(VLOOKUP($G9,Coords[],4,FALSE)-VLOOKUP(BP$5,Coords[],4,FALSE))^2)))</f>
        <v>1000</v>
      </c>
      <c r="BQ9" s="10">
        <f>IF($G9=BQ$5,1000,IF(BQ$4=0,1000,SQRT((VLOOKUP($G9,Coords[],3,FALSE)-VLOOKUP(BQ$5,Coords[],3,FALSE))^2+(VLOOKUP($G9,Coords[],4,FALSE)-VLOOKUP(BQ$5,Coords[],4,FALSE))^2)))</f>
        <v>1000</v>
      </c>
      <c r="BR9" s="10">
        <f>IF($G9=BR$5,1000,IF(BR$4=0,1000,SQRT((VLOOKUP($G9,Coords[],3,FALSE)-VLOOKUP(BR$5,Coords[],3,FALSE))^2+(VLOOKUP($G9,Coords[],4,FALSE)-VLOOKUP(BR$5,Coords[],4,FALSE))^2)))</f>
        <v>1000</v>
      </c>
      <c r="BS9" s="10">
        <f>IF($G9=BS$5,1000,IF(BS$4=0,1000,SQRT((VLOOKUP($G9,Coords[],3,FALSE)-VLOOKUP(BS$5,Coords[],3,FALSE))^2+(VLOOKUP($G9,Coords[],4,FALSE)-VLOOKUP(BS$5,Coords[],4,FALSE))^2)))</f>
        <v>1000</v>
      </c>
      <c r="BT9" s="10">
        <f>IF($G9=BT$5,1000,IF(BT$4=0,1000,SQRT((VLOOKUP($G9,Coords[],3,FALSE)-VLOOKUP(BT$5,Coords[],3,FALSE))^2+(VLOOKUP($G9,Coords[],4,FALSE)-VLOOKUP(BT$5,Coords[],4,FALSE))^2)))</f>
        <v>1000</v>
      </c>
      <c r="BU9" s="10">
        <f>IF($G9=BU$5,1000,IF(BU$4=0,1000,SQRT((VLOOKUP($G9,Coords[],3,FALSE)-VLOOKUP(BU$5,Coords[],3,FALSE))^2+(VLOOKUP($G9,Coords[],4,FALSE)-VLOOKUP(BU$5,Coords[],4,FALSE))^2)))</f>
        <v>1000</v>
      </c>
      <c r="BV9" s="10">
        <f>IF($G9=BV$5,1000,IF(BV$4=0,1000,SQRT((VLOOKUP($G9,Coords[],3,FALSE)-VLOOKUP(BV$5,Coords[],3,FALSE))^2+(VLOOKUP($G9,Coords[],4,FALSE)-VLOOKUP(BV$5,Coords[],4,FALSE))^2)))</f>
        <v>1000</v>
      </c>
      <c r="BW9" s="10">
        <f>IF($G9=BW$5,1000,IF(BW$4=0,1000,SQRT((VLOOKUP($G9,Coords[],3,FALSE)-VLOOKUP(BW$5,Coords[],3,FALSE))^2+(VLOOKUP($G9,Coords[],4,FALSE)-VLOOKUP(BW$5,Coords[],4,FALSE))^2)))</f>
        <v>1000</v>
      </c>
      <c r="BX9" s="10">
        <f>IF($G9=BX$5,1000,IF(BX$4=0,1000,SQRT((VLOOKUP($G9,Coords[],3,FALSE)-VLOOKUP(BX$5,Coords[],3,FALSE))^2+(VLOOKUP($G9,Coords[],4,FALSE)-VLOOKUP(BX$5,Coords[],4,FALSE))^2)))</f>
        <v>1000</v>
      </c>
      <c r="BY9" s="10">
        <f>IF($G9=BY$5,1000,IF(BY$4=0,1000,SQRT((VLOOKUP($G9,Coords[],3,FALSE)-VLOOKUP(BY$5,Coords[],3,FALSE))^2+(VLOOKUP($G9,Coords[],4,FALSE)-VLOOKUP(BY$5,Coords[],4,FALSE))^2)))</f>
        <v>1000</v>
      </c>
      <c r="BZ9" s="10">
        <f>IF($G9=BZ$5,1000,IF(BZ$4=0,1000,SQRT((VLOOKUP($G9,Coords[],3,FALSE)-VLOOKUP(BZ$5,Coords[],3,FALSE))^2+(VLOOKUP($G9,Coords[],4,FALSE)-VLOOKUP(BZ$5,Coords[],4,FALSE))^2)))</f>
        <v>1000</v>
      </c>
      <c r="CA9" s="10">
        <f>IF($G9=CA$5,1000,IF(CA$4=0,1000,SQRT((VLOOKUP($G9,Coords[],3,FALSE)-VLOOKUP(CA$5,Coords[],3,FALSE))^2+(VLOOKUP($G9,Coords[],4,FALSE)-VLOOKUP(CA$5,Coords[],4,FALSE))^2)))</f>
        <v>1000</v>
      </c>
      <c r="CB9" s="10">
        <f>IF($G9=CB$5,1000,IF(CB$4=0,1000,SQRT((VLOOKUP($G9,Coords[],3,FALSE)-VLOOKUP(CB$5,Coords[],3,FALSE))^2+(VLOOKUP($G9,Coords[],4,FALSE)-VLOOKUP(CB$5,Coords[],4,FALSE))^2)))</f>
        <v>1000</v>
      </c>
      <c r="CC9" s="10">
        <f>IF($G9=CC$5,1000,IF(CC$4=0,1000,SQRT((VLOOKUP($G9,Coords[],3,FALSE)-VLOOKUP(CC$5,Coords[],3,FALSE))^2+(VLOOKUP($G9,Coords[],4,FALSE)-VLOOKUP(CC$5,Coords[],4,FALSE))^2)))</f>
        <v>1000</v>
      </c>
      <c r="CD9" s="10">
        <f>IF($G9=CD$5,1000,IF(CD$4=0,1000,SQRT((VLOOKUP($G9,Coords[],3,FALSE)-VLOOKUP(CD$5,Coords[],3,FALSE))^2+(VLOOKUP($G9,Coords[],4,FALSE)-VLOOKUP(CD$5,Coords[],4,FALSE))^2)))</f>
        <v>1000</v>
      </c>
      <c r="CE9" s="10">
        <f>IF($G9=CE$5,1000,IF(CE$4=0,1000,SQRT((VLOOKUP($G9,Coords[],3,FALSE)-VLOOKUP(CE$5,Coords[],3,FALSE))^2+(VLOOKUP($G9,Coords[],4,FALSE)-VLOOKUP(CE$5,Coords[],4,FALSE))^2)))</f>
        <v>1000</v>
      </c>
      <c r="CF9" s="4">
        <v>4</v>
      </c>
      <c r="CH9" s="5">
        <f>IF(E9=1,0,VLOOKUP($G9,$G$6:$CE$82,HLOOKUP(MIN(H9:CE9),$H9:$CE$82,((COUNT($G$6:$G$81)+2)-$G9),FALSE)+1,FALSE)*B9)</f>
        <v>0</v>
      </c>
      <c r="CI9" s="9">
        <f>VLOOKUP($G9,$G$6:$CE$82,HLOOKUP(MIN(H9:CE9),$H9:$CE$82,((COUNT($G$6:$G$81)+2)-$G9),FALSE)+1,FALSE)</f>
        <v>1000</v>
      </c>
      <c r="CJ9" s="7">
        <f>HLOOKUP(MIN(H9:CE9),$H9:$CE$82,((COUNT($G$6:$G$81)+2)-$G9),FALSE)</f>
        <v>1</v>
      </c>
      <c r="CK9">
        <f>CI9*Coords[[#This Row],[Demand]]</f>
        <v>0</v>
      </c>
    </row>
    <row r="10" spans="1:89" x14ac:dyDescent="0.25">
      <c r="A10" s="8">
        <v>5</v>
      </c>
      <c r="B10" s="3"/>
      <c r="C10" s="3"/>
      <c r="D10" s="3"/>
      <c r="E10" s="3"/>
      <c r="G10" s="4">
        <v>5</v>
      </c>
      <c r="H10" s="10">
        <f>IF($G10=H$5,1000,IF(H$4=0,1000,SQRT((VLOOKUP($G10,Coords[],3,FALSE)-VLOOKUP(H$5,Coords[],3,FALSE))^2+(VLOOKUP($G10,Coords[],4,FALSE)-VLOOKUP(H$5,Coords[],4,FALSE))^2)))</f>
        <v>1000</v>
      </c>
      <c r="I10" s="10">
        <f>IF($G10=I$5,1000,IF(I$4=0,1000,SQRT((VLOOKUP($G10,Coords[],3,FALSE)-VLOOKUP(I$5,Coords[],3,FALSE))^2+(VLOOKUP($G10,Coords[],4,FALSE)-VLOOKUP(I$5,Coords[],4,FALSE))^2)))</f>
        <v>1000</v>
      </c>
      <c r="J10" s="10">
        <f>IF($G10=J$5,1000,IF(J$4=0,1000,SQRT((VLOOKUP($G10,Coords[],3,FALSE)-VLOOKUP(J$5,Coords[],3,FALSE))^2+(VLOOKUP($G10,Coords[],4,FALSE)-VLOOKUP(J$5,Coords[],4,FALSE))^2)))</f>
        <v>1000</v>
      </c>
      <c r="K10" s="10">
        <f>IF($G10=K$5,1000,IF(K$4=0,1000,SQRT((VLOOKUP($G10,Coords[],3,FALSE)-VLOOKUP(K$5,Coords[],3,FALSE))^2+(VLOOKUP($G10,Coords[],4,FALSE)-VLOOKUP(K$5,Coords[],4,FALSE))^2)))</f>
        <v>1000</v>
      </c>
      <c r="L10" s="10">
        <f>IF($G10=L$5,1000,IF(L$4=0,1000,SQRT((VLOOKUP($G10,Coords[],3,FALSE)-VLOOKUP(L$5,Coords[],3,FALSE))^2+(VLOOKUP($G10,Coords[],4,FALSE)-VLOOKUP(L$5,Coords[],4,FALSE))^2)))</f>
        <v>1000</v>
      </c>
      <c r="M10" s="10">
        <f>IF($G10=M$5,1000,IF(M$4=0,1000,SQRT((VLOOKUP($G10,Coords[],3,FALSE)-VLOOKUP(M$5,Coords[],3,FALSE))^2+(VLOOKUP($G10,Coords[],4,FALSE)-VLOOKUP(M$5,Coords[],4,FALSE))^2)))</f>
        <v>1000</v>
      </c>
      <c r="N10" s="10">
        <f>IF($G10=N$5,1000,IF(N$4=0,1000,SQRT((VLOOKUP($G10,Coords[],3,FALSE)-VLOOKUP(N$5,Coords[],3,FALSE))^2+(VLOOKUP($G10,Coords[],4,FALSE)-VLOOKUP(N$5,Coords[],4,FALSE))^2)))</f>
        <v>1000</v>
      </c>
      <c r="O10" s="10">
        <f>IF($G10=O$5,1000,IF(O$4=0,1000,SQRT((VLOOKUP($G10,Coords[],3,FALSE)-VLOOKUP(O$5,Coords[],3,FALSE))^2+(VLOOKUP($G10,Coords[],4,FALSE)-VLOOKUP(O$5,Coords[],4,FALSE))^2)))</f>
        <v>1000</v>
      </c>
      <c r="P10" s="10">
        <f>IF($G10=P$5,1000,IF(P$4=0,1000,SQRT((VLOOKUP($G10,Coords[],3,FALSE)-VLOOKUP(P$5,Coords[],3,FALSE))^2+(VLOOKUP($G10,Coords[],4,FALSE)-VLOOKUP(P$5,Coords[],4,FALSE))^2)))</f>
        <v>1000</v>
      </c>
      <c r="Q10" s="10">
        <f>IF($G10=Q$5,1000,IF(Q$4=0,1000,SQRT((VLOOKUP($G10,Coords[],3,FALSE)-VLOOKUP(Q$5,Coords[],3,FALSE))^2+(VLOOKUP($G10,Coords[],4,FALSE)-VLOOKUP(Q$5,Coords[],4,FALSE))^2)))</f>
        <v>1000</v>
      </c>
      <c r="R10" s="10">
        <f>IF($G10=R$5,1000,IF(R$4=0,1000,SQRT((VLOOKUP($G10,Coords[],3,FALSE)-VLOOKUP(R$5,Coords[],3,FALSE))^2+(VLOOKUP($G10,Coords[],4,FALSE)-VLOOKUP(R$5,Coords[],4,FALSE))^2)))</f>
        <v>1000</v>
      </c>
      <c r="S10" s="10">
        <f>IF($G10=S$5,1000,IF(S$4=0,1000,SQRT((VLOOKUP($G10,Coords[],3,FALSE)-VLOOKUP(S$5,Coords[],3,FALSE))^2+(VLOOKUP($G10,Coords[],4,FALSE)-VLOOKUP(S$5,Coords[],4,FALSE))^2)))</f>
        <v>1000</v>
      </c>
      <c r="T10" s="10">
        <f>IF($G10=T$5,1000,IF(T$4=0,1000,SQRT((VLOOKUP($G10,Coords[],3,FALSE)-VLOOKUP(T$5,Coords[],3,FALSE))^2+(VLOOKUP($G10,Coords[],4,FALSE)-VLOOKUP(T$5,Coords[],4,FALSE))^2)))</f>
        <v>1000</v>
      </c>
      <c r="U10" s="10">
        <f>IF($G10=U$5,1000,IF(U$4=0,1000,SQRT((VLOOKUP($G10,Coords[],3,FALSE)-VLOOKUP(U$5,Coords[],3,FALSE))^2+(VLOOKUP($G10,Coords[],4,FALSE)-VLOOKUP(U$5,Coords[],4,FALSE))^2)))</f>
        <v>1000</v>
      </c>
      <c r="V10" s="10">
        <f>IF($G10=V$5,1000,IF(V$4=0,1000,SQRT((VLOOKUP($G10,Coords[],3,FALSE)-VLOOKUP(V$5,Coords[],3,FALSE))^2+(VLOOKUP($G10,Coords[],4,FALSE)-VLOOKUP(V$5,Coords[],4,FALSE))^2)))</f>
        <v>1000</v>
      </c>
      <c r="W10" s="10">
        <f>IF($G10=W$5,1000,IF(W$4=0,1000,SQRT((VLOOKUP($G10,Coords[],3,FALSE)-VLOOKUP(W$5,Coords[],3,FALSE))^2+(VLOOKUP($G10,Coords[],4,FALSE)-VLOOKUP(W$5,Coords[],4,FALSE))^2)))</f>
        <v>1000</v>
      </c>
      <c r="X10" s="10">
        <f>IF($G10=X$5,1000,IF(X$4=0,1000,SQRT((VLOOKUP($G10,Coords[],3,FALSE)-VLOOKUP(X$5,Coords[],3,FALSE))^2+(VLOOKUP($G10,Coords[],4,FALSE)-VLOOKUP(X$5,Coords[],4,FALSE))^2)))</f>
        <v>1000</v>
      </c>
      <c r="Y10" s="10">
        <f>IF($G10=Y$5,1000,IF(Y$4=0,1000,SQRT((VLOOKUP($G10,Coords[],3,FALSE)-VLOOKUP(Y$5,Coords[],3,FALSE))^2+(VLOOKUP($G10,Coords[],4,FALSE)-VLOOKUP(Y$5,Coords[],4,FALSE))^2)))</f>
        <v>1000</v>
      </c>
      <c r="Z10" s="10">
        <f>IF($G10=Z$5,1000,IF(Z$4=0,1000,SQRT((VLOOKUP($G10,Coords[],3,FALSE)-VLOOKUP(Z$5,Coords[],3,FALSE))^2+(VLOOKUP($G10,Coords[],4,FALSE)-VLOOKUP(Z$5,Coords[],4,FALSE))^2)))</f>
        <v>1000</v>
      </c>
      <c r="AA10" s="10">
        <f>IF($G10=AA$5,1000,IF(AA$4=0,1000,SQRT((VLOOKUP($G10,Coords[],3,FALSE)-VLOOKUP(AA$5,Coords[],3,FALSE))^2+(VLOOKUP($G10,Coords[],4,FALSE)-VLOOKUP(AA$5,Coords[],4,FALSE))^2)))</f>
        <v>1000</v>
      </c>
      <c r="AB10" s="10">
        <f>IF($G10=AB$5,1000,IF(AB$4=0,1000,SQRT((VLOOKUP($G10,Coords[],3,FALSE)-VLOOKUP(AB$5,Coords[],3,FALSE))^2+(VLOOKUP($G10,Coords[],4,FALSE)-VLOOKUP(AB$5,Coords[],4,FALSE))^2)))</f>
        <v>1000</v>
      </c>
      <c r="AC10" s="10">
        <f>IF($G10=AC$5,1000,IF(AC$4=0,1000,SQRT((VLOOKUP($G10,Coords[],3,FALSE)-VLOOKUP(AC$5,Coords[],3,FALSE))^2+(VLOOKUP($G10,Coords[],4,FALSE)-VLOOKUP(AC$5,Coords[],4,FALSE))^2)))</f>
        <v>1000</v>
      </c>
      <c r="AD10" s="10">
        <f>IF($G10=AD$5,1000,IF(AD$4=0,1000,SQRT((VLOOKUP($G10,Coords[],3,FALSE)-VLOOKUP(AD$5,Coords[],3,FALSE))^2+(VLOOKUP($G10,Coords[],4,FALSE)-VLOOKUP(AD$5,Coords[],4,FALSE))^2)))</f>
        <v>1000</v>
      </c>
      <c r="AE10" s="10">
        <f>IF($G10=AE$5,1000,IF(AE$4=0,1000,SQRT((VLOOKUP($G10,Coords[],3,FALSE)-VLOOKUP(AE$5,Coords[],3,FALSE))^2+(VLOOKUP($G10,Coords[],4,FALSE)-VLOOKUP(AE$5,Coords[],4,FALSE))^2)))</f>
        <v>1000</v>
      </c>
      <c r="AF10" s="10">
        <f>IF($G10=AF$5,1000,IF(AF$4=0,1000,SQRT((VLOOKUP($G10,Coords[],3,FALSE)-VLOOKUP(AF$5,Coords[],3,FALSE))^2+(VLOOKUP($G10,Coords[],4,FALSE)-VLOOKUP(AF$5,Coords[],4,FALSE))^2)))</f>
        <v>1000</v>
      </c>
      <c r="AG10" s="10">
        <f>IF($G10=AG$5,1000,IF(AG$4=0,1000,SQRT((VLOOKUP($G10,Coords[],3,FALSE)-VLOOKUP(AG$5,Coords[],3,FALSE))^2+(VLOOKUP($G10,Coords[],4,FALSE)-VLOOKUP(AG$5,Coords[],4,FALSE))^2)))</f>
        <v>1000</v>
      </c>
      <c r="AH10" s="10">
        <f>IF($G10=AH$5,1000,IF(AH$4=0,1000,SQRT((VLOOKUP($G10,Coords[],3,FALSE)-VLOOKUP(AH$5,Coords[],3,FALSE))^2+(VLOOKUP($G10,Coords[],4,FALSE)-VLOOKUP(AH$5,Coords[],4,FALSE))^2)))</f>
        <v>1000</v>
      </c>
      <c r="AI10" s="10">
        <f>IF($G10=AI$5,1000,IF(AI$4=0,1000,SQRT((VLOOKUP($G10,Coords[],3,FALSE)-VLOOKUP(AI$5,Coords[],3,FALSE))^2+(VLOOKUP($G10,Coords[],4,FALSE)-VLOOKUP(AI$5,Coords[],4,FALSE))^2)))</f>
        <v>1000</v>
      </c>
      <c r="AJ10" s="10">
        <f>IF($G10=AJ$5,1000,IF(AJ$4=0,1000,SQRT((VLOOKUP($G10,Coords[],3,FALSE)-VLOOKUP(AJ$5,Coords[],3,FALSE))^2+(VLOOKUP($G10,Coords[],4,FALSE)-VLOOKUP(AJ$5,Coords[],4,FALSE))^2)))</f>
        <v>1000</v>
      </c>
      <c r="AK10" s="10">
        <f>IF($G10=AK$5,1000,IF(AK$4=0,1000,SQRT((VLOOKUP($G10,Coords[],3,FALSE)-VLOOKUP(AK$5,Coords[],3,FALSE))^2+(VLOOKUP($G10,Coords[],4,FALSE)-VLOOKUP(AK$5,Coords[],4,FALSE))^2)))</f>
        <v>1000</v>
      </c>
      <c r="AL10" s="10">
        <f>IF($G10=AL$5,1000,IF(AL$4=0,1000,SQRT((VLOOKUP($G10,Coords[],3,FALSE)-VLOOKUP(AL$5,Coords[],3,FALSE))^2+(VLOOKUP($G10,Coords[],4,FALSE)-VLOOKUP(AL$5,Coords[],4,FALSE))^2)))</f>
        <v>1000</v>
      </c>
      <c r="AM10" s="10">
        <f>IF($G10=AM$5,1000,IF(AM$4=0,1000,SQRT((VLOOKUP($G10,Coords[],3,FALSE)-VLOOKUP(AM$5,Coords[],3,FALSE))^2+(VLOOKUP($G10,Coords[],4,FALSE)-VLOOKUP(AM$5,Coords[],4,FALSE))^2)))</f>
        <v>1000</v>
      </c>
      <c r="AN10" s="10">
        <f>IF($G10=AN$5,1000,IF(AN$4=0,1000,SQRT((VLOOKUP($G10,Coords[],3,FALSE)-VLOOKUP(AN$5,Coords[],3,FALSE))^2+(VLOOKUP($G10,Coords[],4,FALSE)-VLOOKUP(AN$5,Coords[],4,FALSE))^2)))</f>
        <v>1000</v>
      </c>
      <c r="AO10" s="10">
        <f>IF($G10=AO$5,1000,IF(AO$4=0,1000,SQRT((VLOOKUP($G10,Coords[],3,FALSE)-VLOOKUP(AO$5,Coords[],3,FALSE))^2+(VLOOKUP($G10,Coords[],4,FALSE)-VLOOKUP(AO$5,Coords[],4,FALSE))^2)))</f>
        <v>1000</v>
      </c>
      <c r="AP10" s="10">
        <f>IF($G10=AP$5,1000,IF(AP$4=0,1000,SQRT((VLOOKUP($G10,Coords[],3,FALSE)-VLOOKUP(AP$5,Coords[],3,FALSE))^2+(VLOOKUP($G10,Coords[],4,FALSE)-VLOOKUP(AP$5,Coords[],4,FALSE))^2)))</f>
        <v>1000</v>
      </c>
      <c r="AQ10" s="10">
        <f>IF($G10=AQ$5,1000,IF(AQ$4=0,1000,SQRT((VLOOKUP($G10,Coords[],3,FALSE)-VLOOKUP(AQ$5,Coords[],3,FALSE))^2+(VLOOKUP($G10,Coords[],4,FALSE)-VLOOKUP(AQ$5,Coords[],4,FALSE))^2)))</f>
        <v>1000</v>
      </c>
      <c r="AR10" s="10">
        <f>IF($G10=AR$5,1000,IF(AR$4=0,1000,SQRT((VLOOKUP($G10,Coords[],3,FALSE)-VLOOKUP(AR$5,Coords[],3,FALSE))^2+(VLOOKUP($G10,Coords[],4,FALSE)-VLOOKUP(AR$5,Coords[],4,FALSE))^2)))</f>
        <v>1000</v>
      </c>
      <c r="AS10" s="10">
        <f>IF($G10=AS$5,1000,IF(AS$4=0,1000,SQRT((VLOOKUP($G10,Coords[],3,FALSE)-VLOOKUP(AS$5,Coords[],3,FALSE))^2+(VLOOKUP($G10,Coords[],4,FALSE)-VLOOKUP(AS$5,Coords[],4,FALSE))^2)))</f>
        <v>1000</v>
      </c>
      <c r="AT10" s="10">
        <f>IF($G10=AT$5,1000,IF(AT$4=0,1000,SQRT((VLOOKUP($G10,Coords[],3,FALSE)-VLOOKUP(AT$5,Coords[],3,FALSE))^2+(VLOOKUP($G10,Coords[],4,FALSE)-VLOOKUP(AT$5,Coords[],4,FALSE))^2)))</f>
        <v>1000</v>
      </c>
      <c r="AU10" s="10">
        <f>IF($G10=AU$5,1000,IF(AU$4=0,1000,SQRT((VLOOKUP($G10,Coords[],3,FALSE)-VLOOKUP(AU$5,Coords[],3,FALSE))^2+(VLOOKUP($G10,Coords[],4,FALSE)-VLOOKUP(AU$5,Coords[],4,FALSE))^2)))</f>
        <v>1000</v>
      </c>
      <c r="AV10" s="10">
        <f>IF($G10=AV$5,1000,IF(AV$4=0,1000,SQRT((VLOOKUP($G10,Coords[],3,FALSE)-VLOOKUP(AV$5,Coords[],3,FALSE))^2+(VLOOKUP($G10,Coords[],4,FALSE)-VLOOKUP(AV$5,Coords[],4,FALSE))^2)))</f>
        <v>1000</v>
      </c>
      <c r="AW10" s="10">
        <f>IF($G10=AW$5,1000,IF(AW$4=0,1000,SQRT((VLOOKUP($G10,Coords[],3,FALSE)-VLOOKUP(AW$5,Coords[],3,FALSE))^2+(VLOOKUP($G10,Coords[],4,FALSE)-VLOOKUP(AW$5,Coords[],4,FALSE))^2)))</f>
        <v>1000</v>
      </c>
      <c r="AX10" s="10">
        <f>IF($G10=AX$5,1000,IF(AX$4=0,1000,SQRT((VLOOKUP($G10,Coords[],3,FALSE)-VLOOKUP(AX$5,Coords[],3,FALSE))^2+(VLOOKUP($G10,Coords[],4,FALSE)-VLOOKUP(AX$5,Coords[],4,FALSE))^2)))</f>
        <v>1000</v>
      </c>
      <c r="AY10" s="10">
        <f>IF($G10=AY$5,1000,IF(AY$4=0,1000,SQRT((VLOOKUP($G10,Coords[],3,FALSE)-VLOOKUP(AY$5,Coords[],3,FALSE))^2+(VLOOKUP($G10,Coords[],4,FALSE)-VLOOKUP(AY$5,Coords[],4,FALSE))^2)))</f>
        <v>1000</v>
      </c>
      <c r="AZ10" s="10">
        <f>IF($G10=AZ$5,1000,IF(AZ$4=0,1000,SQRT((VLOOKUP($G10,Coords[],3,FALSE)-VLOOKUP(AZ$5,Coords[],3,FALSE))^2+(VLOOKUP($G10,Coords[],4,FALSE)-VLOOKUP(AZ$5,Coords[],4,FALSE))^2)))</f>
        <v>1000</v>
      </c>
      <c r="BA10" s="10">
        <f>IF($G10=BA$5,1000,IF(BA$4=0,1000,SQRT((VLOOKUP($G10,Coords[],3,FALSE)-VLOOKUP(BA$5,Coords[],3,FALSE))^2+(VLOOKUP($G10,Coords[],4,FALSE)-VLOOKUP(BA$5,Coords[],4,FALSE))^2)))</f>
        <v>1000</v>
      </c>
      <c r="BB10" s="10">
        <f>IF($G10=BB$5,1000,IF(BB$4=0,1000,SQRT((VLOOKUP($G10,Coords[],3,FALSE)-VLOOKUP(BB$5,Coords[],3,FALSE))^2+(VLOOKUP($G10,Coords[],4,FALSE)-VLOOKUP(BB$5,Coords[],4,FALSE))^2)))</f>
        <v>1000</v>
      </c>
      <c r="BC10" s="10">
        <f>IF($G10=BC$5,1000,IF(BC$4=0,1000,SQRT((VLOOKUP($G10,Coords[],3,FALSE)-VLOOKUP(BC$5,Coords[],3,FALSE))^2+(VLOOKUP($G10,Coords[],4,FALSE)-VLOOKUP(BC$5,Coords[],4,FALSE))^2)))</f>
        <v>1000</v>
      </c>
      <c r="BD10" s="10">
        <f>IF($G10=BD$5,1000,IF(BD$4=0,1000,SQRT((VLOOKUP($G10,Coords[],3,FALSE)-VLOOKUP(BD$5,Coords[],3,FALSE))^2+(VLOOKUP($G10,Coords[],4,FALSE)-VLOOKUP(BD$5,Coords[],4,FALSE))^2)))</f>
        <v>1000</v>
      </c>
      <c r="BE10" s="10">
        <f>IF($G10=BE$5,1000,IF(BE$4=0,1000,SQRT((VLOOKUP($G10,Coords[],3,FALSE)-VLOOKUP(BE$5,Coords[],3,FALSE))^2+(VLOOKUP($G10,Coords[],4,FALSE)-VLOOKUP(BE$5,Coords[],4,FALSE))^2)))</f>
        <v>1000</v>
      </c>
      <c r="BF10" s="10">
        <f>IF($G10=BF$5,1000,IF(BF$4=0,1000,SQRT((VLOOKUP($G10,Coords[],3,FALSE)-VLOOKUP(BF$5,Coords[],3,FALSE))^2+(VLOOKUP($G10,Coords[],4,FALSE)-VLOOKUP(BF$5,Coords[],4,FALSE))^2)))</f>
        <v>1000</v>
      </c>
      <c r="BG10" s="10">
        <f>IF($G10=BG$5,1000,IF(BG$4=0,1000,SQRT((VLOOKUP($G10,Coords[],3,FALSE)-VLOOKUP(BG$5,Coords[],3,FALSE))^2+(VLOOKUP($G10,Coords[],4,FALSE)-VLOOKUP(BG$5,Coords[],4,FALSE))^2)))</f>
        <v>1000</v>
      </c>
      <c r="BH10" s="10">
        <f>IF($G10=BH$5,1000,IF(BH$4=0,1000,SQRT((VLOOKUP($G10,Coords[],3,FALSE)-VLOOKUP(BH$5,Coords[],3,FALSE))^2+(VLOOKUP($G10,Coords[],4,FALSE)-VLOOKUP(BH$5,Coords[],4,FALSE))^2)))</f>
        <v>1000</v>
      </c>
      <c r="BI10" s="10">
        <f>IF($G10=BI$5,1000,IF(BI$4=0,1000,SQRT((VLOOKUP($G10,Coords[],3,FALSE)-VLOOKUP(BI$5,Coords[],3,FALSE))^2+(VLOOKUP($G10,Coords[],4,FALSE)-VLOOKUP(BI$5,Coords[],4,FALSE))^2)))</f>
        <v>1000</v>
      </c>
      <c r="BJ10" s="10">
        <f>IF($G10=BJ$5,1000,IF(BJ$4=0,1000,SQRT((VLOOKUP($G10,Coords[],3,FALSE)-VLOOKUP(BJ$5,Coords[],3,FALSE))^2+(VLOOKUP($G10,Coords[],4,FALSE)-VLOOKUP(BJ$5,Coords[],4,FALSE))^2)))</f>
        <v>1000</v>
      </c>
      <c r="BK10" s="10">
        <f>IF($G10=BK$5,1000,IF(BK$4=0,1000,SQRT((VLOOKUP($G10,Coords[],3,FALSE)-VLOOKUP(BK$5,Coords[],3,FALSE))^2+(VLOOKUP($G10,Coords[],4,FALSE)-VLOOKUP(BK$5,Coords[],4,FALSE))^2)))</f>
        <v>1000</v>
      </c>
      <c r="BL10" s="10">
        <f>IF($G10=BL$5,1000,IF(BL$4=0,1000,SQRT((VLOOKUP($G10,Coords[],3,FALSE)-VLOOKUP(BL$5,Coords[],3,FALSE))^2+(VLOOKUP($G10,Coords[],4,FALSE)-VLOOKUP(BL$5,Coords[],4,FALSE))^2)))</f>
        <v>1000</v>
      </c>
      <c r="BM10" s="10">
        <f>IF($G10=BM$5,1000,IF(BM$4=0,1000,SQRT((VLOOKUP($G10,Coords[],3,FALSE)-VLOOKUP(BM$5,Coords[],3,FALSE))^2+(VLOOKUP($G10,Coords[],4,FALSE)-VLOOKUP(BM$5,Coords[],4,FALSE))^2)))</f>
        <v>1000</v>
      </c>
      <c r="BN10" s="10">
        <f>IF($G10=BN$5,1000,IF(BN$4=0,1000,SQRT((VLOOKUP($G10,Coords[],3,FALSE)-VLOOKUP(BN$5,Coords[],3,FALSE))^2+(VLOOKUP($G10,Coords[],4,FALSE)-VLOOKUP(BN$5,Coords[],4,FALSE))^2)))</f>
        <v>1000</v>
      </c>
      <c r="BO10" s="10">
        <f>IF($G10=BO$5,1000,IF(BO$4=0,1000,SQRT((VLOOKUP($G10,Coords[],3,FALSE)-VLOOKUP(BO$5,Coords[],3,FALSE))^2+(VLOOKUP($G10,Coords[],4,FALSE)-VLOOKUP(BO$5,Coords[],4,FALSE))^2)))</f>
        <v>1000</v>
      </c>
      <c r="BP10" s="10">
        <f>IF($G10=BP$5,1000,IF(BP$4=0,1000,SQRT((VLOOKUP($G10,Coords[],3,FALSE)-VLOOKUP(BP$5,Coords[],3,FALSE))^2+(VLOOKUP($G10,Coords[],4,FALSE)-VLOOKUP(BP$5,Coords[],4,FALSE))^2)))</f>
        <v>1000</v>
      </c>
      <c r="BQ10" s="10">
        <f>IF($G10=BQ$5,1000,IF(BQ$4=0,1000,SQRT((VLOOKUP($G10,Coords[],3,FALSE)-VLOOKUP(BQ$5,Coords[],3,FALSE))^2+(VLOOKUP($G10,Coords[],4,FALSE)-VLOOKUP(BQ$5,Coords[],4,FALSE))^2)))</f>
        <v>1000</v>
      </c>
      <c r="BR10" s="10">
        <f>IF($G10=BR$5,1000,IF(BR$4=0,1000,SQRT((VLOOKUP($G10,Coords[],3,FALSE)-VLOOKUP(BR$5,Coords[],3,FALSE))^2+(VLOOKUP($G10,Coords[],4,FALSE)-VLOOKUP(BR$5,Coords[],4,FALSE))^2)))</f>
        <v>1000</v>
      </c>
      <c r="BS10" s="10">
        <f>IF($G10=BS$5,1000,IF(BS$4=0,1000,SQRT((VLOOKUP($G10,Coords[],3,FALSE)-VLOOKUP(BS$5,Coords[],3,FALSE))^2+(VLOOKUP($G10,Coords[],4,FALSE)-VLOOKUP(BS$5,Coords[],4,FALSE))^2)))</f>
        <v>1000</v>
      </c>
      <c r="BT10" s="10">
        <f>IF($G10=BT$5,1000,IF(BT$4=0,1000,SQRT((VLOOKUP($G10,Coords[],3,FALSE)-VLOOKUP(BT$5,Coords[],3,FALSE))^2+(VLOOKUP($G10,Coords[],4,FALSE)-VLOOKUP(BT$5,Coords[],4,FALSE))^2)))</f>
        <v>1000</v>
      </c>
      <c r="BU10" s="10">
        <f>IF($G10=BU$5,1000,IF(BU$4=0,1000,SQRT((VLOOKUP($G10,Coords[],3,FALSE)-VLOOKUP(BU$5,Coords[],3,FALSE))^2+(VLOOKUP($G10,Coords[],4,FALSE)-VLOOKUP(BU$5,Coords[],4,FALSE))^2)))</f>
        <v>1000</v>
      </c>
      <c r="BV10" s="10">
        <f>IF($G10=BV$5,1000,IF(BV$4=0,1000,SQRT((VLOOKUP($G10,Coords[],3,FALSE)-VLOOKUP(BV$5,Coords[],3,FALSE))^2+(VLOOKUP($G10,Coords[],4,FALSE)-VLOOKUP(BV$5,Coords[],4,FALSE))^2)))</f>
        <v>1000</v>
      </c>
      <c r="BW10" s="10">
        <f>IF($G10=BW$5,1000,IF(BW$4=0,1000,SQRT((VLOOKUP($G10,Coords[],3,FALSE)-VLOOKUP(BW$5,Coords[],3,FALSE))^2+(VLOOKUP($G10,Coords[],4,FALSE)-VLOOKUP(BW$5,Coords[],4,FALSE))^2)))</f>
        <v>1000</v>
      </c>
      <c r="BX10" s="10">
        <f>IF($G10=BX$5,1000,IF(BX$4=0,1000,SQRT((VLOOKUP($G10,Coords[],3,FALSE)-VLOOKUP(BX$5,Coords[],3,FALSE))^2+(VLOOKUP($G10,Coords[],4,FALSE)-VLOOKUP(BX$5,Coords[],4,FALSE))^2)))</f>
        <v>1000</v>
      </c>
      <c r="BY10" s="10">
        <f>IF($G10=BY$5,1000,IF(BY$4=0,1000,SQRT((VLOOKUP($G10,Coords[],3,FALSE)-VLOOKUP(BY$5,Coords[],3,FALSE))^2+(VLOOKUP($G10,Coords[],4,FALSE)-VLOOKUP(BY$5,Coords[],4,FALSE))^2)))</f>
        <v>1000</v>
      </c>
      <c r="BZ10" s="10">
        <f>IF($G10=BZ$5,1000,IF(BZ$4=0,1000,SQRT((VLOOKUP($G10,Coords[],3,FALSE)-VLOOKUP(BZ$5,Coords[],3,FALSE))^2+(VLOOKUP($G10,Coords[],4,FALSE)-VLOOKUP(BZ$5,Coords[],4,FALSE))^2)))</f>
        <v>1000</v>
      </c>
      <c r="CA10" s="10">
        <f>IF($G10=CA$5,1000,IF(CA$4=0,1000,SQRT((VLOOKUP($G10,Coords[],3,FALSE)-VLOOKUP(CA$5,Coords[],3,FALSE))^2+(VLOOKUP($G10,Coords[],4,FALSE)-VLOOKUP(CA$5,Coords[],4,FALSE))^2)))</f>
        <v>1000</v>
      </c>
      <c r="CB10" s="10">
        <f>IF($G10=CB$5,1000,IF(CB$4=0,1000,SQRT((VLOOKUP($G10,Coords[],3,FALSE)-VLOOKUP(CB$5,Coords[],3,FALSE))^2+(VLOOKUP($G10,Coords[],4,FALSE)-VLOOKUP(CB$5,Coords[],4,FALSE))^2)))</f>
        <v>1000</v>
      </c>
      <c r="CC10" s="10">
        <f>IF($G10=CC$5,1000,IF(CC$4=0,1000,SQRT((VLOOKUP($G10,Coords[],3,FALSE)-VLOOKUP(CC$5,Coords[],3,FALSE))^2+(VLOOKUP($G10,Coords[],4,FALSE)-VLOOKUP(CC$5,Coords[],4,FALSE))^2)))</f>
        <v>1000</v>
      </c>
      <c r="CD10" s="10">
        <f>IF($G10=CD$5,1000,IF(CD$4=0,1000,SQRT((VLOOKUP($G10,Coords[],3,FALSE)-VLOOKUP(CD$5,Coords[],3,FALSE))^2+(VLOOKUP($G10,Coords[],4,FALSE)-VLOOKUP(CD$5,Coords[],4,FALSE))^2)))</f>
        <v>1000</v>
      </c>
      <c r="CE10" s="10">
        <f>IF($G10=CE$5,1000,IF(CE$4=0,1000,SQRT((VLOOKUP($G10,Coords[],3,FALSE)-VLOOKUP(CE$5,Coords[],3,FALSE))^2+(VLOOKUP($G10,Coords[],4,FALSE)-VLOOKUP(CE$5,Coords[],4,FALSE))^2)))</f>
        <v>1000</v>
      </c>
      <c r="CF10" s="4">
        <v>5</v>
      </c>
      <c r="CH10" s="5">
        <f>IF(E10=1,0,VLOOKUP($G10,$G$6:$CE$82,HLOOKUP(MIN(H10:CE10),$H10:$CE$82,((COUNT($G$6:$G$81)+2)-$G10),FALSE)+1,FALSE)*B10)</f>
        <v>0</v>
      </c>
      <c r="CI10" s="9">
        <f>VLOOKUP($G10,$G$6:$CE$82,HLOOKUP(MIN(H10:CE10),$H10:$CE$82,((COUNT($G$6:$G$81)+2)-$G10),FALSE)+1,FALSE)</f>
        <v>1000</v>
      </c>
      <c r="CJ10" s="7">
        <f>HLOOKUP(MIN(H10:CE10),$H10:$CE$82,((COUNT($G$6:$G$81)+2)-$G10),FALSE)</f>
        <v>1</v>
      </c>
      <c r="CK10">
        <f>CI10*Coords[[#This Row],[Demand]]</f>
        <v>0</v>
      </c>
    </row>
    <row r="11" spans="1:89" x14ac:dyDescent="0.25">
      <c r="A11" s="8">
        <v>6</v>
      </c>
      <c r="B11" s="3"/>
      <c r="C11" s="3"/>
      <c r="D11" s="3"/>
      <c r="E11" s="3"/>
      <c r="G11" s="4">
        <v>6</v>
      </c>
      <c r="H11" s="10">
        <f>IF($G11=H$5,1000,IF(H$4=0,1000,SQRT((VLOOKUP($G11,Coords[],3,FALSE)-VLOOKUP(H$5,Coords[],3,FALSE))^2+(VLOOKUP($G11,Coords[],4,FALSE)-VLOOKUP(H$5,Coords[],4,FALSE))^2)))</f>
        <v>1000</v>
      </c>
      <c r="I11" s="10">
        <f>IF($G11=I$5,1000,IF(I$4=0,1000,SQRT((VLOOKUP($G11,Coords[],3,FALSE)-VLOOKUP(I$5,Coords[],3,FALSE))^2+(VLOOKUP($G11,Coords[],4,FALSE)-VLOOKUP(I$5,Coords[],4,FALSE))^2)))</f>
        <v>1000</v>
      </c>
      <c r="J11" s="10">
        <f>IF($G11=J$5,1000,IF(J$4=0,1000,SQRT((VLOOKUP($G11,Coords[],3,FALSE)-VLOOKUP(J$5,Coords[],3,FALSE))^2+(VLOOKUP($G11,Coords[],4,FALSE)-VLOOKUP(J$5,Coords[],4,FALSE))^2)))</f>
        <v>1000</v>
      </c>
      <c r="K11" s="10">
        <f>IF($G11=K$5,1000,IF(K$4=0,1000,SQRT((VLOOKUP($G11,Coords[],3,FALSE)-VLOOKUP(K$5,Coords[],3,FALSE))^2+(VLOOKUP($G11,Coords[],4,FALSE)-VLOOKUP(K$5,Coords[],4,FALSE))^2)))</f>
        <v>1000</v>
      </c>
      <c r="L11" s="10">
        <f>IF($G11=L$5,1000,IF(L$4=0,1000,SQRT((VLOOKUP($G11,Coords[],3,FALSE)-VLOOKUP(L$5,Coords[],3,FALSE))^2+(VLOOKUP($G11,Coords[],4,FALSE)-VLOOKUP(L$5,Coords[],4,FALSE))^2)))</f>
        <v>1000</v>
      </c>
      <c r="M11" s="10">
        <f>IF($G11=M$5,1000,IF(M$4=0,1000,SQRT((VLOOKUP($G11,Coords[],3,FALSE)-VLOOKUP(M$5,Coords[],3,FALSE))^2+(VLOOKUP($G11,Coords[],4,FALSE)-VLOOKUP(M$5,Coords[],4,FALSE))^2)))</f>
        <v>1000</v>
      </c>
      <c r="N11" s="10">
        <f>IF($G11=N$5,1000,IF(N$4=0,1000,SQRT((VLOOKUP($G11,Coords[],3,FALSE)-VLOOKUP(N$5,Coords[],3,FALSE))^2+(VLOOKUP($G11,Coords[],4,FALSE)-VLOOKUP(N$5,Coords[],4,FALSE))^2)))</f>
        <v>1000</v>
      </c>
      <c r="O11" s="10">
        <f>IF($G11=O$5,1000,IF(O$4=0,1000,SQRT((VLOOKUP($G11,Coords[],3,FALSE)-VLOOKUP(O$5,Coords[],3,FALSE))^2+(VLOOKUP($G11,Coords[],4,FALSE)-VLOOKUP(O$5,Coords[],4,FALSE))^2)))</f>
        <v>1000</v>
      </c>
      <c r="P11" s="10">
        <f>IF($G11=P$5,1000,IF(P$4=0,1000,SQRT((VLOOKUP($G11,Coords[],3,FALSE)-VLOOKUP(P$5,Coords[],3,FALSE))^2+(VLOOKUP($G11,Coords[],4,FALSE)-VLOOKUP(P$5,Coords[],4,FALSE))^2)))</f>
        <v>1000</v>
      </c>
      <c r="Q11" s="10">
        <f>IF($G11=Q$5,1000,IF(Q$4=0,1000,SQRT((VLOOKUP($G11,Coords[],3,FALSE)-VLOOKUP(Q$5,Coords[],3,FALSE))^2+(VLOOKUP($G11,Coords[],4,FALSE)-VLOOKUP(Q$5,Coords[],4,FALSE))^2)))</f>
        <v>1000</v>
      </c>
      <c r="R11" s="10">
        <f>IF($G11=R$5,1000,IF(R$4=0,1000,SQRT((VLOOKUP($G11,Coords[],3,FALSE)-VLOOKUP(R$5,Coords[],3,FALSE))^2+(VLOOKUP($G11,Coords[],4,FALSE)-VLOOKUP(R$5,Coords[],4,FALSE))^2)))</f>
        <v>1000</v>
      </c>
      <c r="S11" s="10">
        <f>IF($G11=S$5,1000,IF(S$4=0,1000,SQRT((VLOOKUP($G11,Coords[],3,FALSE)-VLOOKUP(S$5,Coords[],3,FALSE))^2+(VLOOKUP($G11,Coords[],4,FALSE)-VLOOKUP(S$5,Coords[],4,FALSE))^2)))</f>
        <v>1000</v>
      </c>
      <c r="T11" s="10">
        <f>IF($G11=T$5,1000,IF(T$4=0,1000,SQRT((VLOOKUP($G11,Coords[],3,FALSE)-VLOOKUP(T$5,Coords[],3,FALSE))^2+(VLOOKUP($G11,Coords[],4,FALSE)-VLOOKUP(T$5,Coords[],4,FALSE))^2)))</f>
        <v>1000</v>
      </c>
      <c r="U11" s="10">
        <f>IF($G11=U$5,1000,IF(U$4=0,1000,SQRT((VLOOKUP($G11,Coords[],3,FALSE)-VLOOKUP(U$5,Coords[],3,FALSE))^2+(VLOOKUP($G11,Coords[],4,FALSE)-VLOOKUP(U$5,Coords[],4,FALSE))^2)))</f>
        <v>1000</v>
      </c>
      <c r="V11" s="10">
        <f>IF($G11=V$5,1000,IF(V$4=0,1000,SQRT((VLOOKUP($G11,Coords[],3,FALSE)-VLOOKUP(V$5,Coords[],3,FALSE))^2+(VLOOKUP($G11,Coords[],4,FALSE)-VLOOKUP(V$5,Coords[],4,FALSE))^2)))</f>
        <v>1000</v>
      </c>
      <c r="W11" s="10">
        <f>IF($G11=W$5,1000,IF(W$4=0,1000,SQRT((VLOOKUP($G11,Coords[],3,FALSE)-VLOOKUP(W$5,Coords[],3,FALSE))^2+(VLOOKUP($G11,Coords[],4,FALSE)-VLOOKUP(W$5,Coords[],4,FALSE))^2)))</f>
        <v>1000</v>
      </c>
      <c r="X11" s="10">
        <f>IF($G11=X$5,1000,IF(X$4=0,1000,SQRT((VLOOKUP($G11,Coords[],3,FALSE)-VLOOKUP(X$5,Coords[],3,FALSE))^2+(VLOOKUP($G11,Coords[],4,FALSE)-VLOOKUP(X$5,Coords[],4,FALSE))^2)))</f>
        <v>1000</v>
      </c>
      <c r="Y11" s="10">
        <f>IF($G11=Y$5,1000,IF(Y$4=0,1000,SQRT((VLOOKUP($G11,Coords[],3,FALSE)-VLOOKUP(Y$5,Coords[],3,FALSE))^2+(VLOOKUP($G11,Coords[],4,FALSE)-VLOOKUP(Y$5,Coords[],4,FALSE))^2)))</f>
        <v>1000</v>
      </c>
      <c r="Z11" s="10">
        <f>IF($G11=Z$5,1000,IF(Z$4=0,1000,SQRT((VLOOKUP($G11,Coords[],3,FALSE)-VLOOKUP(Z$5,Coords[],3,FALSE))^2+(VLOOKUP($G11,Coords[],4,FALSE)-VLOOKUP(Z$5,Coords[],4,FALSE))^2)))</f>
        <v>1000</v>
      </c>
      <c r="AA11" s="10">
        <f>IF($G11=AA$5,1000,IF(AA$4=0,1000,SQRT((VLOOKUP($G11,Coords[],3,FALSE)-VLOOKUP(AA$5,Coords[],3,FALSE))^2+(VLOOKUP($G11,Coords[],4,FALSE)-VLOOKUP(AA$5,Coords[],4,FALSE))^2)))</f>
        <v>1000</v>
      </c>
      <c r="AB11" s="10">
        <f>IF($G11=AB$5,1000,IF(AB$4=0,1000,SQRT((VLOOKUP($G11,Coords[],3,FALSE)-VLOOKUP(AB$5,Coords[],3,FALSE))^2+(VLOOKUP($G11,Coords[],4,FALSE)-VLOOKUP(AB$5,Coords[],4,FALSE))^2)))</f>
        <v>1000</v>
      </c>
      <c r="AC11" s="10">
        <f>IF($G11=AC$5,1000,IF(AC$4=0,1000,SQRT((VLOOKUP($G11,Coords[],3,FALSE)-VLOOKUP(AC$5,Coords[],3,FALSE))^2+(VLOOKUP($G11,Coords[],4,FALSE)-VLOOKUP(AC$5,Coords[],4,FALSE))^2)))</f>
        <v>1000</v>
      </c>
      <c r="AD11" s="10">
        <f>IF($G11=AD$5,1000,IF(AD$4=0,1000,SQRT((VLOOKUP($G11,Coords[],3,FALSE)-VLOOKUP(AD$5,Coords[],3,FALSE))^2+(VLOOKUP($G11,Coords[],4,FALSE)-VLOOKUP(AD$5,Coords[],4,FALSE))^2)))</f>
        <v>1000</v>
      </c>
      <c r="AE11" s="10">
        <f>IF($G11=AE$5,1000,IF(AE$4=0,1000,SQRT((VLOOKUP($G11,Coords[],3,FALSE)-VLOOKUP(AE$5,Coords[],3,FALSE))^2+(VLOOKUP($G11,Coords[],4,FALSE)-VLOOKUP(AE$5,Coords[],4,FALSE))^2)))</f>
        <v>1000</v>
      </c>
      <c r="AF11" s="10">
        <f>IF($G11=AF$5,1000,IF(AF$4=0,1000,SQRT((VLOOKUP($G11,Coords[],3,FALSE)-VLOOKUP(AF$5,Coords[],3,FALSE))^2+(VLOOKUP($G11,Coords[],4,FALSE)-VLOOKUP(AF$5,Coords[],4,FALSE))^2)))</f>
        <v>1000</v>
      </c>
      <c r="AG11" s="10">
        <f>IF($G11=AG$5,1000,IF(AG$4=0,1000,SQRT((VLOOKUP($G11,Coords[],3,FALSE)-VLOOKUP(AG$5,Coords[],3,FALSE))^2+(VLOOKUP($G11,Coords[],4,FALSE)-VLOOKUP(AG$5,Coords[],4,FALSE))^2)))</f>
        <v>1000</v>
      </c>
      <c r="AH11" s="10">
        <f>IF($G11=AH$5,1000,IF(AH$4=0,1000,SQRT((VLOOKUP($G11,Coords[],3,FALSE)-VLOOKUP(AH$5,Coords[],3,FALSE))^2+(VLOOKUP($G11,Coords[],4,FALSE)-VLOOKUP(AH$5,Coords[],4,FALSE))^2)))</f>
        <v>1000</v>
      </c>
      <c r="AI11" s="10">
        <f>IF($G11=AI$5,1000,IF(AI$4=0,1000,SQRT((VLOOKUP($G11,Coords[],3,FALSE)-VLOOKUP(AI$5,Coords[],3,FALSE))^2+(VLOOKUP($G11,Coords[],4,FALSE)-VLOOKUP(AI$5,Coords[],4,FALSE))^2)))</f>
        <v>1000</v>
      </c>
      <c r="AJ11" s="10">
        <f>IF($G11=AJ$5,1000,IF(AJ$4=0,1000,SQRT((VLOOKUP($G11,Coords[],3,FALSE)-VLOOKUP(AJ$5,Coords[],3,FALSE))^2+(VLOOKUP($G11,Coords[],4,FALSE)-VLOOKUP(AJ$5,Coords[],4,FALSE))^2)))</f>
        <v>1000</v>
      </c>
      <c r="AK11" s="10">
        <f>IF($G11=AK$5,1000,IF(AK$4=0,1000,SQRT((VLOOKUP($G11,Coords[],3,FALSE)-VLOOKUP(AK$5,Coords[],3,FALSE))^2+(VLOOKUP($G11,Coords[],4,FALSE)-VLOOKUP(AK$5,Coords[],4,FALSE))^2)))</f>
        <v>1000</v>
      </c>
      <c r="AL11" s="10">
        <f>IF($G11=AL$5,1000,IF(AL$4=0,1000,SQRT((VLOOKUP($G11,Coords[],3,FALSE)-VLOOKUP(AL$5,Coords[],3,FALSE))^2+(VLOOKUP($G11,Coords[],4,FALSE)-VLOOKUP(AL$5,Coords[],4,FALSE))^2)))</f>
        <v>1000</v>
      </c>
      <c r="AM11" s="10">
        <f>IF($G11=AM$5,1000,IF(AM$4=0,1000,SQRT((VLOOKUP($G11,Coords[],3,FALSE)-VLOOKUP(AM$5,Coords[],3,FALSE))^2+(VLOOKUP($G11,Coords[],4,FALSE)-VLOOKUP(AM$5,Coords[],4,FALSE))^2)))</f>
        <v>1000</v>
      </c>
      <c r="AN11" s="10">
        <f>IF($G11=AN$5,1000,IF(AN$4=0,1000,SQRT((VLOOKUP($G11,Coords[],3,FALSE)-VLOOKUP(AN$5,Coords[],3,FALSE))^2+(VLOOKUP($G11,Coords[],4,FALSE)-VLOOKUP(AN$5,Coords[],4,FALSE))^2)))</f>
        <v>1000</v>
      </c>
      <c r="AO11" s="10">
        <f>IF($G11=AO$5,1000,IF(AO$4=0,1000,SQRT((VLOOKUP($G11,Coords[],3,FALSE)-VLOOKUP(AO$5,Coords[],3,FALSE))^2+(VLOOKUP($G11,Coords[],4,FALSE)-VLOOKUP(AO$5,Coords[],4,FALSE))^2)))</f>
        <v>1000</v>
      </c>
      <c r="AP11" s="10">
        <f>IF($G11=AP$5,1000,IF(AP$4=0,1000,SQRT((VLOOKUP($G11,Coords[],3,FALSE)-VLOOKUP(AP$5,Coords[],3,FALSE))^2+(VLOOKUP($G11,Coords[],4,FALSE)-VLOOKUP(AP$5,Coords[],4,FALSE))^2)))</f>
        <v>1000</v>
      </c>
      <c r="AQ11" s="10">
        <f>IF($G11=AQ$5,1000,IF(AQ$4=0,1000,SQRT((VLOOKUP($G11,Coords[],3,FALSE)-VLOOKUP(AQ$5,Coords[],3,FALSE))^2+(VLOOKUP($G11,Coords[],4,FALSE)-VLOOKUP(AQ$5,Coords[],4,FALSE))^2)))</f>
        <v>1000</v>
      </c>
      <c r="AR11" s="10">
        <f>IF($G11=AR$5,1000,IF(AR$4=0,1000,SQRT((VLOOKUP($G11,Coords[],3,FALSE)-VLOOKUP(AR$5,Coords[],3,FALSE))^2+(VLOOKUP($G11,Coords[],4,FALSE)-VLOOKUP(AR$5,Coords[],4,FALSE))^2)))</f>
        <v>1000</v>
      </c>
      <c r="AS11" s="10">
        <f>IF($G11=AS$5,1000,IF(AS$4=0,1000,SQRT((VLOOKUP($G11,Coords[],3,FALSE)-VLOOKUP(AS$5,Coords[],3,FALSE))^2+(VLOOKUP($G11,Coords[],4,FALSE)-VLOOKUP(AS$5,Coords[],4,FALSE))^2)))</f>
        <v>1000</v>
      </c>
      <c r="AT11" s="10">
        <f>IF($G11=AT$5,1000,IF(AT$4=0,1000,SQRT((VLOOKUP($G11,Coords[],3,FALSE)-VLOOKUP(AT$5,Coords[],3,FALSE))^2+(VLOOKUP($G11,Coords[],4,FALSE)-VLOOKUP(AT$5,Coords[],4,FALSE))^2)))</f>
        <v>1000</v>
      </c>
      <c r="AU11" s="10">
        <f>IF($G11=AU$5,1000,IF(AU$4=0,1000,SQRT((VLOOKUP($G11,Coords[],3,FALSE)-VLOOKUP(AU$5,Coords[],3,FALSE))^2+(VLOOKUP($G11,Coords[],4,FALSE)-VLOOKUP(AU$5,Coords[],4,FALSE))^2)))</f>
        <v>1000</v>
      </c>
      <c r="AV11" s="10">
        <f>IF($G11=AV$5,1000,IF(AV$4=0,1000,SQRT((VLOOKUP($G11,Coords[],3,FALSE)-VLOOKUP(AV$5,Coords[],3,FALSE))^2+(VLOOKUP($G11,Coords[],4,FALSE)-VLOOKUP(AV$5,Coords[],4,FALSE))^2)))</f>
        <v>1000</v>
      </c>
      <c r="AW11" s="10">
        <f>IF($G11=AW$5,1000,IF(AW$4=0,1000,SQRT((VLOOKUP($G11,Coords[],3,FALSE)-VLOOKUP(AW$5,Coords[],3,FALSE))^2+(VLOOKUP($G11,Coords[],4,FALSE)-VLOOKUP(AW$5,Coords[],4,FALSE))^2)))</f>
        <v>1000</v>
      </c>
      <c r="AX11" s="10">
        <f>IF($G11=AX$5,1000,IF(AX$4=0,1000,SQRT((VLOOKUP($G11,Coords[],3,FALSE)-VLOOKUP(AX$5,Coords[],3,FALSE))^2+(VLOOKUP($G11,Coords[],4,FALSE)-VLOOKUP(AX$5,Coords[],4,FALSE))^2)))</f>
        <v>1000</v>
      </c>
      <c r="AY11" s="10">
        <f>IF($G11=AY$5,1000,IF(AY$4=0,1000,SQRT((VLOOKUP($G11,Coords[],3,FALSE)-VLOOKUP(AY$5,Coords[],3,FALSE))^2+(VLOOKUP($G11,Coords[],4,FALSE)-VLOOKUP(AY$5,Coords[],4,FALSE))^2)))</f>
        <v>1000</v>
      </c>
      <c r="AZ11" s="10">
        <f>IF($G11=AZ$5,1000,IF(AZ$4=0,1000,SQRT((VLOOKUP($G11,Coords[],3,FALSE)-VLOOKUP(AZ$5,Coords[],3,FALSE))^2+(VLOOKUP($G11,Coords[],4,FALSE)-VLOOKUP(AZ$5,Coords[],4,FALSE))^2)))</f>
        <v>1000</v>
      </c>
      <c r="BA11" s="10">
        <f>IF($G11=BA$5,1000,IF(BA$4=0,1000,SQRT((VLOOKUP($G11,Coords[],3,FALSE)-VLOOKUP(BA$5,Coords[],3,FALSE))^2+(VLOOKUP($G11,Coords[],4,FALSE)-VLOOKUP(BA$5,Coords[],4,FALSE))^2)))</f>
        <v>1000</v>
      </c>
      <c r="BB11" s="10">
        <f>IF($G11=BB$5,1000,IF(BB$4=0,1000,SQRT((VLOOKUP($G11,Coords[],3,FALSE)-VLOOKUP(BB$5,Coords[],3,FALSE))^2+(VLOOKUP($G11,Coords[],4,FALSE)-VLOOKUP(BB$5,Coords[],4,FALSE))^2)))</f>
        <v>1000</v>
      </c>
      <c r="BC11" s="10">
        <f>IF($G11=BC$5,1000,IF(BC$4=0,1000,SQRT((VLOOKUP($G11,Coords[],3,FALSE)-VLOOKUP(BC$5,Coords[],3,FALSE))^2+(VLOOKUP($G11,Coords[],4,FALSE)-VLOOKUP(BC$5,Coords[],4,FALSE))^2)))</f>
        <v>1000</v>
      </c>
      <c r="BD11" s="10">
        <f>IF($G11=BD$5,1000,IF(BD$4=0,1000,SQRT((VLOOKUP($G11,Coords[],3,FALSE)-VLOOKUP(BD$5,Coords[],3,FALSE))^2+(VLOOKUP($G11,Coords[],4,FALSE)-VLOOKUP(BD$5,Coords[],4,FALSE))^2)))</f>
        <v>1000</v>
      </c>
      <c r="BE11" s="10">
        <f>IF($G11=BE$5,1000,IF(BE$4=0,1000,SQRT((VLOOKUP($G11,Coords[],3,FALSE)-VLOOKUP(BE$5,Coords[],3,FALSE))^2+(VLOOKUP($G11,Coords[],4,FALSE)-VLOOKUP(BE$5,Coords[],4,FALSE))^2)))</f>
        <v>1000</v>
      </c>
      <c r="BF11" s="10">
        <f>IF($G11=BF$5,1000,IF(BF$4=0,1000,SQRT((VLOOKUP($G11,Coords[],3,FALSE)-VLOOKUP(BF$5,Coords[],3,FALSE))^2+(VLOOKUP($G11,Coords[],4,FALSE)-VLOOKUP(BF$5,Coords[],4,FALSE))^2)))</f>
        <v>1000</v>
      </c>
      <c r="BG11" s="10">
        <f>IF($G11=BG$5,1000,IF(BG$4=0,1000,SQRT((VLOOKUP($G11,Coords[],3,FALSE)-VLOOKUP(BG$5,Coords[],3,FALSE))^2+(VLOOKUP($G11,Coords[],4,FALSE)-VLOOKUP(BG$5,Coords[],4,FALSE))^2)))</f>
        <v>1000</v>
      </c>
      <c r="BH11" s="10">
        <f>IF($G11=BH$5,1000,IF(BH$4=0,1000,SQRT((VLOOKUP($G11,Coords[],3,FALSE)-VLOOKUP(BH$5,Coords[],3,FALSE))^2+(VLOOKUP($G11,Coords[],4,FALSE)-VLOOKUP(BH$5,Coords[],4,FALSE))^2)))</f>
        <v>1000</v>
      </c>
      <c r="BI11" s="10">
        <f>IF($G11=BI$5,1000,IF(BI$4=0,1000,SQRT((VLOOKUP($G11,Coords[],3,FALSE)-VLOOKUP(BI$5,Coords[],3,FALSE))^2+(VLOOKUP($G11,Coords[],4,FALSE)-VLOOKUP(BI$5,Coords[],4,FALSE))^2)))</f>
        <v>1000</v>
      </c>
      <c r="BJ11" s="10">
        <f>IF($G11=BJ$5,1000,IF(BJ$4=0,1000,SQRT((VLOOKUP($G11,Coords[],3,FALSE)-VLOOKUP(BJ$5,Coords[],3,FALSE))^2+(VLOOKUP($G11,Coords[],4,FALSE)-VLOOKUP(BJ$5,Coords[],4,FALSE))^2)))</f>
        <v>1000</v>
      </c>
      <c r="BK11" s="10">
        <f>IF($G11=BK$5,1000,IF(BK$4=0,1000,SQRT((VLOOKUP($G11,Coords[],3,FALSE)-VLOOKUP(BK$5,Coords[],3,FALSE))^2+(VLOOKUP($G11,Coords[],4,FALSE)-VLOOKUP(BK$5,Coords[],4,FALSE))^2)))</f>
        <v>1000</v>
      </c>
      <c r="BL11" s="10">
        <f>IF($G11=BL$5,1000,IF(BL$4=0,1000,SQRT((VLOOKUP($G11,Coords[],3,FALSE)-VLOOKUP(BL$5,Coords[],3,FALSE))^2+(VLOOKUP($G11,Coords[],4,FALSE)-VLOOKUP(BL$5,Coords[],4,FALSE))^2)))</f>
        <v>1000</v>
      </c>
      <c r="BM11" s="10">
        <f>IF($G11=BM$5,1000,IF(BM$4=0,1000,SQRT((VLOOKUP($G11,Coords[],3,FALSE)-VLOOKUP(BM$5,Coords[],3,FALSE))^2+(VLOOKUP($G11,Coords[],4,FALSE)-VLOOKUP(BM$5,Coords[],4,FALSE))^2)))</f>
        <v>1000</v>
      </c>
      <c r="BN11" s="10">
        <f>IF($G11=BN$5,1000,IF(BN$4=0,1000,SQRT((VLOOKUP($G11,Coords[],3,FALSE)-VLOOKUP(BN$5,Coords[],3,FALSE))^2+(VLOOKUP($G11,Coords[],4,FALSE)-VLOOKUP(BN$5,Coords[],4,FALSE))^2)))</f>
        <v>1000</v>
      </c>
      <c r="BO11" s="10">
        <f>IF($G11=BO$5,1000,IF(BO$4=0,1000,SQRT((VLOOKUP($G11,Coords[],3,FALSE)-VLOOKUP(BO$5,Coords[],3,FALSE))^2+(VLOOKUP($G11,Coords[],4,FALSE)-VLOOKUP(BO$5,Coords[],4,FALSE))^2)))</f>
        <v>1000</v>
      </c>
      <c r="BP11" s="10">
        <f>IF($G11=BP$5,1000,IF(BP$4=0,1000,SQRT((VLOOKUP($G11,Coords[],3,FALSE)-VLOOKUP(BP$5,Coords[],3,FALSE))^2+(VLOOKUP($G11,Coords[],4,FALSE)-VLOOKUP(BP$5,Coords[],4,FALSE))^2)))</f>
        <v>1000</v>
      </c>
      <c r="BQ11" s="10">
        <f>IF($G11=BQ$5,1000,IF(BQ$4=0,1000,SQRT((VLOOKUP($G11,Coords[],3,FALSE)-VLOOKUP(BQ$5,Coords[],3,FALSE))^2+(VLOOKUP($G11,Coords[],4,FALSE)-VLOOKUP(BQ$5,Coords[],4,FALSE))^2)))</f>
        <v>1000</v>
      </c>
      <c r="BR11" s="10">
        <f>IF($G11=BR$5,1000,IF(BR$4=0,1000,SQRT((VLOOKUP($G11,Coords[],3,FALSE)-VLOOKUP(BR$5,Coords[],3,FALSE))^2+(VLOOKUP($G11,Coords[],4,FALSE)-VLOOKUP(BR$5,Coords[],4,FALSE))^2)))</f>
        <v>1000</v>
      </c>
      <c r="BS11" s="10">
        <f>IF($G11=BS$5,1000,IF(BS$4=0,1000,SQRT((VLOOKUP($G11,Coords[],3,FALSE)-VLOOKUP(BS$5,Coords[],3,FALSE))^2+(VLOOKUP($G11,Coords[],4,FALSE)-VLOOKUP(BS$5,Coords[],4,FALSE))^2)))</f>
        <v>1000</v>
      </c>
      <c r="BT11" s="10">
        <f>IF($G11=BT$5,1000,IF(BT$4=0,1000,SQRT((VLOOKUP($G11,Coords[],3,FALSE)-VLOOKUP(BT$5,Coords[],3,FALSE))^2+(VLOOKUP($G11,Coords[],4,FALSE)-VLOOKUP(BT$5,Coords[],4,FALSE))^2)))</f>
        <v>1000</v>
      </c>
      <c r="BU11" s="10">
        <f>IF($G11=BU$5,1000,IF(BU$4=0,1000,SQRT((VLOOKUP($G11,Coords[],3,FALSE)-VLOOKUP(BU$5,Coords[],3,FALSE))^2+(VLOOKUP($G11,Coords[],4,FALSE)-VLOOKUP(BU$5,Coords[],4,FALSE))^2)))</f>
        <v>1000</v>
      </c>
      <c r="BV11" s="10">
        <f>IF($G11=BV$5,1000,IF(BV$4=0,1000,SQRT((VLOOKUP($G11,Coords[],3,FALSE)-VLOOKUP(BV$5,Coords[],3,FALSE))^2+(VLOOKUP($G11,Coords[],4,FALSE)-VLOOKUP(BV$5,Coords[],4,FALSE))^2)))</f>
        <v>1000</v>
      </c>
      <c r="BW11" s="10">
        <f>IF($G11=BW$5,1000,IF(BW$4=0,1000,SQRT((VLOOKUP($G11,Coords[],3,FALSE)-VLOOKUP(BW$5,Coords[],3,FALSE))^2+(VLOOKUP($G11,Coords[],4,FALSE)-VLOOKUP(BW$5,Coords[],4,FALSE))^2)))</f>
        <v>1000</v>
      </c>
      <c r="BX11" s="10">
        <f>IF($G11=BX$5,1000,IF(BX$4=0,1000,SQRT((VLOOKUP($G11,Coords[],3,FALSE)-VLOOKUP(BX$5,Coords[],3,FALSE))^2+(VLOOKUP($G11,Coords[],4,FALSE)-VLOOKUP(BX$5,Coords[],4,FALSE))^2)))</f>
        <v>1000</v>
      </c>
      <c r="BY11" s="10">
        <f>IF($G11=BY$5,1000,IF(BY$4=0,1000,SQRT((VLOOKUP($G11,Coords[],3,FALSE)-VLOOKUP(BY$5,Coords[],3,FALSE))^2+(VLOOKUP($G11,Coords[],4,FALSE)-VLOOKUP(BY$5,Coords[],4,FALSE))^2)))</f>
        <v>1000</v>
      </c>
      <c r="BZ11" s="10">
        <f>IF($G11=BZ$5,1000,IF(BZ$4=0,1000,SQRT((VLOOKUP($G11,Coords[],3,FALSE)-VLOOKUP(BZ$5,Coords[],3,FALSE))^2+(VLOOKUP($G11,Coords[],4,FALSE)-VLOOKUP(BZ$5,Coords[],4,FALSE))^2)))</f>
        <v>1000</v>
      </c>
      <c r="CA11" s="10">
        <f>IF($G11=CA$5,1000,IF(CA$4=0,1000,SQRT((VLOOKUP($G11,Coords[],3,FALSE)-VLOOKUP(CA$5,Coords[],3,FALSE))^2+(VLOOKUP($G11,Coords[],4,FALSE)-VLOOKUP(CA$5,Coords[],4,FALSE))^2)))</f>
        <v>1000</v>
      </c>
      <c r="CB11" s="10">
        <f>IF($G11=CB$5,1000,IF(CB$4=0,1000,SQRT((VLOOKUP($G11,Coords[],3,FALSE)-VLOOKUP(CB$5,Coords[],3,FALSE))^2+(VLOOKUP($G11,Coords[],4,FALSE)-VLOOKUP(CB$5,Coords[],4,FALSE))^2)))</f>
        <v>1000</v>
      </c>
      <c r="CC11" s="10">
        <f>IF($G11=CC$5,1000,IF(CC$4=0,1000,SQRT((VLOOKUP($G11,Coords[],3,FALSE)-VLOOKUP(CC$5,Coords[],3,FALSE))^2+(VLOOKUP($G11,Coords[],4,FALSE)-VLOOKUP(CC$5,Coords[],4,FALSE))^2)))</f>
        <v>1000</v>
      </c>
      <c r="CD11" s="10">
        <f>IF($G11=CD$5,1000,IF(CD$4=0,1000,SQRT((VLOOKUP($G11,Coords[],3,FALSE)-VLOOKUP(CD$5,Coords[],3,FALSE))^2+(VLOOKUP($G11,Coords[],4,FALSE)-VLOOKUP(CD$5,Coords[],4,FALSE))^2)))</f>
        <v>1000</v>
      </c>
      <c r="CE11" s="10">
        <f>IF($G11=CE$5,1000,IF(CE$4=0,1000,SQRT((VLOOKUP($G11,Coords[],3,FALSE)-VLOOKUP(CE$5,Coords[],3,FALSE))^2+(VLOOKUP($G11,Coords[],4,FALSE)-VLOOKUP(CE$5,Coords[],4,FALSE))^2)))</f>
        <v>1000</v>
      </c>
      <c r="CF11" s="4">
        <v>6</v>
      </c>
      <c r="CH11" s="5">
        <f>IF(E11=1,0,VLOOKUP($G11,$G$6:$CE$82,HLOOKUP(MIN(H11:CE11),$H11:$CE$82,((COUNT($G$6:$G$81)+2)-$G11),FALSE)+1,FALSE)*B11)</f>
        <v>0</v>
      </c>
      <c r="CI11" s="9">
        <f>VLOOKUP($G11,$G$6:$CE$82,HLOOKUP(MIN(H11:CE11),$H11:$CE$82,((COUNT($G$6:$G$81)+2)-$G11),FALSE)+1,FALSE)</f>
        <v>1000</v>
      </c>
      <c r="CJ11" s="7">
        <f>HLOOKUP(MIN(H11:CE11),$H11:$CE$82,((COUNT($G$6:$G$81)+2)-$G11),FALSE)</f>
        <v>1</v>
      </c>
      <c r="CK11">
        <f>CI11*Coords[[#This Row],[Demand]]</f>
        <v>0</v>
      </c>
    </row>
    <row r="12" spans="1:89" x14ac:dyDescent="0.25">
      <c r="A12" s="8">
        <v>7</v>
      </c>
      <c r="B12" s="3"/>
      <c r="C12" s="3"/>
      <c r="D12" s="3"/>
      <c r="E12" s="3"/>
      <c r="G12" s="4">
        <v>7</v>
      </c>
      <c r="H12" s="10">
        <f>IF($G12=H$5,1000,IF(H$4=0,1000,SQRT((VLOOKUP($G12,Coords[],3,FALSE)-VLOOKUP(H$5,Coords[],3,FALSE))^2+(VLOOKUP($G12,Coords[],4,FALSE)-VLOOKUP(H$5,Coords[],4,FALSE))^2)))</f>
        <v>1000</v>
      </c>
      <c r="I12" s="10">
        <f>IF($G12=I$5,1000,IF(I$4=0,1000,SQRT((VLOOKUP($G12,Coords[],3,FALSE)-VLOOKUP(I$5,Coords[],3,FALSE))^2+(VLOOKUP($G12,Coords[],4,FALSE)-VLOOKUP(I$5,Coords[],4,FALSE))^2)))</f>
        <v>1000</v>
      </c>
      <c r="J12" s="10">
        <f>IF($G12=J$5,1000,IF(J$4=0,1000,SQRT((VLOOKUP($G12,Coords[],3,FALSE)-VLOOKUP(J$5,Coords[],3,FALSE))^2+(VLOOKUP($G12,Coords[],4,FALSE)-VLOOKUP(J$5,Coords[],4,FALSE))^2)))</f>
        <v>1000</v>
      </c>
      <c r="K12" s="10">
        <f>IF($G12=K$5,1000,IF(K$4=0,1000,SQRT((VLOOKUP($G12,Coords[],3,FALSE)-VLOOKUP(K$5,Coords[],3,FALSE))^2+(VLOOKUP($G12,Coords[],4,FALSE)-VLOOKUP(K$5,Coords[],4,FALSE))^2)))</f>
        <v>1000</v>
      </c>
      <c r="L12" s="10">
        <f>IF($G12=L$5,1000,IF(L$4=0,1000,SQRT((VLOOKUP($G12,Coords[],3,FALSE)-VLOOKUP(L$5,Coords[],3,FALSE))^2+(VLOOKUP($G12,Coords[],4,FALSE)-VLOOKUP(L$5,Coords[],4,FALSE))^2)))</f>
        <v>1000</v>
      </c>
      <c r="M12" s="10">
        <f>IF($G12=M$5,1000,IF(M$4=0,1000,SQRT((VLOOKUP($G12,Coords[],3,FALSE)-VLOOKUP(M$5,Coords[],3,FALSE))^2+(VLOOKUP($G12,Coords[],4,FALSE)-VLOOKUP(M$5,Coords[],4,FALSE))^2)))</f>
        <v>1000</v>
      </c>
      <c r="N12" s="10">
        <f>IF($G12=N$5,1000,IF(N$4=0,1000,SQRT((VLOOKUP($G12,Coords[],3,FALSE)-VLOOKUP(N$5,Coords[],3,FALSE))^2+(VLOOKUP($G12,Coords[],4,FALSE)-VLOOKUP(N$5,Coords[],4,FALSE))^2)))</f>
        <v>1000</v>
      </c>
      <c r="O12" s="10">
        <f>IF($G12=O$5,1000,IF(O$4=0,1000,SQRT((VLOOKUP($G12,Coords[],3,FALSE)-VLOOKUP(O$5,Coords[],3,FALSE))^2+(VLOOKUP($G12,Coords[],4,FALSE)-VLOOKUP(O$5,Coords[],4,FALSE))^2)))</f>
        <v>1000</v>
      </c>
      <c r="P12" s="10">
        <f>IF($G12=P$5,1000,IF(P$4=0,1000,SQRT((VLOOKUP($G12,Coords[],3,FALSE)-VLOOKUP(P$5,Coords[],3,FALSE))^2+(VLOOKUP($G12,Coords[],4,FALSE)-VLOOKUP(P$5,Coords[],4,FALSE))^2)))</f>
        <v>1000</v>
      </c>
      <c r="Q12" s="10">
        <f>IF($G12=Q$5,1000,IF(Q$4=0,1000,SQRT((VLOOKUP($G12,Coords[],3,FALSE)-VLOOKUP(Q$5,Coords[],3,FALSE))^2+(VLOOKUP($G12,Coords[],4,FALSE)-VLOOKUP(Q$5,Coords[],4,FALSE))^2)))</f>
        <v>1000</v>
      </c>
      <c r="R12" s="10">
        <f>IF($G12=R$5,1000,IF(R$4=0,1000,SQRT((VLOOKUP($G12,Coords[],3,FALSE)-VLOOKUP(R$5,Coords[],3,FALSE))^2+(VLOOKUP($G12,Coords[],4,FALSE)-VLOOKUP(R$5,Coords[],4,FALSE))^2)))</f>
        <v>1000</v>
      </c>
      <c r="S12" s="10">
        <f>IF($G12=S$5,1000,IF(S$4=0,1000,SQRT((VLOOKUP($G12,Coords[],3,FALSE)-VLOOKUP(S$5,Coords[],3,FALSE))^2+(VLOOKUP($G12,Coords[],4,FALSE)-VLOOKUP(S$5,Coords[],4,FALSE))^2)))</f>
        <v>1000</v>
      </c>
      <c r="T12" s="10">
        <f>IF($G12=T$5,1000,IF(T$4=0,1000,SQRT((VLOOKUP($G12,Coords[],3,FALSE)-VLOOKUP(T$5,Coords[],3,FALSE))^2+(VLOOKUP($G12,Coords[],4,FALSE)-VLOOKUP(T$5,Coords[],4,FALSE))^2)))</f>
        <v>1000</v>
      </c>
      <c r="U12" s="10">
        <f>IF($G12=U$5,1000,IF(U$4=0,1000,SQRT((VLOOKUP($G12,Coords[],3,FALSE)-VLOOKUP(U$5,Coords[],3,FALSE))^2+(VLOOKUP($G12,Coords[],4,FALSE)-VLOOKUP(U$5,Coords[],4,FALSE))^2)))</f>
        <v>1000</v>
      </c>
      <c r="V12" s="10">
        <f>IF($G12=V$5,1000,IF(V$4=0,1000,SQRT((VLOOKUP($G12,Coords[],3,FALSE)-VLOOKUP(V$5,Coords[],3,FALSE))^2+(VLOOKUP($G12,Coords[],4,FALSE)-VLOOKUP(V$5,Coords[],4,FALSE))^2)))</f>
        <v>1000</v>
      </c>
      <c r="W12" s="10">
        <f>IF($G12=W$5,1000,IF(W$4=0,1000,SQRT((VLOOKUP($G12,Coords[],3,FALSE)-VLOOKUP(W$5,Coords[],3,FALSE))^2+(VLOOKUP($G12,Coords[],4,FALSE)-VLOOKUP(W$5,Coords[],4,FALSE))^2)))</f>
        <v>1000</v>
      </c>
      <c r="X12" s="10">
        <f>IF($G12=X$5,1000,IF(X$4=0,1000,SQRT((VLOOKUP($G12,Coords[],3,FALSE)-VLOOKUP(X$5,Coords[],3,FALSE))^2+(VLOOKUP($G12,Coords[],4,FALSE)-VLOOKUP(X$5,Coords[],4,FALSE))^2)))</f>
        <v>1000</v>
      </c>
      <c r="Y12" s="10">
        <f>IF($G12=Y$5,1000,IF(Y$4=0,1000,SQRT((VLOOKUP($G12,Coords[],3,FALSE)-VLOOKUP(Y$5,Coords[],3,FALSE))^2+(VLOOKUP($G12,Coords[],4,FALSE)-VLOOKUP(Y$5,Coords[],4,FALSE))^2)))</f>
        <v>1000</v>
      </c>
      <c r="Z12" s="10">
        <f>IF($G12=Z$5,1000,IF(Z$4=0,1000,SQRT((VLOOKUP($G12,Coords[],3,FALSE)-VLOOKUP(Z$5,Coords[],3,FALSE))^2+(VLOOKUP($G12,Coords[],4,FALSE)-VLOOKUP(Z$5,Coords[],4,FALSE))^2)))</f>
        <v>1000</v>
      </c>
      <c r="AA12" s="10">
        <f>IF($G12=AA$5,1000,IF(AA$4=0,1000,SQRT((VLOOKUP($G12,Coords[],3,FALSE)-VLOOKUP(AA$5,Coords[],3,FALSE))^2+(VLOOKUP($G12,Coords[],4,FALSE)-VLOOKUP(AA$5,Coords[],4,FALSE))^2)))</f>
        <v>1000</v>
      </c>
      <c r="AB12" s="10">
        <f>IF($G12=AB$5,1000,IF(AB$4=0,1000,SQRT((VLOOKUP($G12,Coords[],3,FALSE)-VLOOKUP(AB$5,Coords[],3,FALSE))^2+(VLOOKUP($G12,Coords[],4,FALSE)-VLOOKUP(AB$5,Coords[],4,FALSE))^2)))</f>
        <v>1000</v>
      </c>
      <c r="AC12" s="10">
        <f>IF($G12=AC$5,1000,IF(AC$4=0,1000,SQRT((VLOOKUP($G12,Coords[],3,FALSE)-VLOOKUP(AC$5,Coords[],3,FALSE))^2+(VLOOKUP($G12,Coords[],4,FALSE)-VLOOKUP(AC$5,Coords[],4,FALSE))^2)))</f>
        <v>1000</v>
      </c>
      <c r="AD12" s="10">
        <f>IF($G12=AD$5,1000,IF(AD$4=0,1000,SQRT((VLOOKUP($G12,Coords[],3,FALSE)-VLOOKUP(AD$5,Coords[],3,FALSE))^2+(VLOOKUP($G12,Coords[],4,FALSE)-VLOOKUP(AD$5,Coords[],4,FALSE))^2)))</f>
        <v>1000</v>
      </c>
      <c r="AE12" s="10">
        <f>IF($G12=AE$5,1000,IF(AE$4=0,1000,SQRT((VLOOKUP($G12,Coords[],3,FALSE)-VLOOKUP(AE$5,Coords[],3,FALSE))^2+(VLOOKUP($G12,Coords[],4,FALSE)-VLOOKUP(AE$5,Coords[],4,FALSE))^2)))</f>
        <v>1000</v>
      </c>
      <c r="AF12" s="10">
        <f>IF($G12=AF$5,1000,IF(AF$4=0,1000,SQRT((VLOOKUP($G12,Coords[],3,FALSE)-VLOOKUP(AF$5,Coords[],3,FALSE))^2+(VLOOKUP($G12,Coords[],4,FALSE)-VLOOKUP(AF$5,Coords[],4,FALSE))^2)))</f>
        <v>1000</v>
      </c>
      <c r="AG12" s="10">
        <f>IF($G12=AG$5,1000,IF(AG$4=0,1000,SQRT((VLOOKUP($G12,Coords[],3,FALSE)-VLOOKUP(AG$5,Coords[],3,FALSE))^2+(VLOOKUP($G12,Coords[],4,FALSE)-VLOOKUP(AG$5,Coords[],4,FALSE))^2)))</f>
        <v>1000</v>
      </c>
      <c r="AH12" s="10">
        <f>IF($G12=AH$5,1000,IF(AH$4=0,1000,SQRT((VLOOKUP($G12,Coords[],3,FALSE)-VLOOKUP(AH$5,Coords[],3,FALSE))^2+(VLOOKUP($G12,Coords[],4,FALSE)-VLOOKUP(AH$5,Coords[],4,FALSE))^2)))</f>
        <v>1000</v>
      </c>
      <c r="AI12" s="10">
        <f>IF($G12=AI$5,1000,IF(AI$4=0,1000,SQRT((VLOOKUP($G12,Coords[],3,FALSE)-VLOOKUP(AI$5,Coords[],3,FALSE))^2+(VLOOKUP($G12,Coords[],4,FALSE)-VLOOKUP(AI$5,Coords[],4,FALSE))^2)))</f>
        <v>1000</v>
      </c>
      <c r="AJ12" s="10">
        <f>IF($G12=AJ$5,1000,IF(AJ$4=0,1000,SQRT((VLOOKUP($G12,Coords[],3,FALSE)-VLOOKUP(AJ$5,Coords[],3,FALSE))^2+(VLOOKUP($G12,Coords[],4,FALSE)-VLOOKUP(AJ$5,Coords[],4,FALSE))^2)))</f>
        <v>1000</v>
      </c>
      <c r="AK12" s="10">
        <f>IF($G12=AK$5,1000,IF(AK$4=0,1000,SQRT((VLOOKUP($G12,Coords[],3,FALSE)-VLOOKUP(AK$5,Coords[],3,FALSE))^2+(VLOOKUP($G12,Coords[],4,FALSE)-VLOOKUP(AK$5,Coords[],4,FALSE))^2)))</f>
        <v>1000</v>
      </c>
      <c r="AL12" s="10">
        <f>IF($G12=AL$5,1000,IF(AL$4=0,1000,SQRT((VLOOKUP($G12,Coords[],3,FALSE)-VLOOKUP(AL$5,Coords[],3,FALSE))^2+(VLOOKUP($G12,Coords[],4,FALSE)-VLOOKUP(AL$5,Coords[],4,FALSE))^2)))</f>
        <v>1000</v>
      </c>
      <c r="AM12" s="10">
        <f>IF($G12=AM$5,1000,IF(AM$4=0,1000,SQRT((VLOOKUP($G12,Coords[],3,FALSE)-VLOOKUP(AM$5,Coords[],3,FALSE))^2+(VLOOKUP($G12,Coords[],4,FALSE)-VLOOKUP(AM$5,Coords[],4,FALSE))^2)))</f>
        <v>1000</v>
      </c>
      <c r="AN12" s="10">
        <f>IF($G12=AN$5,1000,IF(AN$4=0,1000,SQRT((VLOOKUP($G12,Coords[],3,FALSE)-VLOOKUP(AN$5,Coords[],3,FALSE))^2+(VLOOKUP($G12,Coords[],4,FALSE)-VLOOKUP(AN$5,Coords[],4,FALSE))^2)))</f>
        <v>1000</v>
      </c>
      <c r="AO12" s="10">
        <f>IF($G12=AO$5,1000,IF(AO$4=0,1000,SQRT((VLOOKUP($G12,Coords[],3,FALSE)-VLOOKUP(AO$5,Coords[],3,FALSE))^2+(VLOOKUP($G12,Coords[],4,FALSE)-VLOOKUP(AO$5,Coords[],4,FALSE))^2)))</f>
        <v>1000</v>
      </c>
      <c r="AP12" s="10">
        <f>IF($G12=AP$5,1000,IF(AP$4=0,1000,SQRT((VLOOKUP($G12,Coords[],3,FALSE)-VLOOKUP(AP$5,Coords[],3,FALSE))^2+(VLOOKUP($G12,Coords[],4,FALSE)-VLOOKUP(AP$5,Coords[],4,FALSE))^2)))</f>
        <v>1000</v>
      </c>
      <c r="AQ12" s="10">
        <f>IF($G12=AQ$5,1000,IF(AQ$4=0,1000,SQRT((VLOOKUP($G12,Coords[],3,FALSE)-VLOOKUP(AQ$5,Coords[],3,FALSE))^2+(VLOOKUP($G12,Coords[],4,FALSE)-VLOOKUP(AQ$5,Coords[],4,FALSE))^2)))</f>
        <v>1000</v>
      </c>
      <c r="AR12" s="10">
        <f>IF($G12=AR$5,1000,IF(AR$4=0,1000,SQRT((VLOOKUP($G12,Coords[],3,FALSE)-VLOOKUP(AR$5,Coords[],3,FALSE))^2+(VLOOKUP($G12,Coords[],4,FALSE)-VLOOKUP(AR$5,Coords[],4,FALSE))^2)))</f>
        <v>1000</v>
      </c>
      <c r="AS12" s="10">
        <f>IF($G12=AS$5,1000,IF(AS$4=0,1000,SQRT((VLOOKUP($G12,Coords[],3,FALSE)-VLOOKUP(AS$5,Coords[],3,FALSE))^2+(VLOOKUP($G12,Coords[],4,FALSE)-VLOOKUP(AS$5,Coords[],4,FALSE))^2)))</f>
        <v>1000</v>
      </c>
      <c r="AT12" s="10">
        <f>IF($G12=AT$5,1000,IF(AT$4=0,1000,SQRT((VLOOKUP($G12,Coords[],3,FALSE)-VLOOKUP(AT$5,Coords[],3,FALSE))^2+(VLOOKUP($G12,Coords[],4,FALSE)-VLOOKUP(AT$5,Coords[],4,FALSE))^2)))</f>
        <v>1000</v>
      </c>
      <c r="AU12" s="10">
        <f>IF($G12=AU$5,1000,IF(AU$4=0,1000,SQRT((VLOOKUP($G12,Coords[],3,FALSE)-VLOOKUP(AU$5,Coords[],3,FALSE))^2+(VLOOKUP($G12,Coords[],4,FALSE)-VLOOKUP(AU$5,Coords[],4,FALSE))^2)))</f>
        <v>1000</v>
      </c>
      <c r="AV12" s="10">
        <f>IF($G12=AV$5,1000,IF(AV$4=0,1000,SQRT((VLOOKUP($G12,Coords[],3,FALSE)-VLOOKUP(AV$5,Coords[],3,FALSE))^2+(VLOOKUP($G12,Coords[],4,FALSE)-VLOOKUP(AV$5,Coords[],4,FALSE))^2)))</f>
        <v>1000</v>
      </c>
      <c r="AW12" s="10">
        <f>IF($G12=AW$5,1000,IF(AW$4=0,1000,SQRT((VLOOKUP($G12,Coords[],3,FALSE)-VLOOKUP(AW$5,Coords[],3,FALSE))^2+(VLOOKUP($G12,Coords[],4,FALSE)-VLOOKUP(AW$5,Coords[],4,FALSE))^2)))</f>
        <v>1000</v>
      </c>
      <c r="AX12" s="10">
        <f>IF($G12=AX$5,1000,IF(AX$4=0,1000,SQRT((VLOOKUP($G12,Coords[],3,FALSE)-VLOOKUP(AX$5,Coords[],3,FALSE))^2+(VLOOKUP($G12,Coords[],4,FALSE)-VLOOKUP(AX$5,Coords[],4,FALSE))^2)))</f>
        <v>1000</v>
      </c>
      <c r="AY12" s="10">
        <f>IF($G12=AY$5,1000,IF(AY$4=0,1000,SQRT((VLOOKUP($G12,Coords[],3,FALSE)-VLOOKUP(AY$5,Coords[],3,FALSE))^2+(VLOOKUP($G12,Coords[],4,FALSE)-VLOOKUP(AY$5,Coords[],4,FALSE))^2)))</f>
        <v>1000</v>
      </c>
      <c r="AZ12" s="10">
        <f>IF($G12=AZ$5,1000,IF(AZ$4=0,1000,SQRT((VLOOKUP($G12,Coords[],3,FALSE)-VLOOKUP(AZ$5,Coords[],3,FALSE))^2+(VLOOKUP($G12,Coords[],4,FALSE)-VLOOKUP(AZ$5,Coords[],4,FALSE))^2)))</f>
        <v>1000</v>
      </c>
      <c r="BA12" s="10">
        <f>IF($G12=BA$5,1000,IF(BA$4=0,1000,SQRT((VLOOKUP($G12,Coords[],3,FALSE)-VLOOKUP(BA$5,Coords[],3,FALSE))^2+(VLOOKUP($G12,Coords[],4,FALSE)-VLOOKUP(BA$5,Coords[],4,FALSE))^2)))</f>
        <v>1000</v>
      </c>
      <c r="BB12" s="10">
        <f>IF($G12=BB$5,1000,IF(BB$4=0,1000,SQRT((VLOOKUP($G12,Coords[],3,FALSE)-VLOOKUP(BB$5,Coords[],3,FALSE))^2+(VLOOKUP($G12,Coords[],4,FALSE)-VLOOKUP(BB$5,Coords[],4,FALSE))^2)))</f>
        <v>1000</v>
      </c>
      <c r="BC12" s="10">
        <f>IF($G12=BC$5,1000,IF(BC$4=0,1000,SQRT((VLOOKUP($G12,Coords[],3,FALSE)-VLOOKUP(BC$5,Coords[],3,FALSE))^2+(VLOOKUP($G12,Coords[],4,FALSE)-VLOOKUP(BC$5,Coords[],4,FALSE))^2)))</f>
        <v>1000</v>
      </c>
      <c r="BD12" s="10">
        <f>IF($G12=BD$5,1000,IF(BD$4=0,1000,SQRT((VLOOKUP($G12,Coords[],3,FALSE)-VLOOKUP(BD$5,Coords[],3,FALSE))^2+(VLOOKUP($G12,Coords[],4,FALSE)-VLOOKUP(BD$5,Coords[],4,FALSE))^2)))</f>
        <v>1000</v>
      </c>
      <c r="BE12" s="10">
        <f>IF($G12=BE$5,1000,IF(BE$4=0,1000,SQRT((VLOOKUP($G12,Coords[],3,FALSE)-VLOOKUP(BE$5,Coords[],3,FALSE))^2+(VLOOKUP($G12,Coords[],4,FALSE)-VLOOKUP(BE$5,Coords[],4,FALSE))^2)))</f>
        <v>1000</v>
      </c>
      <c r="BF12" s="10">
        <f>IF($G12=BF$5,1000,IF(BF$4=0,1000,SQRT((VLOOKUP($G12,Coords[],3,FALSE)-VLOOKUP(BF$5,Coords[],3,FALSE))^2+(VLOOKUP($G12,Coords[],4,FALSE)-VLOOKUP(BF$5,Coords[],4,FALSE))^2)))</f>
        <v>1000</v>
      </c>
      <c r="BG12" s="10">
        <f>IF($G12=BG$5,1000,IF(BG$4=0,1000,SQRT((VLOOKUP($G12,Coords[],3,FALSE)-VLOOKUP(BG$5,Coords[],3,FALSE))^2+(VLOOKUP($G12,Coords[],4,FALSE)-VLOOKUP(BG$5,Coords[],4,FALSE))^2)))</f>
        <v>1000</v>
      </c>
      <c r="BH12" s="10">
        <f>IF($G12=BH$5,1000,IF(BH$4=0,1000,SQRT((VLOOKUP($G12,Coords[],3,FALSE)-VLOOKUP(BH$5,Coords[],3,FALSE))^2+(VLOOKUP($G12,Coords[],4,FALSE)-VLOOKUP(BH$5,Coords[],4,FALSE))^2)))</f>
        <v>1000</v>
      </c>
      <c r="BI12" s="10">
        <f>IF($G12=BI$5,1000,IF(BI$4=0,1000,SQRT((VLOOKUP($G12,Coords[],3,FALSE)-VLOOKUP(BI$5,Coords[],3,FALSE))^2+(VLOOKUP($G12,Coords[],4,FALSE)-VLOOKUP(BI$5,Coords[],4,FALSE))^2)))</f>
        <v>1000</v>
      </c>
      <c r="BJ12" s="10">
        <f>IF($G12=BJ$5,1000,IF(BJ$4=0,1000,SQRT((VLOOKUP($G12,Coords[],3,FALSE)-VLOOKUP(BJ$5,Coords[],3,FALSE))^2+(VLOOKUP($G12,Coords[],4,FALSE)-VLOOKUP(BJ$5,Coords[],4,FALSE))^2)))</f>
        <v>1000</v>
      </c>
      <c r="BK12" s="10">
        <f>IF($G12=BK$5,1000,IF(BK$4=0,1000,SQRT((VLOOKUP($G12,Coords[],3,FALSE)-VLOOKUP(BK$5,Coords[],3,FALSE))^2+(VLOOKUP($G12,Coords[],4,FALSE)-VLOOKUP(BK$5,Coords[],4,FALSE))^2)))</f>
        <v>1000</v>
      </c>
      <c r="BL12" s="10">
        <f>IF($G12=BL$5,1000,IF(BL$4=0,1000,SQRT((VLOOKUP($G12,Coords[],3,FALSE)-VLOOKUP(BL$5,Coords[],3,FALSE))^2+(VLOOKUP($G12,Coords[],4,FALSE)-VLOOKUP(BL$5,Coords[],4,FALSE))^2)))</f>
        <v>1000</v>
      </c>
      <c r="BM12" s="10">
        <f>IF($G12=BM$5,1000,IF(BM$4=0,1000,SQRT((VLOOKUP($G12,Coords[],3,FALSE)-VLOOKUP(BM$5,Coords[],3,FALSE))^2+(VLOOKUP($G12,Coords[],4,FALSE)-VLOOKUP(BM$5,Coords[],4,FALSE))^2)))</f>
        <v>1000</v>
      </c>
      <c r="BN12" s="10">
        <f>IF($G12=BN$5,1000,IF(BN$4=0,1000,SQRT((VLOOKUP($G12,Coords[],3,FALSE)-VLOOKUP(BN$5,Coords[],3,FALSE))^2+(VLOOKUP($G12,Coords[],4,FALSE)-VLOOKUP(BN$5,Coords[],4,FALSE))^2)))</f>
        <v>1000</v>
      </c>
      <c r="BO12" s="10">
        <f>IF($G12=BO$5,1000,IF(BO$4=0,1000,SQRT((VLOOKUP($G12,Coords[],3,FALSE)-VLOOKUP(BO$5,Coords[],3,FALSE))^2+(VLOOKUP($G12,Coords[],4,FALSE)-VLOOKUP(BO$5,Coords[],4,FALSE))^2)))</f>
        <v>1000</v>
      </c>
      <c r="BP12" s="10">
        <f>IF($G12=BP$5,1000,IF(BP$4=0,1000,SQRT((VLOOKUP($G12,Coords[],3,FALSE)-VLOOKUP(BP$5,Coords[],3,FALSE))^2+(VLOOKUP($G12,Coords[],4,FALSE)-VLOOKUP(BP$5,Coords[],4,FALSE))^2)))</f>
        <v>1000</v>
      </c>
      <c r="BQ12" s="10">
        <f>IF($G12=BQ$5,1000,IF(BQ$4=0,1000,SQRT((VLOOKUP($G12,Coords[],3,FALSE)-VLOOKUP(BQ$5,Coords[],3,FALSE))^2+(VLOOKUP($G12,Coords[],4,FALSE)-VLOOKUP(BQ$5,Coords[],4,FALSE))^2)))</f>
        <v>1000</v>
      </c>
      <c r="BR12" s="10">
        <f>IF($G12=BR$5,1000,IF(BR$4=0,1000,SQRT((VLOOKUP($G12,Coords[],3,FALSE)-VLOOKUP(BR$5,Coords[],3,FALSE))^2+(VLOOKUP($G12,Coords[],4,FALSE)-VLOOKUP(BR$5,Coords[],4,FALSE))^2)))</f>
        <v>1000</v>
      </c>
      <c r="BS12" s="10">
        <f>IF($G12=BS$5,1000,IF(BS$4=0,1000,SQRT((VLOOKUP($G12,Coords[],3,FALSE)-VLOOKUP(BS$5,Coords[],3,FALSE))^2+(VLOOKUP($G12,Coords[],4,FALSE)-VLOOKUP(BS$5,Coords[],4,FALSE))^2)))</f>
        <v>1000</v>
      </c>
      <c r="BT12" s="10">
        <f>IF($G12=BT$5,1000,IF(BT$4=0,1000,SQRT((VLOOKUP($G12,Coords[],3,FALSE)-VLOOKUP(BT$5,Coords[],3,FALSE))^2+(VLOOKUP($G12,Coords[],4,FALSE)-VLOOKUP(BT$5,Coords[],4,FALSE))^2)))</f>
        <v>1000</v>
      </c>
      <c r="BU12" s="10">
        <f>IF($G12=BU$5,1000,IF(BU$4=0,1000,SQRT((VLOOKUP($G12,Coords[],3,FALSE)-VLOOKUP(BU$5,Coords[],3,FALSE))^2+(VLOOKUP($G12,Coords[],4,FALSE)-VLOOKUP(BU$5,Coords[],4,FALSE))^2)))</f>
        <v>1000</v>
      </c>
      <c r="BV12" s="10">
        <f>IF($G12=BV$5,1000,IF(BV$4=0,1000,SQRT((VLOOKUP($G12,Coords[],3,FALSE)-VLOOKUP(BV$5,Coords[],3,FALSE))^2+(VLOOKUP($G12,Coords[],4,FALSE)-VLOOKUP(BV$5,Coords[],4,FALSE))^2)))</f>
        <v>1000</v>
      </c>
      <c r="BW12" s="10">
        <f>IF($G12=BW$5,1000,IF(BW$4=0,1000,SQRT((VLOOKUP($G12,Coords[],3,FALSE)-VLOOKUP(BW$5,Coords[],3,FALSE))^2+(VLOOKUP($G12,Coords[],4,FALSE)-VLOOKUP(BW$5,Coords[],4,FALSE))^2)))</f>
        <v>1000</v>
      </c>
      <c r="BX12" s="10">
        <f>IF($G12=BX$5,1000,IF(BX$4=0,1000,SQRT((VLOOKUP($G12,Coords[],3,FALSE)-VLOOKUP(BX$5,Coords[],3,FALSE))^2+(VLOOKUP($G12,Coords[],4,FALSE)-VLOOKUP(BX$5,Coords[],4,FALSE))^2)))</f>
        <v>1000</v>
      </c>
      <c r="BY12" s="10">
        <f>IF($G12=BY$5,1000,IF(BY$4=0,1000,SQRT((VLOOKUP($G12,Coords[],3,FALSE)-VLOOKUP(BY$5,Coords[],3,FALSE))^2+(VLOOKUP($G12,Coords[],4,FALSE)-VLOOKUP(BY$5,Coords[],4,FALSE))^2)))</f>
        <v>1000</v>
      </c>
      <c r="BZ12" s="10">
        <f>IF($G12=BZ$5,1000,IF(BZ$4=0,1000,SQRT((VLOOKUP($G12,Coords[],3,FALSE)-VLOOKUP(BZ$5,Coords[],3,FALSE))^2+(VLOOKUP($G12,Coords[],4,FALSE)-VLOOKUP(BZ$5,Coords[],4,FALSE))^2)))</f>
        <v>1000</v>
      </c>
      <c r="CA12" s="10">
        <f>IF($G12=CA$5,1000,IF(CA$4=0,1000,SQRT((VLOOKUP($G12,Coords[],3,FALSE)-VLOOKUP(CA$5,Coords[],3,FALSE))^2+(VLOOKUP($G12,Coords[],4,FALSE)-VLOOKUP(CA$5,Coords[],4,FALSE))^2)))</f>
        <v>1000</v>
      </c>
      <c r="CB12" s="10">
        <f>IF($G12=CB$5,1000,IF(CB$4=0,1000,SQRT((VLOOKUP($G12,Coords[],3,FALSE)-VLOOKUP(CB$5,Coords[],3,FALSE))^2+(VLOOKUP($G12,Coords[],4,FALSE)-VLOOKUP(CB$5,Coords[],4,FALSE))^2)))</f>
        <v>1000</v>
      </c>
      <c r="CC12" s="10">
        <f>IF($G12=CC$5,1000,IF(CC$4=0,1000,SQRT((VLOOKUP($G12,Coords[],3,FALSE)-VLOOKUP(CC$5,Coords[],3,FALSE))^2+(VLOOKUP($G12,Coords[],4,FALSE)-VLOOKUP(CC$5,Coords[],4,FALSE))^2)))</f>
        <v>1000</v>
      </c>
      <c r="CD12" s="10">
        <f>IF($G12=CD$5,1000,IF(CD$4=0,1000,SQRT((VLOOKUP($G12,Coords[],3,FALSE)-VLOOKUP(CD$5,Coords[],3,FALSE))^2+(VLOOKUP($G12,Coords[],4,FALSE)-VLOOKUP(CD$5,Coords[],4,FALSE))^2)))</f>
        <v>1000</v>
      </c>
      <c r="CE12" s="10">
        <f>IF($G12=CE$5,1000,IF(CE$4=0,1000,SQRT((VLOOKUP($G12,Coords[],3,FALSE)-VLOOKUP(CE$5,Coords[],3,FALSE))^2+(VLOOKUP($G12,Coords[],4,FALSE)-VLOOKUP(CE$5,Coords[],4,FALSE))^2)))</f>
        <v>1000</v>
      </c>
      <c r="CF12" s="4">
        <v>7</v>
      </c>
      <c r="CH12" s="5">
        <f>IF(E12=1,0,VLOOKUP($G12,$G$6:$CE$82,HLOOKUP(MIN(H12:CE12),$H12:$CE$82,((COUNT($G$6:$G$81)+2)-$G12),FALSE)+1,FALSE)*B12)</f>
        <v>0</v>
      </c>
      <c r="CI12" s="9">
        <f>VLOOKUP($G12,$G$6:$CE$82,HLOOKUP(MIN(H12:CE12),$H12:$CE$82,((COUNT($G$6:$G$81)+2)-$G12),FALSE)+1,FALSE)</f>
        <v>1000</v>
      </c>
      <c r="CJ12" s="7">
        <f>HLOOKUP(MIN(H12:CE12),$H12:$CE$82,((COUNT($G$6:$G$81)+2)-$G12),FALSE)</f>
        <v>1</v>
      </c>
      <c r="CK12">
        <f>CI12*Coords[[#This Row],[Demand]]</f>
        <v>0</v>
      </c>
    </row>
    <row r="13" spans="1:89" x14ac:dyDescent="0.25">
      <c r="A13" s="8">
        <v>8</v>
      </c>
      <c r="B13" s="3"/>
      <c r="C13" s="3"/>
      <c r="D13" s="3"/>
      <c r="E13" s="3"/>
      <c r="G13" s="4">
        <v>8</v>
      </c>
      <c r="H13" s="10">
        <f>IF($G13=H$5,1000,IF(H$4=0,1000,SQRT((VLOOKUP($G13,Coords[],3,FALSE)-VLOOKUP(H$5,Coords[],3,FALSE))^2+(VLOOKUP($G13,Coords[],4,FALSE)-VLOOKUP(H$5,Coords[],4,FALSE))^2)))</f>
        <v>1000</v>
      </c>
      <c r="I13" s="10">
        <f>IF($G13=I$5,1000,IF(I$4=0,1000,SQRT((VLOOKUP($G13,Coords[],3,FALSE)-VLOOKUP(I$5,Coords[],3,FALSE))^2+(VLOOKUP($G13,Coords[],4,FALSE)-VLOOKUP(I$5,Coords[],4,FALSE))^2)))</f>
        <v>1000</v>
      </c>
      <c r="J13" s="10">
        <f>IF($G13=J$5,1000,IF(J$4=0,1000,SQRT((VLOOKUP($G13,Coords[],3,FALSE)-VLOOKUP(J$5,Coords[],3,FALSE))^2+(VLOOKUP($G13,Coords[],4,FALSE)-VLOOKUP(J$5,Coords[],4,FALSE))^2)))</f>
        <v>1000</v>
      </c>
      <c r="K13" s="10">
        <f>IF($G13=K$5,1000,IF(K$4=0,1000,SQRT((VLOOKUP($G13,Coords[],3,FALSE)-VLOOKUP(K$5,Coords[],3,FALSE))^2+(VLOOKUP($G13,Coords[],4,FALSE)-VLOOKUP(K$5,Coords[],4,FALSE))^2)))</f>
        <v>1000</v>
      </c>
      <c r="L13" s="10">
        <f>IF($G13=L$5,1000,IF(L$4=0,1000,SQRT((VLOOKUP($G13,Coords[],3,FALSE)-VLOOKUP(L$5,Coords[],3,FALSE))^2+(VLOOKUP($G13,Coords[],4,FALSE)-VLOOKUP(L$5,Coords[],4,FALSE))^2)))</f>
        <v>1000</v>
      </c>
      <c r="M13" s="10">
        <f>IF($G13=M$5,1000,IF(M$4=0,1000,SQRT((VLOOKUP($G13,Coords[],3,FALSE)-VLOOKUP(M$5,Coords[],3,FALSE))^2+(VLOOKUP($G13,Coords[],4,FALSE)-VLOOKUP(M$5,Coords[],4,FALSE))^2)))</f>
        <v>1000</v>
      </c>
      <c r="N13" s="10">
        <f>IF($G13=N$5,1000,IF(N$4=0,1000,SQRT((VLOOKUP($G13,Coords[],3,FALSE)-VLOOKUP(N$5,Coords[],3,FALSE))^2+(VLOOKUP($G13,Coords[],4,FALSE)-VLOOKUP(N$5,Coords[],4,FALSE))^2)))</f>
        <v>1000</v>
      </c>
      <c r="O13" s="10">
        <f>IF($G13=O$5,1000,IF(O$4=0,1000,SQRT((VLOOKUP($G13,Coords[],3,FALSE)-VLOOKUP(O$5,Coords[],3,FALSE))^2+(VLOOKUP($G13,Coords[],4,FALSE)-VLOOKUP(O$5,Coords[],4,FALSE))^2)))</f>
        <v>1000</v>
      </c>
      <c r="P13" s="10">
        <f>IF($G13=P$5,1000,IF(P$4=0,1000,SQRT((VLOOKUP($G13,Coords[],3,FALSE)-VLOOKUP(P$5,Coords[],3,FALSE))^2+(VLOOKUP($G13,Coords[],4,FALSE)-VLOOKUP(P$5,Coords[],4,FALSE))^2)))</f>
        <v>1000</v>
      </c>
      <c r="Q13" s="10">
        <f>IF($G13=Q$5,1000,IF(Q$4=0,1000,SQRT((VLOOKUP($G13,Coords[],3,FALSE)-VLOOKUP(Q$5,Coords[],3,FALSE))^2+(VLOOKUP($G13,Coords[],4,FALSE)-VLOOKUP(Q$5,Coords[],4,FALSE))^2)))</f>
        <v>1000</v>
      </c>
      <c r="R13" s="10">
        <f>IF($G13=R$5,1000,IF(R$4=0,1000,SQRT((VLOOKUP($G13,Coords[],3,FALSE)-VLOOKUP(R$5,Coords[],3,FALSE))^2+(VLOOKUP($G13,Coords[],4,FALSE)-VLOOKUP(R$5,Coords[],4,FALSE))^2)))</f>
        <v>1000</v>
      </c>
      <c r="S13" s="10">
        <f>IF($G13=S$5,1000,IF(S$4=0,1000,SQRT((VLOOKUP($G13,Coords[],3,FALSE)-VLOOKUP(S$5,Coords[],3,FALSE))^2+(VLOOKUP($G13,Coords[],4,FALSE)-VLOOKUP(S$5,Coords[],4,FALSE))^2)))</f>
        <v>1000</v>
      </c>
      <c r="T13" s="10">
        <f>IF($G13=T$5,1000,IF(T$4=0,1000,SQRT((VLOOKUP($G13,Coords[],3,FALSE)-VLOOKUP(T$5,Coords[],3,FALSE))^2+(VLOOKUP($G13,Coords[],4,FALSE)-VLOOKUP(T$5,Coords[],4,FALSE))^2)))</f>
        <v>1000</v>
      </c>
      <c r="U13" s="10">
        <f>IF($G13=U$5,1000,IF(U$4=0,1000,SQRT((VLOOKUP($G13,Coords[],3,FALSE)-VLOOKUP(U$5,Coords[],3,FALSE))^2+(VLOOKUP($G13,Coords[],4,FALSE)-VLOOKUP(U$5,Coords[],4,FALSE))^2)))</f>
        <v>1000</v>
      </c>
      <c r="V13" s="10">
        <f>IF($G13=V$5,1000,IF(V$4=0,1000,SQRT((VLOOKUP($G13,Coords[],3,FALSE)-VLOOKUP(V$5,Coords[],3,FALSE))^2+(VLOOKUP($G13,Coords[],4,FALSE)-VLOOKUP(V$5,Coords[],4,FALSE))^2)))</f>
        <v>1000</v>
      </c>
      <c r="W13" s="10">
        <f>IF($G13=W$5,1000,IF(W$4=0,1000,SQRT((VLOOKUP($G13,Coords[],3,FALSE)-VLOOKUP(W$5,Coords[],3,FALSE))^2+(VLOOKUP($G13,Coords[],4,FALSE)-VLOOKUP(W$5,Coords[],4,FALSE))^2)))</f>
        <v>1000</v>
      </c>
      <c r="X13" s="10">
        <f>IF($G13=X$5,1000,IF(X$4=0,1000,SQRT((VLOOKUP($G13,Coords[],3,FALSE)-VLOOKUP(X$5,Coords[],3,FALSE))^2+(VLOOKUP($G13,Coords[],4,FALSE)-VLOOKUP(X$5,Coords[],4,FALSE))^2)))</f>
        <v>1000</v>
      </c>
      <c r="Y13" s="10">
        <f>IF($G13=Y$5,1000,IF(Y$4=0,1000,SQRT((VLOOKUP($G13,Coords[],3,FALSE)-VLOOKUP(Y$5,Coords[],3,FALSE))^2+(VLOOKUP($G13,Coords[],4,FALSE)-VLOOKUP(Y$5,Coords[],4,FALSE))^2)))</f>
        <v>1000</v>
      </c>
      <c r="Z13" s="10">
        <f>IF($G13=Z$5,1000,IF(Z$4=0,1000,SQRT((VLOOKUP($G13,Coords[],3,FALSE)-VLOOKUP(Z$5,Coords[],3,FALSE))^2+(VLOOKUP($G13,Coords[],4,FALSE)-VLOOKUP(Z$5,Coords[],4,FALSE))^2)))</f>
        <v>1000</v>
      </c>
      <c r="AA13" s="10">
        <f>IF($G13=AA$5,1000,IF(AA$4=0,1000,SQRT((VLOOKUP($G13,Coords[],3,FALSE)-VLOOKUP(AA$5,Coords[],3,FALSE))^2+(VLOOKUP($G13,Coords[],4,FALSE)-VLOOKUP(AA$5,Coords[],4,FALSE))^2)))</f>
        <v>1000</v>
      </c>
      <c r="AB13" s="10">
        <f>IF($G13=AB$5,1000,IF(AB$4=0,1000,SQRT((VLOOKUP($G13,Coords[],3,FALSE)-VLOOKUP(AB$5,Coords[],3,FALSE))^2+(VLOOKUP($G13,Coords[],4,FALSE)-VLOOKUP(AB$5,Coords[],4,FALSE))^2)))</f>
        <v>1000</v>
      </c>
      <c r="AC13" s="10">
        <f>IF($G13=AC$5,1000,IF(AC$4=0,1000,SQRT((VLOOKUP($G13,Coords[],3,FALSE)-VLOOKUP(AC$5,Coords[],3,FALSE))^2+(VLOOKUP($G13,Coords[],4,FALSE)-VLOOKUP(AC$5,Coords[],4,FALSE))^2)))</f>
        <v>1000</v>
      </c>
      <c r="AD13" s="10">
        <f>IF($G13=AD$5,1000,IF(AD$4=0,1000,SQRT((VLOOKUP($G13,Coords[],3,FALSE)-VLOOKUP(AD$5,Coords[],3,FALSE))^2+(VLOOKUP($G13,Coords[],4,FALSE)-VLOOKUP(AD$5,Coords[],4,FALSE))^2)))</f>
        <v>1000</v>
      </c>
      <c r="AE13" s="10">
        <f>IF($G13=AE$5,1000,IF(AE$4=0,1000,SQRT((VLOOKUP($G13,Coords[],3,FALSE)-VLOOKUP(AE$5,Coords[],3,FALSE))^2+(VLOOKUP($G13,Coords[],4,FALSE)-VLOOKUP(AE$5,Coords[],4,FALSE))^2)))</f>
        <v>1000</v>
      </c>
      <c r="AF13" s="10">
        <f>IF($G13=AF$5,1000,IF(AF$4=0,1000,SQRT((VLOOKUP($G13,Coords[],3,FALSE)-VLOOKUP(AF$5,Coords[],3,FALSE))^2+(VLOOKUP($G13,Coords[],4,FALSE)-VLOOKUP(AF$5,Coords[],4,FALSE))^2)))</f>
        <v>1000</v>
      </c>
      <c r="AG13" s="10">
        <f>IF($G13=AG$5,1000,IF(AG$4=0,1000,SQRT((VLOOKUP($G13,Coords[],3,FALSE)-VLOOKUP(AG$5,Coords[],3,FALSE))^2+(VLOOKUP($G13,Coords[],4,FALSE)-VLOOKUP(AG$5,Coords[],4,FALSE))^2)))</f>
        <v>1000</v>
      </c>
      <c r="AH13" s="10">
        <f>IF($G13=AH$5,1000,IF(AH$4=0,1000,SQRT((VLOOKUP($G13,Coords[],3,FALSE)-VLOOKUP(AH$5,Coords[],3,FALSE))^2+(VLOOKUP($G13,Coords[],4,FALSE)-VLOOKUP(AH$5,Coords[],4,FALSE))^2)))</f>
        <v>1000</v>
      </c>
      <c r="AI13" s="10">
        <f>IF($G13=AI$5,1000,IF(AI$4=0,1000,SQRT((VLOOKUP($G13,Coords[],3,FALSE)-VLOOKUP(AI$5,Coords[],3,FALSE))^2+(VLOOKUP($G13,Coords[],4,FALSE)-VLOOKUP(AI$5,Coords[],4,FALSE))^2)))</f>
        <v>1000</v>
      </c>
      <c r="AJ13" s="10">
        <f>IF($G13=AJ$5,1000,IF(AJ$4=0,1000,SQRT((VLOOKUP($G13,Coords[],3,FALSE)-VLOOKUP(AJ$5,Coords[],3,FALSE))^2+(VLOOKUP($G13,Coords[],4,FALSE)-VLOOKUP(AJ$5,Coords[],4,FALSE))^2)))</f>
        <v>1000</v>
      </c>
      <c r="AK13" s="10">
        <f>IF($G13=AK$5,1000,IF(AK$4=0,1000,SQRT((VLOOKUP($G13,Coords[],3,FALSE)-VLOOKUP(AK$5,Coords[],3,FALSE))^2+(VLOOKUP($G13,Coords[],4,FALSE)-VLOOKUP(AK$5,Coords[],4,FALSE))^2)))</f>
        <v>1000</v>
      </c>
      <c r="AL13" s="10">
        <f>IF($G13=AL$5,1000,IF(AL$4=0,1000,SQRT((VLOOKUP($G13,Coords[],3,FALSE)-VLOOKUP(AL$5,Coords[],3,FALSE))^2+(VLOOKUP($G13,Coords[],4,FALSE)-VLOOKUP(AL$5,Coords[],4,FALSE))^2)))</f>
        <v>1000</v>
      </c>
      <c r="AM13" s="10">
        <f>IF($G13=AM$5,1000,IF(AM$4=0,1000,SQRT((VLOOKUP($G13,Coords[],3,FALSE)-VLOOKUP(AM$5,Coords[],3,FALSE))^2+(VLOOKUP($G13,Coords[],4,FALSE)-VLOOKUP(AM$5,Coords[],4,FALSE))^2)))</f>
        <v>1000</v>
      </c>
      <c r="AN13" s="10">
        <f>IF($G13=AN$5,1000,IF(AN$4=0,1000,SQRT((VLOOKUP($G13,Coords[],3,FALSE)-VLOOKUP(AN$5,Coords[],3,FALSE))^2+(VLOOKUP($G13,Coords[],4,FALSE)-VLOOKUP(AN$5,Coords[],4,FALSE))^2)))</f>
        <v>1000</v>
      </c>
      <c r="AO13" s="10">
        <f>IF($G13=AO$5,1000,IF(AO$4=0,1000,SQRT((VLOOKUP($G13,Coords[],3,FALSE)-VLOOKUP(AO$5,Coords[],3,FALSE))^2+(VLOOKUP($G13,Coords[],4,FALSE)-VLOOKUP(AO$5,Coords[],4,FALSE))^2)))</f>
        <v>1000</v>
      </c>
      <c r="AP13" s="10">
        <f>IF($G13=AP$5,1000,IF(AP$4=0,1000,SQRT((VLOOKUP($G13,Coords[],3,FALSE)-VLOOKUP(AP$5,Coords[],3,FALSE))^2+(VLOOKUP($G13,Coords[],4,FALSE)-VLOOKUP(AP$5,Coords[],4,FALSE))^2)))</f>
        <v>1000</v>
      </c>
      <c r="AQ13" s="10">
        <f>IF($G13=AQ$5,1000,IF(AQ$4=0,1000,SQRT((VLOOKUP($G13,Coords[],3,FALSE)-VLOOKUP(AQ$5,Coords[],3,FALSE))^2+(VLOOKUP($G13,Coords[],4,FALSE)-VLOOKUP(AQ$5,Coords[],4,FALSE))^2)))</f>
        <v>1000</v>
      </c>
      <c r="AR13" s="10">
        <f>IF($G13=AR$5,1000,IF(AR$4=0,1000,SQRT((VLOOKUP($G13,Coords[],3,FALSE)-VLOOKUP(AR$5,Coords[],3,FALSE))^2+(VLOOKUP($G13,Coords[],4,FALSE)-VLOOKUP(AR$5,Coords[],4,FALSE))^2)))</f>
        <v>1000</v>
      </c>
      <c r="AS13" s="10">
        <f>IF($G13=AS$5,1000,IF(AS$4=0,1000,SQRT((VLOOKUP($G13,Coords[],3,FALSE)-VLOOKUP(AS$5,Coords[],3,FALSE))^2+(VLOOKUP($G13,Coords[],4,FALSE)-VLOOKUP(AS$5,Coords[],4,FALSE))^2)))</f>
        <v>1000</v>
      </c>
      <c r="AT13" s="10">
        <f>IF($G13=AT$5,1000,IF(AT$4=0,1000,SQRT((VLOOKUP($G13,Coords[],3,FALSE)-VLOOKUP(AT$5,Coords[],3,FALSE))^2+(VLOOKUP($G13,Coords[],4,FALSE)-VLOOKUP(AT$5,Coords[],4,FALSE))^2)))</f>
        <v>1000</v>
      </c>
      <c r="AU13" s="10">
        <f>IF($G13=AU$5,1000,IF(AU$4=0,1000,SQRT((VLOOKUP($G13,Coords[],3,FALSE)-VLOOKUP(AU$5,Coords[],3,FALSE))^2+(VLOOKUP($G13,Coords[],4,FALSE)-VLOOKUP(AU$5,Coords[],4,FALSE))^2)))</f>
        <v>1000</v>
      </c>
      <c r="AV13" s="10">
        <f>IF($G13=AV$5,1000,IF(AV$4=0,1000,SQRT((VLOOKUP($G13,Coords[],3,FALSE)-VLOOKUP(AV$5,Coords[],3,FALSE))^2+(VLOOKUP($G13,Coords[],4,FALSE)-VLOOKUP(AV$5,Coords[],4,FALSE))^2)))</f>
        <v>1000</v>
      </c>
      <c r="AW13" s="10">
        <f>IF($G13=AW$5,1000,IF(AW$4=0,1000,SQRT((VLOOKUP($G13,Coords[],3,FALSE)-VLOOKUP(AW$5,Coords[],3,FALSE))^2+(VLOOKUP($G13,Coords[],4,FALSE)-VLOOKUP(AW$5,Coords[],4,FALSE))^2)))</f>
        <v>1000</v>
      </c>
      <c r="AX13" s="10">
        <f>IF($G13=AX$5,1000,IF(AX$4=0,1000,SQRT((VLOOKUP($G13,Coords[],3,FALSE)-VLOOKUP(AX$5,Coords[],3,FALSE))^2+(VLOOKUP($G13,Coords[],4,FALSE)-VLOOKUP(AX$5,Coords[],4,FALSE))^2)))</f>
        <v>1000</v>
      </c>
      <c r="AY13" s="10">
        <f>IF($G13=AY$5,1000,IF(AY$4=0,1000,SQRT((VLOOKUP($G13,Coords[],3,FALSE)-VLOOKUP(AY$5,Coords[],3,FALSE))^2+(VLOOKUP($G13,Coords[],4,FALSE)-VLOOKUP(AY$5,Coords[],4,FALSE))^2)))</f>
        <v>1000</v>
      </c>
      <c r="AZ13" s="10">
        <f>IF($G13=AZ$5,1000,IF(AZ$4=0,1000,SQRT((VLOOKUP($G13,Coords[],3,FALSE)-VLOOKUP(AZ$5,Coords[],3,FALSE))^2+(VLOOKUP($G13,Coords[],4,FALSE)-VLOOKUP(AZ$5,Coords[],4,FALSE))^2)))</f>
        <v>1000</v>
      </c>
      <c r="BA13" s="10">
        <f>IF($G13=BA$5,1000,IF(BA$4=0,1000,SQRT((VLOOKUP($G13,Coords[],3,FALSE)-VLOOKUP(BA$5,Coords[],3,FALSE))^2+(VLOOKUP($G13,Coords[],4,FALSE)-VLOOKUP(BA$5,Coords[],4,FALSE))^2)))</f>
        <v>1000</v>
      </c>
      <c r="BB13" s="10">
        <f>IF($G13=BB$5,1000,IF(BB$4=0,1000,SQRT((VLOOKUP($G13,Coords[],3,FALSE)-VLOOKUP(BB$5,Coords[],3,FALSE))^2+(VLOOKUP($G13,Coords[],4,FALSE)-VLOOKUP(BB$5,Coords[],4,FALSE))^2)))</f>
        <v>1000</v>
      </c>
      <c r="BC13" s="10">
        <f>IF($G13=BC$5,1000,IF(BC$4=0,1000,SQRT((VLOOKUP($G13,Coords[],3,FALSE)-VLOOKUP(BC$5,Coords[],3,FALSE))^2+(VLOOKUP($G13,Coords[],4,FALSE)-VLOOKUP(BC$5,Coords[],4,FALSE))^2)))</f>
        <v>1000</v>
      </c>
      <c r="BD13" s="10">
        <f>IF($G13=BD$5,1000,IF(BD$4=0,1000,SQRT((VLOOKUP($G13,Coords[],3,FALSE)-VLOOKUP(BD$5,Coords[],3,FALSE))^2+(VLOOKUP($G13,Coords[],4,FALSE)-VLOOKUP(BD$5,Coords[],4,FALSE))^2)))</f>
        <v>1000</v>
      </c>
      <c r="BE13" s="10">
        <f>IF($G13=BE$5,1000,IF(BE$4=0,1000,SQRT((VLOOKUP($G13,Coords[],3,FALSE)-VLOOKUP(BE$5,Coords[],3,FALSE))^2+(VLOOKUP($G13,Coords[],4,FALSE)-VLOOKUP(BE$5,Coords[],4,FALSE))^2)))</f>
        <v>1000</v>
      </c>
      <c r="BF13" s="10">
        <f>IF($G13=BF$5,1000,IF(BF$4=0,1000,SQRT((VLOOKUP($G13,Coords[],3,FALSE)-VLOOKUP(BF$5,Coords[],3,FALSE))^2+(VLOOKUP($G13,Coords[],4,FALSE)-VLOOKUP(BF$5,Coords[],4,FALSE))^2)))</f>
        <v>1000</v>
      </c>
      <c r="BG13" s="10">
        <f>IF($G13=BG$5,1000,IF(BG$4=0,1000,SQRT((VLOOKUP($G13,Coords[],3,FALSE)-VLOOKUP(BG$5,Coords[],3,FALSE))^2+(VLOOKUP($G13,Coords[],4,FALSE)-VLOOKUP(BG$5,Coords[],4,FALSE))^2)))</f>
        <v>1000</v>
      </c>
      <c r="BH13" s="10">
        <f>IF($G13=BH$5,1000,IF(BH$4=0,1000,SQRT((VLOOKUP($G13,Coords[],3,FALSE)-VLOOKUP(BH$5,Coords[],3,FALSE))^2+(VLOOKUP($G13,Coords[],4,FALSE)-VLOOKUP(BH$5,Coords[],4,FALSE))^2)))</f>
        <v>1000</v>
      </c>
      <c r="BI13" s="10">
        <f>IF($G13=BI$5,1000,IF(BI$4=0,1000,SQRT((VLOOKUP($G13,Coords[],3,FALSE)-VLOOKUP(BI$5,Coords[],3,FALSE))^2+(VLOOKUP($G13,Coords[],4,FALSE)-VLOOKUP(BI$5,Coords[],4,FALSE))^2)))</f>
        <v>1000</v>
      </c>
      <c r="BJ13" s="10">
        <f>IF($G13=BJ$5,1000,IF(BJ$4=0,1000,SQRT((VLOOKUP($G13,Coords[],3,FALSE)-VLOOKUP(BJ$5,Coords[],3,FALSE))^2+(VLOOKUP($G13,Coords[],4,FALSE)-VLOOKUP(BJ$5,Coords[],4,FALSE))^2)))</f>
        <v>1000</v>
      </c>
      <c r="BK13" s="10">
        <f>IF($G13=BK$5,1000,IF(BK$4=0,1000,SQRT((VLOOKUP($G13,Coords[],3,FALSE)-VLOOKUP(BK$5,Coords[],3,FALSE))^2+(VLOOKUP($G13,Coords[],4,FALSE)-VLOOKUP(BK$5,Coords[],4,FALSE))^2)))</f>
        <v>1000</v>
      </c>
      <c r="BL13" s="10">
        <f>IF($G13=BL$5,1000,IF(BL$4=0,1000,SQRT((VLOOKUP($G13,Coords[],3,FALSE)-VLOOKUP(BL$5,Coords[],3,FALSE))^2+(VLOOKUP($G13,Coords[],4,FALSE)-VLOOKUP(BL$5,Coords[],4,FALSE))^2)))</f>
        <v>1000</v>
      </c>
      <c r="BM13" s="10">
        <f>IF($G13=BM$5,1000,IF(BM$4=0,1000,SQRT((VLOOKUP($G13,Coords[],3,FALSE)-VLOOKUP(BM$5,Coords[],3,FALSE))^2+(VLOOKUP($G13,Coords[],4,FALSE)-VLOOKUP(BM$5,Coords[],4,FALSE))^2)))</f>
        <v>1000</v>
      </c>
      <c r="BN13" s="10">
        <f>IF($G13=BN$5,1000,IF(BN$4=0,1000,SQRT((VLOOKUP($G13,Coords[],3,FALSE)-VLOOKUP(BN$5,Coords[],3,FALSE))^2+(VLOOKUP($G13,Coords[],4,FALSE)-VLOOKUP(BN$5,Coords[],4,FALSE))^2)))</f>
        <v>1000</v>
      </c>
      <c r="BO13" s="10">
        <f>IF($G13=BO$5,1000,IF(BO$4=0,1000,SQRT((VLOOKUP($G13,Coords[],3,FALSE)-VLOOKUP(BO$5,Coords[],3,FALSE))^2+(VLOOKUP($G13,Coords[],4,FALSE)-VLOOKUP(BO$5,Coords[],4,FALSE))^2)))</f>
        <v>1000</v>
      </c>
      <c r="BP13" s="10">
        <f>IF($G13=BP$5,1000,IF(BP$4=0,1000,SQRT((VLOOKUP($G13,Coords[],3,FALSE)-VLOOKUP(BP$5,Coords[],3,FALSE))^2+(VLOOKUP($G13,Coords[],4,FALSE)-VLOOKUP(BP$5,Coords[],4,FALSE))^2)))</f>
        <v>1000</v>
      </c>
      <c r="BQ13" s="10">
        <f>IF($G13=BQ$5,1000,IF(BQ$4=0,1000,SQRT((VLOOKUP($G13,Coords[],3,FALSE)-VLOOKUP(BQ$5,Coords[],3,FALSE))^2+(VLOOKUP($G13,Coords[],4,FALSE)-VLOOKUP(BQ$5,Coords[],4,FALSE))^2)))</f>
        <v>1000</v>
      </c>
      <c r="BR13" s="10">
        <f>IF($G13=BR$5,1000,IF(BR$4=0,1000,SQRT((VLOOKUP($G13,Coords[],3,FALSE)-VLOOKUP(BR$5,Coords[],3,FALSE))^2+(VLOOKUP($G13,Coords[],4,FALSE)-VLOOKUP(BR$5,Coords[],4,FALSE))^2)))</f>
        <v>1000</v>
      </c>
      <c r="BS13" s="10">
        <f>IF($G13=BS$5,1000,IF(BS$4=0,1000,SQRT((VLOOKUP($G13,Coords[],3,FALSE)-VLOOKUP(BS$5,Coords[],3,FALSE))^2+(VLOOKUP($G13,Coords[],4,FALSE)-VLOOKUP(BS$5,Coords[],4,FALSE))^2)))</f>
        <v>1000</v>
      </c>
      <c r="BT13" s="10">
        <f>IF($G13=BT$5,1000,IF(BT$4=0,1000,SQRT((VLOOKUP($G13,Coords[],3,FALSE)-VLOOKUP(BT$5,Coords[],3,FALSE))^2+(VLOOKUP($G13,Coords[],4,FALSE)-VLOOKUP(BT$5,Coords[],4,FALSE))^2)))</f>
        <v>1000</v>
      </c>
      <c r="BU13" s="10">
        <f>IF($G13=BU$5,1000,IF(BU$4=0,1000,SQRT((VLOOKUP($G13,Coords[],3,FALSE)-VLOOKUP(BU$5,Coords[],3,FALSE))^2+(VLOOKUP($G13,Coords[],4,FALSE)-VLOOKUP(BU$5,Coords[],4,FALSE))^2)))</f>
        <v>1000</v>
      </c>
      <c r="BV13" s="10">
        <f>IF($G13=BV$5,1000,IF(BV$4=0,1000,SQRT((VLOOKUP($G13,Coords[],3,FALSE)-VLOOKUP(BV$5,Coords[],3,FALSE))^2+(VLOOKUP($G13,Coords[],4,FALSE)-VLOOKUP(BV$5,Coords[],4,FALSE))^2)))</f>
        <v>1000</v>
      </c>
      <c r="BW13" s="10">
        <f>IF($G13=BW$5,1000,IF(BW$4=0,1000,SQRT((VLOOKUP($G13,Coords[],3,FALSE)-VLOOKUP(BW$5,Coords[],3,FALSE))^2+(VLOOKUP($G13,Coords[],4,FALSE)-VLOOKUP(BW$5,Coords[],4,FALSE))^2)))</f>
        <v>1000</v>
      </c>
      <c r="BX13" s="10">
        <f>IF($G13=BX$5,1000,IF(BX$4=0,1000,SQRT((VLOOKUP($G13,Coords[],3,FALSE)-VLOOKUP(BX$5,Coords[],3,FALSE))^2+(VLOOKUP($G13,Coords[],4,FALSE)-VLOOKUP(BX$5,Coords[],4,FALSE))^2)))</f>
        <v>1000</v>
      </c>
      <c r="BY13" s="10">
        <f>IF($G13=BY$5,1000,IF(BY$4=0,1000,SQRT((VLOOKUP($G13,Coords[],3,FALSE)-VLOOKUP(BY$5,Coords[],3,FALSE))^2+(VLOOKUP($G13,Coords[],4,FALSE)-VLOOKUP(BY$5,Coords[],4,FALSE))^2)))</f>
        <v>1000</v>
      </c>
      <c r="BZ13" s="10">
        <f>IF($G13=BZ$5,1000,IF(BZ$4=0,1000,SQRT((VLOOKUP($G13,Coords[],3,FALSE)-VLOOKUP(BZ$5,Coords[],3,FALSE))^2+(VLOOKUP($G13,Coords[],4,FALSE)-VLOOKUP(BZ$5,Coords[],4,FALSE))^2)))</f>
        <v>1000</v>
      </c>
      <c r="CA13" s="10">
        <f>IF($G13=CA$5,1000,IF(CA$4=0,1000,SQRT((VLOOKUP($G13,Coords[],3,FALSE)-VLOOKUP(CA$5,Coords[],3,FALSE))^2+(VLOOKUP($G13,Coords[],4,FALSE)-VLOOKUP(CA$5,Coords[],4,FALSE))^2)))</f>
        <v>1000</v>
      </c>
      <c r="CB13" s="10">
        <f>IF($G13=CB$5,1000,IF(CB$4=0,1000,SQRT((VLOOKUP($G13,Coords[],3,FALSE)-VLOOKUP(CB$5,Coords[],3,FALSE))^2+(VLOOKUP($G13,Coords[],4,FALSE)-VLOOKUP(CB$5,Coords[],4,FALSE))^2)))</f>
        <v>1000</v>
      </c>
      <c r="CC13" s="10">
        <f>IF($G13=CC$5,1000,IF(CC$4=0,1000,SQRT((VLOOKUP($G13,Coords[],3,FALSE)-VLOOKUP(CC$5,Coords[],3,FALSE))^2+(VLOOKUP($G13,Coords[],4,FALSE)-VLOOKUP(CC$5,Coords[],4,FALSE))^2)))</f>
        <v>1000</v>
      </c>
      <c r="CD13" s="10">
        <f>IF($G13=CD$5,1000,IF(CD$4=0,1000,SQRT((VLOOKUP($G13,Coords[],3,FALSE)-VLOOKUP(CD$5,Coords[],3,FALSE))^2+(VLOOKUP($G13,Coords[],4,FALSE)-VLOOKUP(CD$5,Coords[],4,FALSE))^2)))</f>
        <v>1000</v>
      </c>
      <c r="CE13" s="10">
        <f>IF($G13=CE$5,1000,IF(CE$4=0,1000,SQRT((VLOOKUP($G13,Coords[],3,FALSE)-VLOOKUP(CE$5,Coords[],3,FALSE))^2+(VLOOKUP($G13,Coords[],4,FALSE)-VLOOKUP(CE$5,Coords[],4,FALSE))^2)))</f>
        <v>1000</v>
      </c>
      <c r="CF13" s="4">
        <v>8</v>
      </c>
      <c r="CH13" s="5">
        <f>IF(E13=1,0,VLOOKUP($G13,$G$6:$CE$82,HLOOKUP(MIN(H13:CE13),$H13:$CE$82,((COUNT($G$6:$G$81)+2)-$G13),FALSE)+1,FALSE)*B13)</f>
        <v>0</v>
      </c>
      <c r="CI13" s="9">
        <f>VLOOKUP($G13,$G$6:$CE$82,HLOOKUP(MIN(H13:CE13),$H13:$CE$82,((COUNT($G$6:$G$81)+2)-$G13),FALSE)+1,FALSE)</f>
        <v>1000</v>
      </c>
      <c r="CJ13" s="7">
        <f>HLOOKUP(MIN(H13:CE13),$H13:$CE$82,((COUNT($G$6:$G$81)+2)-$G13),FALSE)</f>
        <v>1</v>
      </c>
      <c r="CK13">
        <f>CI13*Coords[[#This Row],[Demand]]</f>
        <v>0</v>
      </c>
    </row>
    <row r="14" spans="1:89" x14ac:dyDescent="0.25">
      <c r="A14" s="8">
        <v>9</v>
      </c>
      <c r="B14" s="3"/>
      <c r="C14" s="3"/>
      <c r="D14" s="3"/>
      <c r="E14" s="3"/>
      <c r="G14" s="4">
        <v>9</v>
      </c>
      <c r="H14" s="10">
        <f>IF($G14=H$5,1000,IF(H$4=0,1000,SQRT((VLOOKUP($G14,Coords[],3,FALSE)-VLOOKUP(H$5,Coords[],3,FALSE))^2+(VLOOKUP($G14,Coords[],4,FALSE)-VLOOKUP(H$5,Coords[],4,FALSE))^2)))</f>
        <v>1000</v>
      </c>
      <c r="I14" s="10">
        <f>IF($G14=I$5,1000,IF(I$4=0,1000,SQRT((VLOOKUP($G14,Coords[],3,FALSE)-VLOOKUP(I$5,Coords[],3,FALSE))^2+(VLOOKUP($G14,Coords[],4,FALSE)-VLOOKUP(I$5,Coords[],4,FALSE))^2)))</f>
        <v>1000</v>
      </c>
      <c r="J14" s="10">
        <f>IF($G14=J$5,1000,IF(J$4=0,1000,SQRT((VLOOKUP($G14,Coords[],3,FALSE)-VLOOKUP(J$5,Coords[],3,FALSE))^2+(VLOOKUP($G14,Coords[],4,FALSE)-VLOOKUP(J$5,Coords[],4,FALSE))^2)))</f>
        <v>1000</v>
      </c>
      <c r="K14" s="10">
        <f>IF($G14=K$5,1000,IF(K$4=0,1000,SQRT((VLOOKUP($G14,Coords[],3,FALSE)-VLOOKUP(K$5,Coords[],3,FALSE))^2+(VLOOKUP($G14,Coords[],4,FALSE)-VLOOKUP(K$5,Coords[],4,FALSE))^2)))</f>
        <v>1000</v>
      </c>
      <c r="L14" s="10">
        <f>IF($G14=L$5,1000,IF(L$4=0,1000,SQRT((VLOOKUP($G14,Coords[],3,FALSE)-VLOOKUP(L$5,Coords[],3,FALSE))^2+(VLOOKUP($G14,Coords[],4,FALSE)-VLOOKUP(L$5,Coords[],4,FALSE))^2)))</f>
        <v>1000</v>
      </c>
      <c r="M14" s="10">
        <f>IF($G14=M$5,1000,IF(M$4=0,1000,SQRT((VLOOKUP($G14,Coords[],3,FALSE)-VLOOKUP(M$5,Coords[],3,FALSE))^2+(VLOOKUP($G14,Coords[],4,FALSE)-VLOOKUP(M$5,Coords[],4,FALSE))^2)))</f>
        <v>1000</v>
      </c>
      <c r="N14" s="10">
        <f>IF($G14=N$5,1000,IF(N$4=0,1000,SQRT((VLOOKUP($G14,Coords[],3,FALSE)-VLOOKUP(N$5,Coords[],3,FALSE))^2+(VLOOKUP($G14,Coords[],4,FALSE)-VLOOKUP(N$5,Coords[],4,FALSE))^2)))</f>
        <v>1000</v>
      </c>
      <c r="O14" s="10">
        <f>IF($G14=O$5,1000,IF(O$4=0,1000,SQRT((VLOOKUP($G14,Coords[],3,FALSE)-VLOOKUP(O$5,Coords[],3,FALSE))^2+(VLOOKUP($G14,Coords[],4,FALSE)-VLOOKUP(O$5,Coords[],4,FALSE))^2)))</f>
        <v>1000</v>
      </c>
      <c r="P14" s="10">
        <f>IF($G14=P$5,1000,IF(P$4=0,1000,SQRT((VLOOKUP($G14,Coords[],3,FALSE)-VLOOKUP(P$5,Coords[],3,FALSE))^2+(VLOOKUP($G14,Coords[],4,FALSE)-VLOOKUP(P$5,Coords[],4,FALSE))^2)))</f>
        <v>1000</v>
      </c>
      <c r="Q14" s="10">
        <f>IF($G14=Q$5,1000,IF(Q$4=0,1000,SQRT((VLOOKUP($G14,Coords[],3,FALSE)-VLOOKUP(Q$5,Coords[],3,FALSE))^2+(VLOOKUP($G14,Coords[],4,FALSE)-VLOOKUP(Q$5,Coords[],4,FALSE))^2)))</f>
        <v>1000</v>
      </c>
      <c r="R14" s="10">
        <f>IF($G14=R$5,1000,IF(R$4=0,1000,SQRT((VLOOKUP($G14,Coords[],3,FALSE)-VLOOKUP(R$5,Coords[],3,FALSE))^2+(VLOOKUP($G14,Coords[],4,FALSE)-VLOOKUP(R$5,Coords[],4,FALSE))^2)))</f>
        <v>1000</v>
      </c>
      <c r="S14" s="10">
        <f>IF($G14=S$5,1000,IF(S$4=0,1000,SQRT((VLOOKUP($G14,Coords[],3,FALSE)-VLOOKUP(S$5,Coords[],3,FALSE))^2+(VLOOKUP($G14,Coords[],4,FALSE)-VLOOKUP(S$5,Coords[],4,FALSE))^2)))</f>
        <v>1000</v>
      </c>
      <c r="T14" s="10">
        <f>IF($G14=T$5,1000,IF(T$4=0,1000,SQRT((VLOOKUP($G14,Coords[],3,FALSE)-VLOOKUP(T$5,Coords[],3,FALSE))^2+(VLOOKUP($G14,Coords[],4,FALSE)-VLOOKUP(T$5,Coords[],4,FALSE))^2)))</f>
        <v>1000</v>
      </c>
      <c r="U14" s="10">
        <f>IF($G14=U$5,1000,IF(U$4=0,1000,SQRT((VLOOKUP($G14,Coords[],3,FALSE)-VLOOKUP(U$5,Coords[],3,FALSE))^2+(VLOOKUP($G14,Coords[],4,FALSE)-VLOOKUP(U$5,Coords[],4,FALSE))^2)))</f>
        <v>1000</v>
      </c>
      <c r="V14" s="10">
        <f>IF($G14=V$5,1000,IF(V$4=0,1000,SQRT((VLOOKUP($G14,Coords[],3,FALSE)-VLOOKUP(V$5,Coords[],3,FALSE))^2+(VLOOKUP($G14,Coords[],4,FALSE)-VLOOKUP(V$5,Coords[],4,FALSE))^2)))</f>
        <v>1000</v>
      </c>
      <c r="W14" s="10">
        <f>IF($G14=W$5,1000,IF(W$4=0,1000,SQRT((VLOOKUP($G14,Coords[],3,FALSE)-VLOOKUP(W$5,Coords[],3,FALSE))^2+(VLOOKUP($G14,Coords[],4,FALSE)-VLOOKUP(W$5,Coords[],4,FALSE))^2)))</f>
        <v>1000</v>
      </c>
      <c r="X14" s="10">
        <f>IF($G14=X$5,1000,IF(X$4=0,1000,SQRT((VLOOKUP($G14,Coords[],3,FALSE)-VLOOKUP(X$5,Coords[],3,FALSE))^2+(VLOOKUP($G14,Coords[],4,FALSE)-VLOOKUP(X$5,Coords[],4,FALSE))^2)))</f>
        <v>1000</v>
      </c>
      <c r="Y14" s="10">
        <f>IF($G14=Y$5,1000,IF(Y$4=0,1000,SQRT((VLOOKUP($G14,Coords[],3,FALSE)-VLOOKUP(Y$5,Coords[],3,FALSE))^2+(VLOOKUP($G14,Coords[],4,FALSE)-VLOOKUP(Y$5,Coords[],4,FALSE))^2)))</f>
        <v>1000</v>
      </c>
      <c r="Z14" s="10">
        <f>IF($G14=Z$5,1000,IF(Z$4=0,1000,SQRT((VLOOKUP($G14,Coords[],3,FALSE)-VLOOKUP(Z$5,Coords[],3,FALSE))^2+(VLOOKUP($G14,Coords[],4,FALSE)-VLOOKUP(Z$5,Coords[],4,FALSE))^2)))</f>
        <v>1000</v>
      </c>
      <c r="AA14" s="10">
        <f>IF($G14=AA$5,1000,IF(AA$4=0,1000,SQRT((VLOOKUP($G14,Coords[],3,FALSE)-VLOOKUP(AA$5,Coords[],3,FALSE))^2+(VLOOKUP($G14,Coords[],4,FALSE)-VLOOKUP(AA$5,Coords[],4,FALSE))^2)))</f>
        <v>1000</v>
      </c>
      <c r="AB14" s="10">
        <f>IF($G14=AB$5,1000,IF(AB$4=0,1000,SQRT((VLOOKUP($G14,Coords[],3,FALSE)-VLOOKUP(AB$5,Coords[],3,FALSE))^2+(VLOOKUP($G14,Coords[],4,FALSE)-VLOOKUP(AB$5,Coords[],4,FALSE))^2)))</f>
        <v>1000</v>
      </c>
      <c r="AC14" s="10">
        <f>IF($G14=AC$5,1000,IF(AC$4=0,1000,SQRT((VLOOKUP($G14,Coords[],3,FALSE)-VLOOKUP(AC$5,Coords[],3,FALSE))^2+(VLOOKUP($G14,Coords[],4,FALSE)-VLOOKUP(AC$5,Coords[],4,FALSE))^2)))</f>
        <v>1000</v>
      </c>
      <c r="AD14" s="10">
        <f>IF($G14=AD$5,1000,IF(AD$4=0,1000,SQRT((VLOOKUP($G14,Coords[],3,FALSE)-VLOOKUP(AD$5,Coords[],3,FALSE))^2+(VLOOKUP($G14,Coords[],4,FALSE)-VLOOKUP(AD$5,Coords[],4,FALSE))^2)))</f>
        <v>1000</v>
      </c>
      <c r="AE14" s="10">
        <f>IF($G14=AE$5,1000,IF(AE$4=0,1000,SQRT((VLOOKUP($G14,Coords[],3,FALSE)-VLOOKUP(AE$5,Coords[],3,FALSE))^2+(VLOOKUP($G14,Coords[],4,FALSE)-VLOOKUP(AE$5,Coords[],4,FALSE))^2)))</f>
        <v>1000</v>
      </c>
      <c r="AF14" s="10">
        <f>IF($G14=AF$5,1000,IF(AF$4=0,1000,SQRT((VLOOKUP($G14,Coords[],3,FALSE)-VLOOKUP(AF$5,Coords[],3,FALSE))^2+(VLOOKUP($G14,Coords[],4,FALSE)-VLOOKUP(AF$5,Coords[],4,FALSE))^2)))</f>
        <v>1000</v>
      </c>
      <c r="AG14" s="10">
        <f>IF($G14=AG$5,1000,IF(AG$4=0,1000,SQRT((VLOOKUP($G14,Coords[],3,FALSE)-VLOOKUP(AG$5,Coords[],3,FALSE))^2+(VLOOKUP($G14,Coords[],4,FALSE)-VLOOKUP(AG$5,Coords[],4,FALSE))^2)))</f>
        <v>1000</v>
      </c>
      <c r="AH14" s="10">
        <f>IF($G14=AH$5,1000,IF(AH$4=0,1000,SQRT((VLOOKUP($G14,Coords[],3,FALSE)-VLOOKUP(AH$5,Coords[],3,FALSE))^2+(VLOOKUP($G14,Coords[],4,FALSE)-VLOOKUP(AH$5,Coords[],4,FALSE))^2)))</f>
        <v>1000</v>
      </c>
      <c r="AI14" s="10">
        <f>IF($G14=AI$5,1000,IF(AI$4=0,1000,SQRT((VLOOKUP($G14,Coords[],3,FALSE)-VLOOKUP(AI$5,Coords[],3,FALSE))^2+(VLOOKUP($G14,Coords[],4,FALSE)-VLOOKUP(AI$5,Coords[],4,FALSE))^2)))</f>
        <v>1000</v>
      </c>
      <c r="AJ14" s="10">
        <f>IF($G14=AJ$5,1000,IF(AJ$4=0,1000,SQRT((VLOOKUP($G14,Coords[],3,FALSE)-VLOOKUP(AJ$5,Coords[],3,FALSE))^2+(VLOOKUP($G14,Coords[],4,FALSE)-VLOOKUP(AJ$5,Coords[],4,FALSE))^2)))</f>
        <v>1000</v>
      </c>
      <c r="AK14" s="10">
        <f>IF($G14=AK$5,1000,IF(AK$4=0,1000,SQRT((VLOOKUP($G14,Coords[],3,FALSE)-VLOOKUP(AK$5,Coords[],3,FALSE))^2+(VLOOKUP($G14,Coords[],4,FALSE)-VLOOKUP(AK$5,Coords[],4,FALSE))^2)))</f>
        <v>1000</v>
      </c>
      <c r="AL14" s="10">
        <f>IF($G14=AL$5,1000,IF(AL$4=0,1000,SQRT((VLOOKUP($G14,Coords[],3,FALSE)-VLOOKUP(AL$5,Coords[],3,FALSE))^2+(VLOOKUP($G14,Coords[],4,FALSE)-VLOOKUP(AL$5,Coords[],4,FALSE))^2)))</f>
        <v>1000</v>
      </c>
      <c r="AM14" s="10">
        <f>IF($G14=AM$5,1000,IF(AM$4=0,1000,SQRT((VLOOKUP($G14,Coords[],3,FALSE)-VLOOKUP(AM$5,Coords[],3,FALSE))^2+(VLOOKUP($G14,Coords[],4,FALSE)-VLOOKUP(AM$5,Coords[],4,FALSE))^2)))</f>
        <v>1000</v>
      </c>
      <c r="AN14" s="10">
        <f>IF($G14=AN$5,1000,IF(AN$4=0,1000,SQRT((VLOOKUP($G14,Coords[],3,FALSE)-VLOOKUP(AN$5,Coords[],3,FALSE))^2+(VLOOKUP($G14,Coords[],4,FALSE)-VLOOKUP(AN$5,Coords[],4,FALSE))^2)))</f>
        <v>1000</v>
      </c>
      <c r="AO14" s="10">
        <f>IF($G14=AO$5,1000,IF(AO$4=0,1000,SQRT((VLOOKUP($G14,Coords[],3,FALSE)-VLOOKUP(AO$5,Coords[],3,FALSE))^2+(VLOOKUP($G14,Coords[],4,FALSE)-VLOOKUP(AO$5,Coords[],4,FALSE))^2)))</f>
        <v>1000</v>
      </c>
      <c r="AP14" s="10">
        <f>IF($G14=AP$5,1000,IF(AP$4=0,1000,SQRT((VLOOKUP($G14,Coords[],3,FALSE)-VLOOKUP(AP$5,Coords[],3,FALSE))^2+(VLOOKUP($G14,Coords[],4,FALSE)-VLOOKUP(AP$5,Coords[],4,FALSE))^2)))</f>
        <v>1000</v>
      </c>
      <c r="AQ14" s="10">
        <f>IF($G14=AQ$5,1000,IF(AQ$4=0,1000,SQRT((VLOOKUP($G14,Coords[],3,FALSE)-VLOOKUP(AQ$5,Coords[],3,FALSE))^2+(VLOOKUP($G14,Coords[],4,FALSE)-VLOOKUP(AQ$5,Coords[],4,FALSE))^2)))</f>
        <v>1000</v>
      </c>
      <c r="AR14" s="10">
        <f>IF($G14=AR$5,1000,IF(AR$4=0,1000,SQRT((VLOOKUP($G14,Coords[],3,FALSE)-VLOOKUP(AR$5,Coords[],3,FALSE))^2+(VLOOKUP($G14,Coords[],4,FALSE)-VLOOKUP(AR$5,Coords[],4,FALSE))^2)))</f>
        <v>1000</v>
      </c>
      <c r="AS14" s="10">
        <f>IF($G14=AS$5,1000,IF(AS$4=0,1000,SQRT((VLOOKUP($G14,Coords[],3,FALSE)-VLOOKUP(AS$5,Coords[],3,FALSE))^2+(VLOOKUP($G14,Coords[],4,FALSE)-VLOOKUP(AS$5,Coords[],4,FALSE))^2)))</f>
        <v>1000</v>
      </c>
      <c r="AT14" s="10">
        <f>IF($G14=AT$5,1000,IF(AT$4=0,1000,SQRT((VLOOKUP($G14,Coords[],3,FALSE)-VLOOKUP(AT$5,Coords[],3,FALSE))^2+(VLOOKUP($G14,Coords[],4,FALSE)-VLOOKUP(AT$5,Coords[],4,FALSE))^2)))</f>
        <v>1000</v>
      </c>
      <c r="AU14" s="10">
        <f>IF($G14=AU$5,1000,IF(AU$4=0,1000,SQRT((VLOOKUP($G14,Coords[],3,FALSE)-VLOOKUP(AU$5,Coords[],3,FALSE))^2+(VLOOKUP($G14,Coords[],4,FALSE)-VLOOKUP(AU$5,Coords[],4,FALSE))^2)))</f>
        <v>1000</v>
      </c>
      <c r="AV14" s="10">
        <f>IF($G14=AV$5,1000,IF(AV$4=0,1000,SQRT((VLOOKUP($G14,Coords[],3,FALSE)-VLOOKUP(AV$5,Coords[],3,FALSE))^2+(VLOOKUP($G14,Coords[],4,FALSE)-VLOOKUP(AV$5,Coords[],4,FALSE))^2)))</f>
        <v>1000</v>
      </c>
      <c r="AW14" s="10">
        <f>IF($G14=AW$5,1000,IF(AW$4=0,1000,SQRT((VLOOKUP($G14,Coords[],3,FALSE)-VLOOKUP(AW$5,Coords[],3,FALSE))^2+(VLOOKUP($G14,Coords[],4,FALSE)-VLOOKUP(AW$5,Coords[],4,FALSE))^2)))</f>
        <v>1000</v>
      </c>
      <c r="AX14" s="10">
        <f>IF($G14=AX$5,1000,IF(AX$4=0,1000,SQRT((VLOOKUP($G14,Coords[],3,FALSE)-VLOOKUP(AX$5,Coords[],3,FALSE))^2+(VLOOKUP($G14,Coords[],4,FALSE)-VLOOKUP(AX$5,Coords[],4,FALSE))^2)))</f>
        <v>1000</v>
      </c>
      <c r="AY14" s="10">
        <f>IF($G14=AY$5,1000,IF(AY$4=0,1000,SQRT((VLOOKUP($G14,Coords[],3,FALSE)-VLOOKUP(AY$5,Coords[],3,FALSE))^2+(VLOOKUP($G14,Coords[],4,FALSE)-VLOOKUP(AY$5,Coords[],4,FALSE))^2)))</f>
        <v>1000</v>
      </c>
      <c r="AZ14" s="10">
        <f>IF($G14=AZ$5,1000,IF(AZ$4=0,1000,SQRT((VLOOKUP($G14,Coords[],3,FALSE)-VLOOKUP(AZ$5,Coords[],3,FALSE))^2+(VLOOKUP($G14,Coords[],4,FALSE)-VLOOKUP(AZ$5,Coords[],4,FALSE))^2)))</f>
        <v>1000</v>
      </c>
      <c r="BA14" s="10">
        <f>IF($G14=BA$5,1000,IF(BA$4=0,1000,SQRT((VLOOKUP($G14,Coords[],3,FALSE)-VLOOKUP(BA$5,Coords[],3,FALSE))^2+(VLOOKUP($G14,Coords[],4,FALSE)-VLOOKUP(BA$5,Coords[],4,FALSE))^2)))</f>
        <v>1000</v>
      </c>
      <c r="BB14" s="10">
        <f>IF($G14=BB$5,1000,IF(BB$4=0,1000,SQRT((VLOOKUP($G14,Coords[],3,FALSE)-VLOOKUP(BB$5,Coords[],3,FALSE))^2+(VLOOKUP($G14,Coords[],4,FALSE)-VLOOKUP(BB$5,Coords[],4,FALSE))^2)))</f>
        <v>1000</v>
      </c>
      <c r="BC14" s="10">
        <f>IF($G14=BC$5,1000,IF(BC$4=0,1000,SQRT((VLOOKUP($G14,Coords[],3,FALSE)-VLOOKUP(BC$5,Coords[],3,FALSE))^2+(VLOOKUP($G14,Coords[],4,FALSE)-VLOOKUP(BC$5,Coords[],4,FALSE))^2)))</f>
        <v>1000</v>
      </c>
      <c r="BD14" s="10">
        <f>IF($G14=BD$5,1000,IF(BD$4=0,1000,SQRT((VLOOKUP($G14,Coords[],3,FALSE)-VLOOKUP(BD$5,Coords[],3,FALSE))^2+(VLOOKUP($G14,Coords[],4,FALSE)-VLOOKUP(BD$5,Coords[],4,FALSE))^2)))</f>
        <v>1000</v>
      </c>
      <c r="BE14" s="10">
        <f>IF($G14=BE$5,1000,IF(BE$4=0,1000,SQRT((VLOOKUP($G14,Coords[],3,FALSE)-VLOOKUP(BE$5,Coords[],3,FALSE))^2+(VLOOKUP($G14,Coords[],4,FALSE)-VLOOKUP(BE$5,Coords[],4,FALSE))^2)))</f>
        <v>1000</v>
      </c>
      <c r="BF14" s="10">
        <f>IF($G14=BF$5,1000,IF(BF$4=0,1000,SQRT((VLOOKUP($G14,Coords[],3,FALSE)-VLOOKUP(BF$5,Coords[],3,FALSE))^2+(VLOOKUP($G14,Coords[],4,FALSE)-VLOOKUP(BF$5,Coords[],4,FALSE))^2)))</f>
        <v>1000</v>
      </c>
      <c r="BG14" s="10">
        <f>IF($G14=BG$5,1000,IF(BG$4=0,1000,SQRT((VLOOKUP($G14,Coords[],3,FALSE)-VLOOKUP(BG$5,Coords[],3,FALSE))^2+(VLOOKUP($G14,Coords[],4,FALSE)-VLOOKUP(BG$5,Coords[],4,FALSE))^2)))</f>
        <v>1000</v>
      </c>
      <c r="BH14" s="10">
        <f>IF($G14=BH$5,1000,IF(BH$4=0,1000,SQRT((VLOOKUP($G14,Coords[],3,FALSE)-VLOOKUP(BH$5,Coords[],3,FALSE))^2+(VLOOKUP($G14,Coords[],4,FALSE)-VLOOKUP(BH$5,Coords[],4,FALSE))^2)))</f>
        <v>1000</v>
      </c>
      <c r="BI14" s="10">
        <f>IF($G14=BI$5,1000,IF(BI$4=0,1000,SQRT((VLOOKUP($G14,Coords[],3,FALSE)-VLOOKUP(BI$5,Coords[],3,FALSE))^2+(VLOOKUP($G14,Coords[],4,FALSE)-VLOOKUP(BI$5,Coords[],4,FALSE))^2)))</f>
        <v>1000</v>
      </c>
      <c r="BJ14" s="10">
        <f>IF($G14=BJ$5,1000,IF(BJ$4=0,1000,SQRT((VLOOKUP($G14,Coords[],3,FALSE)-VLOOKUP(BJ$5,Coords[],3,FALSE))^2+(VLOOKUP($G14,Coords[],4,FALSE)-VLOOKUP(BJ$5,Coords[],4,FALSE))^2)))</f>
        <v>1000</v>
      </c>
      <c r="BK14" s="10">
        <f>IF($G14=BK$5,1000,IF(BK$4=0,1000,SQRT((VLOOKUP($G14,Coords[],3,FALSE)-VLOOKUP(BK$5,Coords[],3,FALSE))^2+(VLOOKUP($G14,Coords[],4,FALSE)-VLOOKUP(BK$5,Coords[],4,FALSE))^2)))</f>
        <v>1000</v>
      </c>
      <c r="BL14" s="10">
        <f>IF($G14=BL$5,1000,IF(BL$4=0,1000,SQRT((VLOOKUP($G14,Coords[],3,FALSE)-VLOOKUP(BL$5,Coords[],3,FALSE))^2+(VLOOKUP($G14,Coords[],4,FALSE)-VLOOKUP(BL$5,Coords[],4,FALSE))^2)))</f>
        <v>1000</v>
      </c>
      <c r="BM14" s="10">
        <f>IF($G14=BM$5,1000,IF(BM$4=0,1000,SQRT((VLOOKUP($G14,Coords[],3,FALSE)-VLOOKUP(BM$5,Coords[],3,FALSE))^2+(VLOOKUP($G14,Coords[],4,FALSE)-VLOOKUP(BM$5,Coords[],4,FALSE))^2)))</f>
        <v>1000</v>
      </c>
      <c r="BN14" s="10">
        <f>IF($G14=BN$5,1000,IF(BN$4=0,1000,SQRT((VLOOKUP($G14,Coords[],3,FALSE)-VLOOKUP(BN$5,Coords[],3,FALSE))^2+(VLOOKUP($G14,Coords[],4,FALSE)-VLOOKUP(BN$5,Coords[],4,FALSE))^2)))</f>
        <v>1000</v>
      </c>
      <c r="BO14" s="10">
        <f>IF($G14=BO$5,1000,IF(BO$4=0,1000,SQRT((VLOOKUP($G14,Coords[],3,FALSE)-VLOOKUP(BO$5,Coords[],3,FALSE))^2+(VLOOKUP($G14,Coords[],4,FALSE)-VLOOKUP(BO$5,Coords[],4,FALSE))^2)))</f>
        <v>1000</v>
      </c>
      <c r="BP14" s="10">
        <f>IF($G14=BP$5,1000,IF(BP$4=0,1000,SQRT((VLOOKUP($G14,Coords[],3,FALSE)-VLOOKUP(BP$5,Coords[],3,FALSE))^2+(VLOOKUP($G14,Coords[],4,FALSE)-VLOOKUP(BP$5,Coords[],4,FALSE))^2)))</f>
        <v>1000</v>
      </c>
      <c r="BQ14" s="10">
        <f>IF($G14=BQ$5,1000,IF(BQ$4=0,1000,SQRT((VLOOKUP($G14,Coords[],3,FALSE)-VLOOKUP(BQ$5,Coords[],3,FALSE))^2+(VLOOKUP($G14,Coords[],4,FALSE)-VLOOKUP(BQ$5,Coords[],4,FALSE))^2)))</f>
        <v>1000</v>
      </c>
      <c r="BR14" s="10">
        <f>IF($G14=BR$5,1000,IF(BR$4=0,1000,SQRT((VLOOKUP($G14,Coords[],3,FALSE)-VLOOKUP(BR$5,Coords[],3,FALSE))^2+(VLOOKUP($G14,Coords[],4,FALSE)-VLOOKUP(BR$5,Coords[],4,FALSE))^2)))</f>
        <v>1000</v>
      </c>
      <c r="BS14" s="10">
        <f>IF($G14=BS$5,1000,IF(BS$4=0,1000,SQRT((VLOOKUP($G14,Coords[],3,FALSE)-VLOOKUP(BS$5,Coords[],3,FALSE))^2+(VLOOKUP($G14,Coords[],4,FALSE)-VLOOKUP(BS$5,Coords[],4,FALSE))^2)))</f>
        <v>1000</v>
      </c>
      <c r="BT14" s="10">
        <f>IF($G14=BT$5,1000,IF(BT$4=0,1000,SQRT((VLOOKUP($G14,Coords[],3,FALSE)-VLOOKUP(BT$5,Coords[],3,FALSE))^2+(VLOOKUP($G14,Coords[],4,FALSE)-VLOOKUP(BT$5,Coords[],4,FALSE))^2)))</f>
        <v>1000</v>
      </c>
      <c r="BU14" s="10">
        <f>IF($G14=BU$5,1000,IF(BU$4=0,1000,SQRT((VLOOKUP($G14,Coords[],3,FALSE)-VLOOKUP(BU$5,Coords[],3,FALSE))^2+(VLOOKUP($G14,Coords[],4,FALSE)-VLOOKUP(BU$5,Coords[],4,FALSE))^2)))</f>
        <v>1000</v>
      </c>
      <c r="BV14" s="10">
        <f>IF($G14=BV$5,1000,IF(BV$4=0,1000,SQRT((VLOOKUP($G14,Coords[],3,FALSE)-VLOOKUP(BV$5,Coords[],3,FALSE))^2+(VLOOKUP($G14,Coords[],4,FALSE)-VLOOKUP(BV$5,Coords[],4,FALSE))^2)))</f>
        <v>1000</v>
      </c>
      <c r="BW14" s="10">
        <f>IF($G14=BW$5,1000,IF(BW$4=0,1000,SQRT((VLOOKUP($G14,Coords[],3,FALSE)-VLOOKUP(BW$5,Coords[],3,FALSE))^2+(VLOOKUP($G14,Coords[],4,FALSE)-VLOOKUP(BW$5,Coords[],4,FALSE))^2)))</f>
        <v>1000</v>
      </c>
      <c r="BX14" s="10">
        <f>IF($G14=BX$5,1000,IF(BX$4=0,1000,SQRT((VLOOKUP($G14,Coords[],3,FALSE)-VLOOKUP(BX$5,Coords[],3,FALSE))^2+(VLOOKUP($G14,Coords[],4,FALSE)-VLOOKUP(BX$5,Coords[],4,FALSE))^2)))</f>
        <v>1000</v>
      </c>
      <c r="BY14" s="10">
        <f>IF($G14=BY$5,1000,IF(BY$4=0,1000,SQRT((VLOOKUP($G14,Coords[],3,FALSE)-VLOOKUP(BY$5,Coords[],3,FALSE))^2+(VLOOKUP($G14,Coords[],4,FALSE)-VLOOKUP(BY$5,Coords[],4,FALSE))^2)))</f>
        <v>1000</v>
      </c>
      <c r="BZ14" s="10">
        <f>IF($G14=BZ$5,1000,IF(BZ$4=0,1000,SQRT((VLOOKUP($G14,Coords[],3,FALSE)-VLOOKUP(BZ$5,Coords[],3,FALSE))^2+(VLOOKUP($G14,Coords[],4,FALSE)-VLOOKUP(BZ$5,Coords[],4,FALSE))^2)))</f>
        <v>1000</v>
      </c>
      <c r="CA14" s="10">
        <f>IF($G14=CA$5,1000,IF(CA$4=0,1000,SQRT((VLOOKUP($G14,Coords[],3,FALSE)-VLOOKUP(CA$5,Coords[],3,FALSE))^2+(VLOOKUP($G14,Coords[],4,FALSE)-VLOOKUP(CA$5,Coords[],4,FALSE))^2)))</f>
        <v>1000</v>
      </c>
      <c r="CB14" s="10">
        <f>IF($G14=CB$5,1000,IF(CB$4=0,1000,SQRT((VLOOKUP($G14,Coords[],3,FALSE)-VLOOKUP(CB$5,Coords[],3,FALSE))^2+(VLOOKUP($G14,Coords[],4,FALSE)-VLOOKUP(CB$5,Coords[],4,FALSE))^2)))</f>
        <v>1000</v>
      </c>
      <c r="CC14" s="10">
        <f>IF($G14=CC$5,1000,IF(CC$4=0,1000,SQRT((VLOOKUP($G14,Coords[],3,FALSE)-VLOOKUP(CC$5,Coords[],3,FALSE))^2+(VLOOKUP($G14,Coords[],4,FALSE)-VLOOKUP(CC$5,Coords[],4,FALSE))^2)))</f>
        <v>1000</v>
      </c>
      <c r="CD14" s="10">
        <f>IF($G14=CD$5,1000,IF(CD$4=0,1000,SQRT((VLOOKUP($G14,Coords[],3,FALSE)-VLOOKUP(CD$5,Coords[],3,FALSE))^2+(VLOOKUP($G14,Coords[],4,FALSE)-VLOOKUP(CD$5,Coords[],4,FALSE))^2)))</f>
        <v>1000</v>
      </c>
      <c r="CE14" s="10">
        <f>IF($G14=CE$5,1000,IF(CE$4=0,1000,SQRT((VLOOKUP($G14,Coords[],3,FALSE)-VLOOKUP(CE$5,Coords[],3,FALSE))^2+(VLOOKUP($G14,Coords[],4,FALSE)-VLOOKUP(CE$5,Coords[],4,FALSE))^2)))</f>
        <v>1000</v>
      </c>
      <c r="CF14" s="4">
        <v>9</v>
      </c>
      <c r="CH14" s="5">
        <f>IF(E14=1,0,VLOOKUP($G14,$G$6:$CE$82,HLOOKUP(MIN(H14:CE14),$H14:$CE$82,((COUNT($G$6:$G$81)+2)-$G14),FALSE)+1,FALSE)*B14)</f>
        <v>0</v>
      </c>
      <c r="CI14" s="9">
        <f>VLOOKUP($G14,$G$6:$CE$82,HLOOKUP(MIN(H14:CE14),$H14:$CE$82,((COUNT($G$6:$G$81)+2)-$G14),FALSE)+1,FALSE)</f>
        <v>1000</v>
      </c>
      <c r="CJ14" s="7">
        <f>HLOOKUP(MIN(H14:CE14),$H14:$CE$82,((COUNT($G$6:$G$81)+2)-$G14),FALSE)</f>
        <v>1</v>
      </c>
      <c r="CK14">
        <f>CI14*Coords[[#This Row],[Demand]]</f>
        <v>0</v>
      </c>
    </row>
    <row r="15" spans="1:89" x14ac:dyDescent="0.25">
      <c r="A15" s="8">
        <v>10</v>
      </c>
      <c r="B15" s="3"/>
      <c r="C15" s="3"/>
      <c r="D15" s="3"/>
      <c r="E15" s="3"/>
      <c r="G15" s="4">
        <v>10</v>
      </c>
      <c r="H15" s="10">
        <f>IF($G15=H$5,1000,IF(H$4=0,1000,SQRT((VLOOKUP($G15,Coords[],3,FALSE)-VLOOKUP(H$5,Coords[],3,FALSE))^2+(VLOOKUP($G15,Coords[],4,FALSE)-VLOOKUP(H$5,Coords[],4,FALSE))^2)))</f>
        <v>1000</v>
      </c>
      <c r="I15" s="10">
        <f>IF($G15=I$5,1000,IF(I$4=0,1000,SQRT((VLOOKUP($G15,Coords[],3,FALSE)-VLOOKUP(I$5,Coords[],3,FALSE))^2+(VLOOKUP($G15,Coords[],4,FALSE)-VLOOKUP(I$5,Coords[],4,FALSE))^2)))</f>
        <v>1000</v>
      </c>
      <c r="J15" s="10">
        <f>IF($G15=J$5,1000,IF(J$4=0,1000,SQRT((VLOOKUP($G15,Coords[],3,FALSE)-VLOOKUP(J$5,Coords[],3,FALSE))^2+(VLOOKUP($G15,Coords[],4,FALSE)-VLOOKUP(J$5,Coords[],4,FALSE))^2)))</f>
        <v>1000</v>
      </c>
      <c r="K15" s="10">
        <f>IF($G15=K$5,1000,IF(K$4=0,1000,SQRT((VLOOKUP($G15,Coords[],3,FALSE)-VLOOKUP(K$5,Coords[],3,FALSE))^2+(VLOOKUP($G15,Coords[],4,FALSE)-VLOOKUP(K$5,Coords[],4,FALSE))^2)))</f>
        <v>1000</v>
      </c>
      <c r="L15" s="10">
        <f>IF($G15=L$5,1000,IF(L$4=0,1000,SQRT((VLOOKUP($G15,Coords[],3,FALSE)-VLOOKUP(L$5,Coords[],3,FALSE))^2+(VLOOKUP($G15,Coords[],4,FALSE)-VLOOKUP(L$5,Coords[],4,FALSE))^2)))</f>
        <v>1000</v>
      </c>
      <c r="M15" s="10">
        <f>IF($G15=M$5,1000,IF(M$4=0,1000,SQRT((VLOOKUP($G15,Coords[],3,FALSE)-VLOOKUP(M$5,Coords[],3,FALSE))^2+(VLOOKUP($G15,Coords[],4,FALSE)-VLOOKUP(M$5,Coords[],4,FALSE))^2)))</f>
        <v>1000</v>
      </c>
      <c r="N15" s="10">
        <f>IF($G15=N$5,1000,IF(N$4=0,1000,SQRT((VLOOKUP($G15,Coords[],3,FALSE)-VLOOKUP(N$5,Coords[],3,FALSE))^2+(VLOOKUP($G15,Coords[],4,FALSE)-VLOOKUP(N$5,Coords[],4,FALSE))^2)))</f>
        <v>1000</v>
      </c>
      <c r="O15" s="10">
        <f>IF($G15=O$5,1000,IF(O$4=0,1000,SQRT((VLOOKUP($G15,Coords[],3,FALSE)-VLOOKUP(O$5,Coords[],3,FALSE))^2+(VLOOKUP($G15,Coords[],4,FALSE)-VLOOKUP(O$5,Coords[],4,FALSE))^2)))</f>
        <v>1000</v>
      </c>
      <c r="P15" s="10">
        <f>IF($G15=P$5,1000,IF(P$4=0,1000,SQRT((VLOOKUP($G15,Coords[],3,FALSE)-VLOOKUP(P$5,Coords[],3,FALSE))^2+(VLOOKUP($G15,Coords[],4,FALSE)-VLOOKUP(P$5,Coords[],4,FALSE))^2)))</f>
        <v>1000</v>
      </c>
      <c r="Q15" s="10">
        <f>IF($G15=Q$5,1000,IF(Q$4=0,1000,SQRT((VLOOKUP($G15,Coords[],3,FALSE)-VLOOKUP(Q$5,Coords[],3,FALSE))^2+(VLOOKUP($G15,Coords[],4,FALSE)-VLOOKUP(Q$5,Coords[],4,FALSE))^2)))</f>
        <v>1000</v>
      </c>
      <c r="R15" s="10">
        <f>IF($G15=R$5,1000,IF(R$4=0,1000,SQRT((VLOOKUP($G15,Coords[],3,FALSE)-VLOOKUP(R$5,Coords[],3,FALSE))^2+(VLOOKUP($G15,Coords[],4,FALSE)-VLOOKUP(R$5,Coords[],4,FALSE))^2)))</f>
        <v>1000</v>
      </c>
      <c r="S15" s="10">
        <f>IF($G15=S$5,1000,IF(S$4=0,1000,SQRT((VLOOKUP($G15,Coords[],3,FALSE)-VLOOKUP(S$5,Coords[],3,FALSE))^2+(VLOOKUP($G15,Coords[],4,FALSE)-VLOOKUP(S$5,Coords[],4,FALSE))^2)))</f>
        <v>1000</v>
      </c>
      <c r="T15" s="10">
        <f>IF($G15=T$5,1000,IF(T$4=0,1000,SQRT((VLOOKUP($G15,Coords[],3,FALSE)-VLOOKUP(T$5,Coords[],3,FALSE))^2+(VLOOKUP($G15,Coords[],4,FALSE)-VLOOKUP(T$5,Coords[],4,FALSE))^2)))</f>
        <v>1000</v>
      </c>
      <c r="U15" s="10">
        <f>IF($G15=U$5,1000,IF(U$4=0,1000,SQRT((VLOOKUP($G15,Coords[],3,FALSE)-VLOOKUP(U$5,Coords[],3,FALSE))^2+(VLOOKUP($G15,Coords[],4,FALSE)-VLOOKUP(U$5,Coords[],4,FALSE))^2)))</f>
        <v>1000</v>
      </c>
      <c r="V15" s="10">
        <f>IF($G15=V$5,1000,IF(V$4=0,1000,SQRT((VLOOKUP($G15,Coords[],3,FALSE)-VLOOKUP(V$5,Coords[],3,FALSE))^2+(VLOOKUP($G15,Coords[],4,FALSE)-VLOOKUP(V$5,Coords[],4,FALSE))^2)))</f>
        <v>1000</v>
      </c>
      <c r="W15" s="10">
        <f>IF($G15=W$5,1000,IF(W$4=0,1000,SQRT((VLOOKUP($G15,Coords[],3,FALSE)-VLOOKUP(W$5,Coords[],3,FALSE))^2+(VLOOKUP($G15,Coords[],4,FALSE)-VLOOKUP(W$5,Coords[],4,FALSE))^2)))</f>
        <v>1000</v>
      </c>
      <c r="X15" s="10">
        <f>IF($G15=X$5,1000,IF(X$4=0,1000,SQRT((VLOOKUP($G15,Coords[],3,FALSE)-VLOOKUP(X$5,Coords[],3,FALSE))^2+(VLOOKUP($G15,Coords[],4,FALSE)-VLOOKUP(X$5,Coords[],4,FALSE))^2)))</f>
        <v>1000</v>
      </c>
      <c r="Y15" s="10">
        <f>IF($G15=Y$5,1000,IF(Y$4=0,1000,SQRT((VLOOKUP($G15,Coords[],3,FALSE)-VLOOKUP(Y$5,Coords[],3,FALSE))^2+(VLOOKUP($G15,Coords[],4,FALSE)-VLOOKUP(Y$5,Coords[],4,FALSE))^2)))</f>
        <v>1000</v>
      </c>
      <c r="Z15" s="10">
        <f>IF($G15=Z$5,1000,IF(Z$4=0,1000,SQRT((VLOOKUP($G15,Coords[],3,FALSE)-VLOOKUP(Z$5,Coords[],3,FALSE))^2+(VLOOKUP($G15,Coords[],4,FALSE)-VLOOKUP(Z$5,Coords[],4,FALSE))^2)))</f>
        <v>1000</v>
      </c>
      <c r="AA15" s="10">
        <f>IF($G15=AA$5,1000,IF(AA$4=0,1000,SQRT((VLOOKUP($G15,Coords[],3,FALSE)-VLOOKUP(AA$5,Coords[],3,FALSE))^2+(VLOOKUP($G15,Coords[],4,FALSE)-VLOOKUP(AA$5,Coords[],4,FALSE))^2)))</f>
        <v>1000</v>
      </c>
      <c r="AB15" s="10">
        <f>IF($G15=AB$5,1000,IF(AB$4=0,1000,SQRT((VLOOKUP($G15,Coords[],3,FALSE)-VLOOKUP(AB$5,Coords[],3,FALSE))^2+(VLOOKUP($G15,Coords[],4,FALSE)-VLOOKUP(AB$5,Coords[],4,FALSE))^2)))</f>
        <v>1000</v>
      </c>
      <c r="AC15" s="10">
        <f>IF($G15=AC$5,1000,IF(AC$4=0,1000,SQRT((VLOOKUP($G15,Coords[],3,FALSE)-VLOOKUP(AC$5,Coords[],3,FALSE))^2+(VLOOKUP($G15,Coords[],4,FALSE)-VLOOKUP(AC$5,Coords[],4,FALSE))^2)))</f>
        <v>1000</v>
      </c>
      <c r="AD15" s="10">
        <f>IF($G15=AD$5,1000,IF(AD$4=0,1000,SQRT((VLOOKUP($G15,Coords[],3,FALSE)-VLOOKUP(AD$5,Coords[],3,FALSE))^2+(VLOOKUP($G15,Coords[],4,FALSE)-VLOOKUP(AD$5,Coords[],4,FALSE))^2)))</f>
        <v>1000</v>
      </c>
      <c r="AE15" s="10">
        <f>IF($G15=AE$5,1000,IF(AE$4=0,1000,SQRT((VLOOKUP($G15,Coords[],3,FALSE)-VLOOKUP(AE$5,Coords[],3,FALSE))^2+(VLOOKUP($G15,Coords[],4,FALSE)-VLOOKUP(AE$5,Coords[],4,FALSE))^2)))</f>
        <v>1000</v>
      </c>
      <c r="AF15" s="10">
        <f>IF($G15=AF$5,1000,IF(AF$4=0,1000,SQRT((VLOOKUP($G15,Coords[],3,FALSE)-VLOOKUP(AF$5,Coords[],3,FALSE))^2+(VLOOKUP($G15,Coords[],4,FALSE)-VLOOKUP(AF$5,Coords[],4,FALSE))^2)))</f>
        <v>1000</v>
      </c>
      <c r="AG15" s="10">
        <f>IF($G15=AG$5,1000,IF(AG$4=0,1000,SQRT((VLOOKUP($G15,Coords[],3,FALSE)-VLOOKUP(AG$5,Coords[],3,FALSE))^2+(VLOOKUP($G15,Coords[],4,FALSE)-VLOOKUP(AG$5,Coords[],4,FALSE))^2)))</f>
        <v>1000</v>
      </c>
      <c r="AH15" s="10">
        <f>IF($G15=AH$5,1000,IF(AH$4=0,1000,SQRT((VLOOKUP($G15,Coords[],3,FALSE)-VLOOKUP(AH$5,Coords[],3,FALSE))^2+(VLOOKUP($G15,Coords[],4,FALSE)-VLOOKUP(AH$5,Coords[],4,FALSE))^2)))</f>
        <v>1000</v>
      </c>
      <c r="AI15" s="10">
        <f>IF($G15=AI$5,1000,IF(AI$4=0,1000,SQRT((VLOOKUP($G15,Coords[],3,FALSE)-VLOOKUP(AI$5,Coords[],3,FALSE))^2+(VLOOKUP($G15,Coords[],4,FALSE)-VLOOKUP(AI$5,Coords[],4,FALSE))^2)))</f>
        <v>1000</v>
      </c>
      <c r="AJ15" s="10">
        <f>IF($G15=AJ$5,1000,IF(AJ$4=0,1000,SQRT((VLOOKUP($G15,Coords[],3,FALSE)-VLOOKUP(AJ$5,Coords[],3,FALSE))^2+(VLOOKUP($G15,Coords[],4,FALSE)-VLOOKUP(AJ$5,Coords[],4,FALSE))^2)))</f>
        <v>1000</v>
      </c>
      <c r="AK15" s="10">
        <f>IF($G15=AK$5,1000,IF(AK$4=0,1000,SQRT((VLOOKUP($G15,Coords[],3,FALSE)-VLOOKUP(AK$5,Coords[],3,FALSE))^2+(VLOOKUP($G15,Coords[],4,FALSE)-VLOOKUP(AK$5,Coords[],4,FALSE))^2)))</f>
        <v>1000</v>
      </c>
      <c r="AL15" s="10">
        <f>IF($G15=AL$5,1000,IF(AL$4=0,1000,SQRT((VLOOKUP($G15,Coords[],3,FALSE)-VLOOKUP(AL$5,Coords[],3,FALSE))^2+(VLOOKUP($G15,Coords[],4,FALSE)-VLOOKUP(AL$5,Coords[],4,FALSE))^2)))</f>
        <v>1000</v>
      </c>
      <c r="AM15" s="10">
        <f>IF($G15=AM$5,1000,IF(AM$4=0,1000,SQRT((VLOOKUP($G15,Coords[],3,FALSE)-VLOOKUP(AM$5,Coords[],3,FALSE))^2+(VLOOKUP($G15,Coords[],4,FALSE)-VLOOKUP(AM$5,Coords[],4,FALSE))^2)))</f>
        <v>1000</v>
      </c>
      <c r="AN15" s="10">
        <f>IF($G15=AN$5,1000,IF(AN$4=0,1000,SQRT((VLOOKUP($G15,Coords[],3,FALSE)-VLOOKUP(AN$5,Coords[],3,FALSE))^2+(VLOOKUP($G15,Coords[],4,FALSE)-VLOOKUP(AN$5,Coords[],4,FALSE))^2)))</f>
        <v>1000</v>
      </c>
      <c r="AO15" s="10">
        <f>IF($G15=AO$5,1000,IF(AO$4=0,1000,SQRT((VLOOKUP($G15,Coords[],3,FALSE)-VLOOKUP(AO$5,Coords[],3,FALSE))^2+(VLOOKUP($G15,Coords[],4,FALSE)-VLOOKUP(AO$5,Coords[],4,FALSE))^2)))</f>
        <v>1000</v>
      </c>
      <c r="AP15" s="10">
        <f>IF($G15=AP$5,1000,IF(AP$4=0,1000,SQRT((VLOOKUP($G15,Coords[],3,FALSE)-VLOOKUP(AP$5,Coords[],3,FALSE))^2+(VLOOKUP($G15,Coords[],4,FALSE)-VLOOKUP(AP$5,Coords[],4,FALSE))^2)))</f>
        <v>1000</v>
      </c>
      <c r="AQ15" s="10">
        <f>IF($G15=AQ$5,1000,IF(AQ$4=0,1000,SQRT((VLOOKUP($G15,Coords[],3,FALSE)-VLOOKUP(AQ$5,Coords[],3,FALSE))^2+(VLOOKUP($G15,Coords[],4,FALSE)-VLOOKUP(AQ$5,Coords[],4,FALSE))^2)))</f>
        <v>1000</v>
      </c>
      <c r="AR15" s="10">
        <f>IF($G15=AR$5,1000,IF(AR$4=0,1000,SQRT((VLOOKUP($G15,Coords[],3,FALSE)-VLOOKUP(AR$5,Coords[],3,FALSE))^2+(VLOOKUP($G15,Coords[],4,FALSE)-VLOOKUP(AR$5,Coords[],4,FALSE))^2)))</f>
        <v>1000</v>
      </c>
      <c r="AS15" s="10">
        <f>IF($G15=AS$5,1000,IF(AS$4=0,1000,SQRT((VLOOKUP($G15,Coords[],3,FALSE)-VLOOKUP(AS$5,Coords[],3,FALSE))^2+(VLOOKUP($G15,Coords[],4,FALSE)-VLOOKUP(AS$5,Coords[],4,FALSE))^2)))</f>
        <v>1000</v>
      </c>
      <c r="AT15" s="10">
        <f>IF($G15=AT$5,1000,IF(AT$4=0,1000,SQRT((VLOOKUP($G15,Coords[],3,FALSE)-VLOOKUP(AT$5,Coords[],3,FALSE))^2+(VLOOKUP($G15,Coords[],4,FALSE)-VLOOKUP(AT$5,Coords[],4,FALSE))^2)))</f>
        <v>1000</v>
      </c>
      <c r="AU15" s="10">
        <f>IF($G15=AU$5,1000,IF(AU$4=0,1000,SQRT((VLOOKUP($G15,Coords[],3,FALSE)-VLOOKUP(AU$5,Coords[],3,FALSE))^2+(VLOOKUP($G15,Coords[],4,FALSE)-VLOOKUP(AU$5,Coords[],4,FALSE))^2)))</f>
        <v>1000</v>
      </c>
      <c r="AV15" s="10">
        <f>IF($G15=AV$5,1000,IF(AV$4=0,1000,SQRT((VLOOKUP($G15,Coords[],3,FALSE)-VLOOKUP(AV$5,Coords[],3,FALSE))^2+(VLOOKUP($G15,Coords[],4,FALSE)-VLOOKUP(AV$5,Coords[],4,FALSE))^2)))</f>
        <v>1000</v>
      </c>
      <c r="AW15" s="10">
        <f>IF($G15=AW$5,1000,IF(AW$4=0,1000,SQRT((VLOOKUP($G15,Coords[],3,FALSE)-VLOOKUP(AW$5,Coords[],3,FALSE))^2+(VLOOKUP($G15,Coords[],4,FALSE)-VLOOKUP(AW$5,Coords[],4,FALSE))^2)))</f>
        <v>1000</v>
      </c>
      <c r="AX15" s="10">
        <f>IF($G15=AX$5,1000,IF(AX$4=0,1000,SQRT((VLOOKUP($G15,Coords[],3,FALSE)-VLOOKUP(AX$5,Coords[],3,FALSE))^2+(VLOOKUP($G15,Coords[],4,FALSE)-VLOOKUP(AX$5,Coords[],4,FALSE))^2)))</f>
        <v>1000</v>
      </c>
      <c r="AY15" s="10">
        <f>IF($G15=AY$5,1000,IF(AY$4=0,1000,SQRT((VLOOKUP($G15,Coords[],3,FALSE)-VLOOKUP(AY$5,Coords[],3,FALSE))^2+(VLOOKUP($G15,Coords[],4,FALSE)-VLOOKUP(AY$5,Coords[],4,FALSE))^2)))</f>
        <v>1000</v>
      </c>
      <c r="AZ15" s="10">
        <f>IF($G15=AZ$5,1000,IF(AZ$4=0,1000,SQRT((VLOOKUP($G15,Coords[],3,FALSE)-VLOOKUP(AZ$5,Coords[],3,FALSE))^2+(VLOOKUP($G15,Coords[],4,FALSE)-VLOOKUP(AZ$5,Coords[],4,FALSE))^2)))</f>
        <v>1000</v>
      </c>
      <c r="BA15" s="10">
        <f>IF($G15=BA$5,1000,IF(BA$4=0,1000,SQRT((VLOOKUP($G15,Coords[],3,FALSE)-VLOOKUP(BA$5,Coords[],3,FALSE))^2+(VLOOKUP($G15,Coords[],4,FALSE)-VLOOKUP(BA$5,Coords[],4,FALSE))^2)))</f>
        <v>1000</v>
      </c>
      <c r="BB15" s="10">
        <f>IF($G15=BB$5,1000,IF(BB$4=0,1000,SQRT((VLOOKUP($G15,Coords[],3,FALSE)-VLOOKUP(BB$5,Coords[],3,FALSE))^2+(VLOOKUP($G15,Coords[],4,FALSE)-VLOOKUP(BB$5,Coords[],4,FALSE))^2)))</f>
        <v>1000</v>
      </c>
      <c r="BC15" s="10">
        <f>IF($G15=BC$5,1000,IF(BC$4=0,1000,SQRT((VLOOKUP($G15,Coords[],3,FALSE)-VLOOKUP(BC$5,Coords[],3,FALSE))^2+(VLOOKUP($G15,Coords[],4,FALSE)-VLOOKUP(BC$5,Coords[],4,FALSE))^2)))</f>
        <v>1000</v>
      </c>
      <c r="BD15" s="10">
        <f>IF($G15=BD$5,1000,IF(BD$4=0,1000,SQRT((VLOOKUP($G15,Coords[],3,FALSE)-VLOOKUP(BD$5,Coords[],3,FALSE))^2+(VLOOKUP($G15,Coords[],4,FALSE)-VLOOKUP(BD$5,Coords[],4,FALSE))^2)))</f>
        <v>1000</v>
      </c>
      <c r="BE15" s="10">
        <f>IF($G15=BE$5,1000,IF(BE$4=0,1000,SQRT((VLOOKUP($G15,Coords[],3,FALSE)-VLOOKUP(BE$5,Coords[],3,FALSE))^2+(VLOOKUP($G15,Coords[],4,FALSE)-VLOOKUP(BE$5,Coords[],4,FALSE))^2)))</f>
        <v>1000</v>
      </c>
      <c r="BF15" s="10">
        <f>IF($G15=BF$5,1000,IF(BF$4=0,1000,SQRT((VLOOKUP($G15,Coords[],3,FALSE)-VLOOKUP(BF$5,Coords[],3,FALSE))^2+(VLOOKUP($G15,Coords[],4,FALSE)-VLOOKUP(BF$5,Coords[],4,FALSE))^2)))</f>
        <v>1000</v>
      </c>
      <c r="BG15" s="10">
        <f>IF($G15=BG$5,1000,IF(BG$4=0,1000,SQRT((VLOOKUP($G15,Coords[],3,FALSE)-VLOOKUP(BG$5,Coords[],3,FALSE))^2+(VLOOKUP($G15,Coords[],4,FALSE)-VLOOKUP(BG$5,Coords[],4,FALSE))^2)))</f>
        <v>1000</v>
      </c>
      <c r="BH15" s="10">
        <f>IF($G15=BH$5,1000,IF(BH$4=0,1000,SQRT((VLOOKUP($G15,Coords[],3,FALSE)-VLOOKUP(BH$5,Coords[],3,FALSE))^2+(VLOOKUP($G15,Coords[],4,FALSE)-VLOOKUP(BH$5,Coords[],4,FALSE))^2)))</f>
        <v>1000</v>
      </c>
      <c r="BI15" s="10">
        <f>IF($G15=BI$5,1000,IF(BI$4=0,1000,SQRT((VLOOKUP($G15,Coords[],3,FALSE)-VLOOKUP(BI$5,Coords[],3,FALSE))^2+(VLOOKUP($G15,Coords[],4,FALSE)-VLOOKUP(BI$5,Coords[],4,FALSE))^2)))</f>
        <v>1000</v>
      </c>
      <c r="BJ15" s="10">
        <f>IF($G15=BJ$5,1000,IF(BJ$4=0,1000,SQRT((VLOOKUP($G15,Coords[],3,FALSE)-VLOOKUP(BJ$5,Coords[],3,FALSE))^2+(VLOOKUP($G15,Coords[],4,FALSE)-VLOOKUP(BJ$5,Coords[],4,FALSE))^2)))</f>
        <v>1000</v>
      </c>
      <c r="BK15" s="10">
        <f>IF($G15=BK$5,1000,IF(BK$4=0,1000,SQRT((VLOOKUP($G15,Coords[],3,FALSE)-VLOOKUP(BK$5,Coords[],3,FALSE))^2+(VLOOKUP($G15,Coords[],4,FALSE)-VLOOKUP(BK$5,Coords[],4,FALSE))^2)))</f>
        <v>1000</v>
      </c>
      <c r="BL15" s="10">
        <f>IF($G15=BL$5,1000,IF(BL$4=0,1000,SQRT((VLOOKUP($G15,Coords[],3,FALSE)-VLOOKUP(BL$5,Coords[],3,FALSE))^2+(VLOOKUP($G15,Coords[],4,FALSE)-VLOOKUP(BL$5,Coords[],4,FALSE))^2)))</f>
        <v>1000</v>
      </c>
      <c r="BM15" s="10">
        <f>IF($G15=BM$5,1000,IF(BM$4=0,1000,SQRT((VLOOKUP($G15,Coords[],3,FALSE)-VLOOKUP(BM$5,Coords[],3,FALSE))^2+(VLOOKUP($G15,Coords[],4,FALSE)-VLOOKUP(BM$5,Coords[],4,FALSE))^2)))</f>
        <v>1000</v>
      </c>
      <c r="BN15" s="10">
        <f>IF($G15=BN$5,1000,IF(BN$4=0,1000,SQRT((VLOOKUP($G15,Coords[],3,FALSE)-VLOOKUP(BN$5,Coords[],3,FALSE))^2+(VLOOKUP($G15,Coords[],4,FALSE)-VLOOKUP(BN$5,Coords[],4,FALSE))^2)))</f>
        <v>1000</v>
      </c>
      <c r="BO15" s="10">
        <f>IF($G15=BO$5,1000,IF(BO$4=0,1000,SQRT((VLOOKUP($G15,Coords[],3,FALSE)-VLOOKUP(BO$5,Coords[],3,FALSE))^2+(VLOOKUP($G15,Coords[],4,FALSE)-VLOOKUP(BO$5,Coords[],4,FALSE))^2)))</f>
        <v>1000</v>
      </c>
      <c r="BP15" s="10">
        <f>IF($G15=BP$5,1000,IF(BP$4=0,1000,SQRT((VLOOKUP($G15,Coords[],3,FALSE)-VLOOKUP(BP$5,Coords[],3,FALSE))^2+(VLOOKUP($G15,Coords[],4,FALSE)-VLOOKUP(BP$5,Coords[],4,FALSE))^2)))</f>
        <v>1000</v>
      </c>
      <c r="BQ15" s="10">
        <f>IF($G15=BQ$5,1000,IF(BQ$4=0,1000,SQRT((VLOOKUP($G15,Coords[],3,FALSE)-VLOOKUP(BQ$5,Coords[],3,FALSE))^2+(VLOOKUP($G15,Coords[],4,FALSE)-VLOOKUP(BQ$5,Coords[],4,FALSE))^2)))</f>
        <v>1000</v>
      </c>
      <c r="BR15" s="10">
        <f>IF($G15=BR$5,1000,IF(BR$4=0,1000,SQRT((VLOOKUP($G15,Coords[],3,FALSE)-VLOOKUP(BR$5,Coords[],3,FALSE))^2+(VLOOKUP($G15,Coords[],4,FALSE)-VLOOKUP(BR$5,Coords[],4,FALSE))^2)))</f>
        <v>1000</v>
      </c>
      <c r="BS15" s="10">
        <f>IF($G15=BS$5,1000,IF(BS$4=0,1000,SQRT((VLOOKUP($G15,Coords[],3,FALSE)-VLOOKUP(BS$5,Coords[],3,FALSE))^2+(VLOOKUP($G15,Coords[],4,FALSE)-VLOOKUP(BS$5,Coords[],4,FALSE))^2)))</f>
        <v>1000</v>
      </c>
      <c r="BT15" s="10">
        <f>IF($G15=BT$5,1000,IF(BT$4=0,1000,SQRT((VLOOKUP($G15,Coords[],3,FALSE)-VLOOKUP(BT$5,Coords[],3,FALSE))^2+(VLOOKUP($G15,Coords[],4,FALSE)-VLOOKUP(BT$5,Coords[],4,FALSE))^2)))</f>
        <v>1000</v>
      </c>
      <c r="BU15" s="10">
        <f>IF($G15=BU$5,1000,IF(BU$4=0,1000,SQRT((VLOOKUP($G15,Coords[],3,FALSE)-VLOOKUP(BU$5,Coords[],3,FALSE))^2+(VLOOKUP($G15,Coords[],4,FALSE)-VLOOKUP(BU$5,Coords[],4,FALSE))^2)))</f>
        <v>1000</v>
      </c>
      <c r="BV15" s="10">
        <f>IF($G15=BV$5,1000,IF(BV$4=0,1000,SQRT((VLOOKUP($G15,Coords[],3,FALSE)-VLOOKUP(BV$5,Coords[],3,FALSE))^2+(VLOOKUP($G15,Coords[],4,FALSE)-VLOOKUP(BV$5,Coords[],4,FALSE))^2)))</f>
        <v>1000</v>
      </c>
      <c r="BW15" s="10">
        <f>IF($G15=BW$5,1000,IF(BW$4=0,1000,SQRT((VLOOKUP($G15,Coords[],3,FALSE)-VLOOKUP(BW$5,Coords[],3,FALSE))^2+(VLOOKUP($G15,Coords[],4,FALSE)-VLOOKUP(BW$5,Coords[],4,FALSE))^2)))</f>
        <v>1000</v>
      </c>
      <c r="BX15" s="10">
        <f>IF($G15=BX$5,1000,IF(BX$4=0,1000,SQRT((VLOOKUP($G15,Coords[],3,FALSE)-VLOOKUP(BX$5,Coords[],3,FALSE))^2+(VLOOKUP($G15,Coords[],4,FALSE)-VLOOKUP(BX$5,Coords[],4,FALSE))^2)))</f>
        <v>1000</v>
      </c>
      <c r="BY15" s="10">
        <f>IF($G15=BY$5,1000,IF(BY$4=0,1000,SQRT((VLOOKUP($G15,Coords[],3,FALSE)-VLOOKUP(BY$5,Coords[],3,FALSE))^2+(VLOOKUP($G15,Coords[],4,FALSE)-VLOOKUP(BY$5,Coords[],4,FALSE))^2)))</f>
        <v>1000</v>
      </c>
      <c r="BZ15" s="10">
        <f>IF($G15=BZ$5,1000,IF(BZ$4=0,1000,SQRT((VLOOKUP($G15,Coords[],3,FALSE)-VLOOKUP(BZ$5,Coords[],3,FALSE))^2+(VLOOKUP($G15,Coords[],4,FALSE)-VLOOKUP(BZ$5,Coords[],4,FALSE))^2)))</f>
        <v>1000</v>
      </c>
      <c r="CA15" s="10">
        <f>IF($G15=CA$5,1000,IF(CA$4=0,1000,SQRT((VLOOKUP($G15,Coords[],3,FALSE)-VLOOKUP(CA$5,Coords[],3,FALSE))^2+(VLOOKUP($G15,Coords[],4,FALSE)-VLOOKUP(CA$5,Coords[],4,FALSE))^2)))</f>
        <v>1000</v>
      </c>
      <c r="CB15" s="10">
        <f>IF($G15=CB$5,1000,IF(CB$4=0,1000,SQRT((VLOOKUP($G15,Coords[],3,FALSE)-VLOOKUP(CB$5,Coords[],3,FALSE))^2+(VLOOKUP($G15,Coords[],4,FALSE)-VLOOKUP(CB$5,Coords[],4,FALSE))^2)))</f>
        <v>1000</v>
      </c>
      <c r="CC15" s="10">
        <f>IF($G15=CC$5,1000,IF(CC$4=0,1000,SQRT((VLOOKUP($G15,Coords[],3,FALSE)-VLOOKUP(CC$5,Coords[],3,FALSE))^2+(VLOOKUP($G15,Coords[],4,FALSE)-VLOOKUP(CC$5,Coords[],4,FALSE))^2)))</f>
        <v>1000</v>
      </c>
      <c r="CD15" s="10">
        <f>IF($G15=CD$5,1000,IF(CD$4=0,1000,SQRT((VLOOKUP($G15,Coords[],3,FALSE)-VLOOKUP(CD$5,Coords[],3,FALSE))^2+(VLOOKUP($G15,Coords[],4,FALSE)-VLOOKUP(CD$5,Coords[],4,FALSE))^2)))</f>
        <v>1000</v>
      </c>
      <c r="CE15" s="10">
        <f>IF($G15=CE$5,1000,IF(CE$4=0,1000,SQRT((VLOOKUP($G15,Coords[],3,FALSE)-VLOOKUP(CE$5,Coords[],3,FALSE))^2+(VLOOKUP($G15,Coords[],4,FALSE)-VLOOKUP(CE$5,Coords[],4,FALSE))^2)))</f>
        <v>1000</v>
      </c>
      <c r="CF15" s="4">
        <v>10</v>
      </c>
      <c r="CH15" s="5">
        <f>IF(E15=1,0,VLOOKUP($G15,$G$6:$CE$82,HLOOKUP(MIN(H15:CE15),$H15:$CE$82,((COUNT($G$6:$G$81)+2)-$G15),FALSE)+1,FALSE)*B15)</f>
        <v>0</v>
      </c>
      <c r="CI15" s="9">
        <f>VLOOKUP($G15,$G$6:$CE$82,HLOOKUP(MIN(H15:CE15),$H15:$CE$82,((COUNT($G$6:$G$81)+2)-$G15),FALSE)+1,FALSE)</f>
        <v>1000</v>
      </c>
      <c r="CJ15" s="7">
        <f>HLOOKUP(MIN(H15:CE15),$H15:$CE$82,((COUNT($G$6:$G$81)+2)-$G15),FALSE)</f>
        <v>1</v>
      </c>
      <c r="CK15">
        <f>CI15*Coords[[#This Row],[Demand]]</f>
        <v>0</v>
      </c>
    </row>
    <row r="16" spans="1:89" x14ac:dyDescent="0.25">
      <c r="A16" s="8">
        <v>11</v>
      </c>
      <c r="B16" s="3"/>
      <c r="C16" s="3"/>
      <c r="D16" s="3"/>
      <c r="E16" s="3"/>
      <c r="G16" s="4">
        <v>11</v>
      </c>
      <c r="H16" s="10">
        <f>IF($G16=H$5,1000,IF(H$4=0,1000,SQRT((VLOOKUP($G16,Coords[],3,FALSE)-VLOOKUP(H$5,Coords[],3,FALSE))^2+(VLOOKUP($G16,Coords[],4,FALSE)-VLOOKUP(H$5,Coords[],4,FALSE))^2)))</f>
        <v>1000</v>
      </c>
      <c r="I16" s="10">
        <f>IF($G16=I$5,1000,IF(I$4=0,1000,SQRT((VLOOKUP($G16,Coords[],3,FALSE)-VLOOKUP(I$5,Coords[],3,FALSE))^2+(VLOOKUP($G16,Coords[],4,FALSE)-VLOOKUP(I$5,Coords[],4,FALSE))^2)))</f>
        <v>1000</v>
      </c>
      <c r="J16" s="10">
        <f>IF($G16=J$5,1000,IF(J$4=0,1000,SQRT((VLOOKUP($G16,Coords[],3,FALSE)-VLOOKUP(J$5,Coords[],3,FALSE))^2+(VLOOKUP($G16,Coords[],4,FALSE)-VLOOKUP(J$5,Coords[],4,FALSE))^2)))</f>
        <v>1000</v>
      </c>
      <c r="K16" s="10">
        <f>IF($G16=K$5,1000,IF(K$4=0,1000,SQRT((VLOOKUP($G16,Coords[],3,FALSE)-VLOOKUP(K$5,Coords[],3,FALSE))^2+(VLOOKUP($G16,Coords[],4,FALSE)-VLOOKUP(K$5,Coords[],4,FALSE))^2)))</f>
        <v>1000</v>
      </c>
      <c r="L16" s="10">
        <f>IF($G16=L$5,1000,IF(L$4=0,1000,SQRT((VLOOKUP($G16,Coords[],3,FALSE)-VLOOKUP(L$5,Coords[],3,FALSE))^2+(VLOOKUP($G16,Coords[],4,FALSE)-VLOOKUP(L$5,Coords[],4,FALSE))^2)))</f>
        <v>1000</v>
      </c>
      <c r="M16" s="10">
        <f>IF($G16=M$5,1000,IF(M$4=0,1000,SQRT((VLOOKUP($G16,Coords[],3,FALSE)-VLOOKUP(M$5,Coords[],3,FALSE))^2+(VLOOKUP($G16,Coords[],4,FALSE)-VLOOKUP(M$5,Coords[],4,FALSE))^2)))</f>
        <v>1000</v>
      </c>
      <c r="N16" s="10">
        <f>IF($G16=N$5,1000,IF(N$4=0,1000,SQRT((VLOOKUP($G16,Coords[],3,FALSE)-VLOOKUP(N$5,Coords[],3,FALSE))^2+(VLOOKUP($G16,Coords[],4,FALSE)-VLOOKUP(N$5,Coords[],4,FALSE))^2)))</f>
        <v>1000</v>
      </c>
      <c r="O16" s="10">
        <f>IF($G16=O$5,1000,IF(O$4=0,1000,SQRT((VLOOKUP($G16,Coords[],3,FALSE)-VLOOKUP(O$5,Coords[],3,FALSE))^2+(VLOOKUP($G16,Coords[],4,FALSE)-VLOOKUP(O$5,Coords[],4,FALSE))^2)))</f>
        <v>1000</v>
      </c>
      <c r="P16" s="10">
        <f>IF($G16=P$5,1000,IF(P$4=0,1000,SQRT((VLOOKUP($G16,Coords[],3,FALSE)-VLOOKUP(P$5,Coords[],3,FALSE))^2+(VLOOKUP($G16,Coords[],4,FALSE)-VLOOKUP(P$5,Coords[],4,FALSE))^2)))</f>
        <v>1000</v>
      </c>
      <c r="Q16" s="10">
        <f>IF($G16=Q$5,1000,IF(Q$4=0,1000,SQRT((VLOOKUP($G16,Coords[],3,FALSE)-VLOOKUP(Q$5,Coords[],3,FALSE))^2+(VLOOKUP($G16,Coords[],4,FALSE)-VLOOKUP(Q$5,Coords[],4,FALSE))^2)))</f>
        <v>1000</v>
      </c>
      <c r="R16" s="10">
        <f>IF($G16=R$5,1000,IF(R$4=0,1000,SQRT((VLOOKUP($G16,Coords[],3,FALSE)-VLOOKUP(R$5,Coords[],3,FALSE))^2+(VLOOKUP($G16,Coords[],4,FALSE)-VLOOKUP(R$5,Coords[],4,FALSE))^2)))</f>
        <v>1000</v>
      </c>
      <c r="S16" s="10">
        <f>IF($G16=S$5,1000,IF(S$4=0,1000,SQRT((VLOOKUP($G16,Coords[],3,FALSE)-VLOOKUP(S$5,Coords[],3,FALSE))^2+(VLOOKUP($G16,Coords[],4,FALSE)-VLOOKUP(S$5,Coords[],4,FALSE))^2)))</f>
        <v>1000</v>
      </c>
      <c r="T16" s="10">
        <f>IF($G16=T$5,1000,IF(T$4=0,1000,SQRT((VLOOKUP($G16,Coords[],3,FALSE)-VLOOKUP(T$5,Coords[],3,FALSE))^2+(VLOOKUP($G16,Coords[],4,FALSE)-VLOOKUP(T$5,Coords[],4,FALSE))^2)))</f>
        <v>1000</v>
      </c>
      <c r="U16" s="10">
        <f>IF($G16=U$5,1000,IF(U$4=0,1000,SQRT((VLOOKUP($G16,Coords[],3,FALSE)-VLOOKUP(U$5,Coords[],3,FALSE))^2+(VLOOKUP($G16,Coords[],4,FALSE)-VLOOKUP(U$5,Coords[],4,FALSE))^2)))</f>
        <v>1000</v>
      </c>
      <c r="V16" s="10">
        <f>IF($G16=V$5,1000,IF(V$4=0,1000,SQRT((VLOOKUP($G16,Coords[],3,FALSE)-VLOOKUP(V$5,Coords[],3,FALSE))^2+(VLOOKUP($G16,Coords[],4,FALSE)-VLOOKUP(V$5,Coords[],4,FALSE))^2)))</f>
        <v>1000</v>
      </c>
      <c r="W16" s="10">
        <f>IF($G16=W$5,1000,IF(W$4=0,1000,SQRT((VLOOKUP($G16,Coords[],3,FALSE)-VLOOKUP(W$5,Coords[],3,FALSE))^2+(VLOOKUP($G16,Coords[],4,FALSE)-VLOOKUP(W$5,Coords[],4,FALSE))^2)))</f>
        <v>1000</v>
      </c>
      <c r="X16" s="10">
        <f>IF($G16=X$5,1000,IF(X$4=0,1000,SQRT((VLOOKUP($G16,Coords[],3,FALSE)-VLOOKUP(X$5,Coords[],3,FALSE))^2+(VLOOKUP($G16,Coords[],4,FALSE)-VLOOKUP(X$5,Coords[],4,FALSE))^2)))</f>
        <v>1000</v>
      </c>
      <c r="Y16" s="10">
        <f>IF($G16=Y$5,1000,IF(Y$4=0,1000,SQRT((VLOOKUP($G16,Coords[],3,FALSE)-VLOOKUP(Y$5,Coords[],3,FALSE))^2+(VLOOKUP($G16,Coords[],4,FALSE)-VLOOKUP(Y$5,Coords[],4,FALSE))^2)))</f>
        <v>1000</v>
      </c>
      <c r="Z16" s="10">
        <f>IF($G16=Z$5,1000,IF(Z$4=0,1000,SQRT((VLOOKUP($G16,Coords[],3,FALSE)-VLOOKUP(Z$5,Coords[],3,FALSE))^2+(VLOOKUP($G16,Coords[],4,FALSE)-VLOOKUP(Z$5,Coords[],4,FALSE))^2)))</f>
        <v>1000</v>
      </c>
      <c r="AA16" s="10">
        <f>IF($G16=AA$5,1000,IF(AA$4=0,1000,SQRT((VLOOKUP($G16,Coords[],3,FALSE)-VLOOKUP(AA$5,Coords[],3,FALSE))^2+(VLOOKUP($G16,Coords[],4,FALSE)-VLOOKUP(AA$5,Coords[],4,FALSE))^2)))</f>
        <v>1000</v>
      </c>
      <c r="AB16" s="10">
        <f>IF($G16=AB$5,1000,IF(AB$4=0,1000,SQRT((VLOOKUP($G16,Coords[],3,FALSE)-VLOOKUP(AB$5,Coords[],3,FALSE))^2+(VLOOKUP($G16,Coords[],4,FALSE)-VLOOKUP(AB$5,Coords[],4,FALSE))^2)))</f>
        <v>1000</v>
      </c>
      <c r="AC16" s="10">
        <f>IF($G16=AC$5,1000,IF(AC$4=0,1000,SQRT((VLOOKUP($G16,Coords[],3,FALSE)-VLOOKUP(AC$5,Coords[],3,FALSE))^2+(VLOOKUP($G16,Coords[],4,FALSE)-VLOOKUP(AC$5,Coords[],4,FALSE))^2)))</f>
        <v>1000</v>
      </c>
      <c r="AD16" s="10">
        <f>IF($G16=AD$5,1000,IF(AD$4=0,1000,SQRT((VLOOKUP($G16,Coords[],3,FALSE)-VLOOKUP(AD$5,Coords[],3,FALSE))^2+(VLOOKUP($G16,Coords[],4,FALSE)-VLOOKUP(AD$5,Coords[],4,FALSE))^2)))</f>
        <v>1000</v>
      </c>
      <c r="AE16" s="10">
        <f>IF($G16=AE$5,1000,IF(AE$4=0,1000,SQRT((VLOOKUP($G16,Coords[],3,FALSE)-VLOOKUP(AE$5,Coords[],3,FALSE))^2+(VLOOKUP($G16,Coords[],4,FALSE)-VLOOKUP(AE$5,Coords[],4,FALSE))^2)))</f>
        <v>1000</v>
      </c>
      <c r="AF16" s="10">
        <f>IF($G16=AF$5,1000,IF(AF$4=0,1000,SQRT((VLOOKUP($G16,Coords[],3,FALSE)-VLOOKUP(AF$5,Coords[],3,FALSE))^2+(VLOOKUP($G16,Coords[],4,FALSE)-VLOOKUP(AF$5,Coords[],4,FALSE))^2)))</f>
        <v>1000</v>
      </c>
      <c r="AG16" s="10">
        <f>IF($G16=AG$5,1000,IF(AG$4=0,1000,SQRT((VLOOKUP($G16,Coords[],3,FALSE)-VLOOKUP(AG$5,Coords[],3,FALSE))^2+(VLOOKUP($G16,Coords[],4,FALSE)-VLOOKUP(AG$5,Coords[],4,FALSE))^2)))</f>
        <v>1000</v>
      </c>
      <c r="AH16" s="10">
        <f>IF($G16=AH$5,1000,IF(AH$4=0,1000,SQRT((VLOOKUP($G16,Coords[],3,FALSE)-VLOOKUP(AH$5,Coords[],3,FALSE))^2+(VLOOKUP($G16,Coords[],4,FALSE)-VLOOKUP(AH$5,Coords[],4,FALSE))^2)))</f>
        <v>1000</v>
      </c>
      <c r="AI16" s="10">
        <f>IF($G16=AI$5,1000,IF(AI$4=0,1000,SQRT((VLOOKUP($G16,Coords[],3,FALSE)-VLOOKUP(AI$5,Coords[],3,FALSE))^2+(VLOOKUP($G16,Coords[],4,FALSE)-VLOOKUP(AI$5,Coords[],4,FALSE))^2)))</f>
        <v>1000</v>
      </c>
      <c r="AJ16" s="10">
        <f>IF($G16=AJ$5,1000,IF(AJ$4=0,1000,SQRT((VLOOKUP($G16,Coords[],3,FALSE)-VLOOKUP(AJ$5,Coords[],3,FALSE))^2+(VLOOKUP($G16,Coords[],4,FALSE)-VLOOKUP(AJ$5,Coords[],4,FALSE))^2)))</f>
        <v>1000</v>
      </c>
      <c r="AK16" s="10">
        <f>IF($G16=AK$5,1000,IF(AK$4=0,1000,SQRT((VLOOKUP($G16,Coords[],3,FALSE)-VLOOKUP(AK$5,Coords[],3,FALSE))^2+(VLOOKUP($G16,Coords[],4,FALSE)-VLOOKUP(AK$5,Coords[],4,FALSE))^2)))</f>
        <v>1000</v>
      </c>
      <c r="AL16" s="10">
        <f>IF($G16=AL$5,1000,IF(AL$4=0,1000,SQRT((VLOOKUP($G16,Coords[],3,FALSE)-VLOOKUP(AL$5,Coords[],3,FALSE))^2+(VLOOKUP($G16,Coords[],4,FALSE)-VLOOKUP(AL$5,Coords[],4,FALSE))^2)))</f>
        <v>1000</v>
      </c>
      <c r="AM16" s="10">
        <f>IF($G16=AM$5,1000,IF(AM$4=0,1000,SQRT((VLOOKUP($G16,Coords[],3,FALSE)-VLOOKUP(AM$5,Coords[],3,FALSE))^2+(VLOOKUP($G16,Coords[],4,FALSE)-VLOOKUP(AM$5,Coords[],4,FALSE))^2)))</f>
        <v>1000</v>
      </c>
      <c r="AN16" s="10">
        <f>IF($G16=AN$5,1000,IF(AN$4=0,1000,SQRT((VLOOKUP($G16,Coords[],3,FALSE)-VLOOKUP(AN$5,Coords[],3,FALSE))^2+(VLOOKUP($G16,Coords[],4,FALSE)-VLOOKUP(AN$5,Coords[],4,FALSE))^2)))</f>
        <v>1000</v>
      </c>
      <c r="AO16" s="10">
        <f>IF($G16=AO$5,1000,IF(AO$4=0,1000,SQRT((VLOOKUP($G16,Coords[],3,FALSE)-VLOOKUP(AO$5,Coords[],3,FALSE))^2+(VLOOKUP($G16,Coords[],4,FALSE)-VLOOKUP(AO$5,Coords[],4,FALSE))^2)))</f>
        <v>1000</v>
      </c>
      <c r="AP16" s="10">
        <f>IF($G16=AP$5,1000,IF(AP$4=0,1000,SQRT((VLOOKUP($G16,Coords[],3,FALSE)-VLOOKUP(AP$5,Coords[],3,FALSE))^2+(VLOOKUP($G16,Coords[],4,FALSE)-VLOOKUP(AP$5,Coords[],4,FALSE))^2)))</f>
        <v>1000</v>
      </c>
      <c r="AQ16" s="10">
        <f>IF($G16=AQ$5,1000,IF(AQ$4=0,1000,SQRT((VLOOKUP($G16,Coords[],3,FALSE)-VLOOKUP(AQ$5,Coords[],3,FALSE))^2+(VLOOKUP($G16,Coords[],4,FALSE)-VLOOKUP(AQ$5,Coords[],4,FALSE))^2)))</f>
        <v>1000</v>
      </c>
      <c r="AR16" s="10">
        <f>IF($G16=AR$5,1000,IF(AR$4=0,1000,SQRT((VLOOKUP($G16,Coords[],3,FALSE)-VLOOKUP(AR$5,Coords[],3,FALSE))^2+(VLOOKUP($G16,Coords[],4,FALSE)-VLOOKUP(AR$5,Coords[],4,FALSE))^2)))</f>
        <v>1000</v>
      </c>
      <c r="AS16" s="10">
        <f>IF($G16=AS$5,1000,IF(AS$4=0,1000,SQRT((VLOOKUP($G16,Coords[],3,FALSE)-VLOOKUP(AS$5,Coords[],3,FALSE))^2+(VLOOKUP($G16,Coords[],4,FALSE)-VLOOKUP(AS$5,Coords[],4,FALSE))^2)))</f>
        <v>1000</v>
      </c>
      <c r="AT16" s="10">
        <f>IF($G16=AT$5,1000,IF(AT$4=0,1000,SQRT((VLOOKUP($G16,Coords[],3,FALSE)-VLOOKUP(AT$5,Coords[],3,FALSE))^2+(VLOOKUP($G16,Coords[],4,FALSE)-VLOOKUP(AT$5,Coords[],4,FALSE))^2)))</f>
        <v>1000</v>
      </c>
      <c r="AU16" s="10">
        <f>IF($G16=AU$5,1000,IF(AU$4=0,1000,SQRT((VLOOKUP($G16,Coords[],3,FALSE)-VLOOKUP(AU$5,Coords[],3,FALSE))^2+(VLOOKUP($G16,Coords[],4,FALSE)-VLOOKUP(AU$5,Coords[],4,FALSE))^2)))</f>
        <v>1000</v>
      </c>
      <c r="AV16" s="10">
        <f>IF($G16=AV$5,1000,IF(AV$4=0,1000,SQRT((VLOOKUP($G16,Coords[],3,FALSE)-VLOOKUP(AV$5,Coords[],3,FALSE))^2+(VLOOKUP($G16,Coords[],4,FALSE)-VLOOKUP(AV$5,Coords[],4,FALSE))^2)))</f>
        <v>1000</v>
      </c>
      <c r="AW16" s="10">
        <f>IF($G16=AW$5,1000,IF(AW$4=0,1000,SQRT((VLOOKUP($G16,Coords[],3,FALSE)-VLOOKUP(AW$5,Coords[],3,FALSE))^2+(VLOOKUP($G16,Coords[],4,FALSE)-VLOOKUP(AW$5,Coords[],4,FALSE))^2)))</f>
        <v>1000</v>
      </c>
      <c r="AX16" s="10">
        <f>IF($G16=AX$5,1000,IF(AX$4=0,1000,SQRT((VLOOKUP($G16,Coords[],3,FALSE)-VLOOKUP(AX$5,Coords[],3,FALSE))^2+(VLOOKUP($G16,Coords[],4,FALSE)-VLOOKUP(AX$5,Coords[],4,FALSE))^2)))</f>
        <v>1000</v>
      </c>
      <c r="AY16" s="10">
        <f>IF($G16=AY$5,1000,IF(AY$4=0,1000,SQRT((VLOOKUP($G16,Coords[],3,FALSE)-VLOOKUP(AY$5,Coords[],3,FALSE))^2+(VLOOKUP($G16,Coords[],4,FALSE)-VLOOKUP(AY$5,Coords[],4,FALSE))^2)))</f>
        <v>1000</v>
      </c>
      <c r="AZ16" s="10">
        <f>IF($G16=AZ$5,1000,IF(AZ$4=0,1000,SQRT((VLOOKUP($G16,Coords[],3,FALSE)-VLOOKUP(AZ$5,Coords[],3,FALSE))^2+(VLOOKUP($G16,Coords[],4,FALSE)-VLOOKUP(AZ$5,Coords[],4,FALSE))^2)))</f>
        <v>1000</v>
      </c>
      <c r="BA16" s="10">
        <f>IF($G16=BA$5,1000,IF(BA$4=0,1000,SQRT((VLOOKUP($G16,Coords[],3,FALSE)-VLOOKUP(BA$5,Coords[],3,FALSE))^2+(VLOOKUP($G16,Coords[],4,FALSE)-VLOOKUP(BA$5,Coords[],4,FALSE))^2)))</f>
        <v>1000</v>
      </c>
      <c r="BB16" s="10">
        <f>IF($G16=BB$5,1000,IF(BB$4=0,1000,SQRT((VLOOKUP($G16,Coords[],3,FALSE)-VLOOKUP(BB$5,Coords[],3,FALSE))^2+(VLOOKUP($G16,Coords[],4,FALSE)-VLOOKUP(BB$5,Coords[],4,FALSE))^2)))</f>
        <v>1000</v>
      </c>
      <c r="BC16" s="10">
        <f>IF($G16=BC$5,1000,IF(BC$4=0,1000,SQRT((VLOOKUP($G16,Coords[],3,FALSE)-VLOOKUP(BC$5,Coords[],3,FALSE))^2+(VLOOKUP($G16,Coords[],4,FALSE)-VLOOKUP(BC$5,Coords[],4,FALSE))^2)))</f>
        <v>1000</v>
      </c>
      <c r="BD16" s="10">
        <f>IF($G16=BD$5,1000,IF(BD$4=0,1000,SQRT((VLOOKUP($G16,Coords[],3,FALSE)-VLOOKUP(BD$5,Coords[],3,FALSE))^2+(VLOOKUP($G16,Coords[],4,FALSE)-VLOOKUP(BD$5,Coords[],4,FALSE))^2)))</f>
        <v>1000</v>
      </c>
      <c r="BE16" s="10">
        <f>IF($G16=BE$5,1000,IF(BE$4=0,1000,SQRT((VLOOKUP($G16,Coords[],3,FALSE)-VLOOKUP(BE$5,Coords[],3,FALSE))^2+(VLOOKUP($G16,Coords[],4,FALSE)-VLOOKUP(BE$5,Coords[],4,FALSE))^2)))</f>
        <v>1000</v>
      </c>
      <c r="BF16" s="10">
        <f>IF($G16=BF$5,1000,IF(BF$4=0,1000,SQRT((VLOOKUP($G16,Coords[],3,FALSE)-VLOOKUP(BF$5,Coords[],3,FALSE))^2+(VLOOKUP($G16,Coords[],4,FALSE)-VLOOKUP(BF$5,Coords[],4,FALSE))^2)))</f>
        <v>1000</v>
      </c>
      <c r="BG16" s="10">
        <f>IF($G16=BG$5,1000,IF(BG$4=0,1000,SQRT((VLOOKUP($G16,Coords[],3,FALSE)-VLOOKUP(BG$5,Coords[],3,FALSE))^2+(VLOOKUP($G16,Coords[],4,FALSE)-VLOOKUP(BG$5,Coords[],4,FALSE))^2)))</f>
        <v>1000</v>
      </c>
      <c r="BH16" s="10">
        <f>IF($G16=BH$5,1000,IF(BH$4=0,1000,SQRT((VLOOKUP($G16,Coords[],3,FALSE)-VLOOKUP(BH$5,Coords[],3,FALSE))^2+(VLOOKUP($G16,Coords[],4,FALSE)-VLOOKUP(BH$5,Coords[],4,FALSE))^2)))</f>
        <v>1000</v>
      </c>
      <c r="BI16" s="10">
        <f>IF($G16=BI$5,1000,IF(BI$4=0,1000,SQRT((VLOOKUP($G16,Coords[],3,FALSE)-VLOOKUP(BI$5,Coords[],3,FALSE))^2+(VLOOKUP($G16,Coords[],4,FALSE)-VLOOKUP(BI$5,Coords[],4,FALSE))^2)))</f>
        <v>1000</v>
      </c>
      <c r="BJ16" s="10">
        <f>IF($G16=BJ$5,1000,IF(BJ$4=0,1000,SQRT((VLOOKUP($G16,Coords[],3,FALSE)-VLOOKUP(BJ$5,Coords[],3,FALSE))^2+(VLOOKUP($G16,Coords[],4,FALSE)-VLOOKUP(BJ$5,Coords[],4,FALSE))^2)))</f>
        <v>1000</v>
      </c>
      <c r="BK16" s="10">
        <f>IF($G16=BK$5,1000,IF(BK$4=0,1000,SQRT((VLOOKUP($G16,Coords[],3,FALSE)-VLOOKUP(BK$5,Coords[],3,FALSE))^2+(VLOOKUP($G16,Coords[],4,FALSE)-VLOOKUP(BK$5,Coords[],4,FALSE))^2)))</f>
        <v>1000</v>
      </c>
      <c r="BL16" s="10">
        <f>IF($G16=BL$5,1000,IF(BL$4=0,1000,SQRT((VLOOKUP($G16,Coords[],3,FALSE)-VLOOKUP(BL$5,Coords[],3,FALSE))^2+(VLOOKUP($G16,Coords[],4,FALSE)-VLOOKUP(BL$5,Coords[],4,FALSE))^2)))</f>
        <v>1000</v>
      </c>
      <c r="BM16" s="10">
        <f>IF($G16=BM$5,1000,IF(BM$4=0,1000,SQRT((VLOOKUP($G16,Coords[],3,FALSE)-VLOOKUP(BM$5,Coords[],3,FALSE))^2+(VLOOKUP($G16,Coords[],4,FALSE)-VLOOKUP(BM$5,Coords[],4,FALSE))^2)))</f>
        <v>1000</v>
      </c>
      <c r="BN16" s="10">
        <f>IF($G16=BN$5,1000,IF(BN$4=0,1000,SQRT((VLOOKUP($G16,Coords[],3,FALSE)-VLOOKUP(BN$5,Coords[],3,FALSE))^2+(VLOOKUP($G16,Coords[],4,FALSE)-VLOOKUP(BN$5,Coords[],4,FALSE))^2)))</f>
        <v>1000</v>
      </c>
      <c r="BO16" s="10">
        <f>IF($G16=BO$5,1000,IF(BO$4=0,1000,SQRT((VLOOKUP($G16,Coords[],3,FALSE)-VLOOKUP(BO$5,Coords[],3,FALSE))^2+(VLOOKUP($G16,Coords[],4,FALSE)-VLOOKUP(BO$5,Coords[],4,FALSE))^2)))</f>
        <v>1000</v>
      </c>
      <c r="BP16" s="10">
        <f>IF($G16=BP$5,1000,IF(BP$4=0,1000,SQRT((VLOOKUP($G16,Coords[],3,FALSE)-VLOOKUP(BP$5,Coords[],3,FALSE))^2+(VLOOKUP($G16,Coords[],4,FALSE)-VLOOKUP(BP$5,Coords[],4,FALSE))^2)))</f>
        <v>1000</v>
      </c>
      <c r="BQ16" s="10">
        <f>IF($G16=BQ$5,1000,IF(BQ$4=0,1000,SQRT((VLOOKUP($G16,Coords[],3,FALSE)-VLOOKUP(BQ$5,Coords[],3,FALSE))^2+(VLOOKUP($G16,Coords[],4,FALSE)-VLOOKUP(BQ$5,Coords[],4,FALSE))^2)))</f>
        <v>1000</v>
      </c>
      <c r="BR16" s="10">
        <f>IF($G16=BR$5,1000,IF(BR$4=0,1000,SQRT((VLOOKUP($G16,Coords[],3,FALSE)-VLOOKUP(BR$5,Coords[],3,FALSE))^2+(VLOOKUP($G16,Coords[],4,FALSE)-VLOOKUP(BR$5,Coords[],4,FALSE))^2)))</f>
        <v>1000</v>
      </c>
      <c r="BS16" s="10">
        <f>IF($G16=BS$5,1000,IF(BS$4=0,1000,SQRT((VLOOKUP($G16,Coords[],3,FALSE)-VLOOKUP(BS$5,Coords[],3,FALSE))^2+(VLOOKUP($G16,Coords[],4,FALSE)-VLOOKUP(BS$5,Coords[],4,FALSE))^2)))</f>
        <v>1000</v>
      </c>
      <c r="BT16" s="10">
        <f>IF($G16=BT$5,1000,IF(BT$4=0,1000,SQRT((VLOOKUP($G16,Coords[],3,FALSE)-VLOOKUP(BT$5,Coords[],3,FALSE))^2+(VLOOKUP($G16,Coords[],4,FALSE)-VLOOKUP(BT$5,Coords[],4,FALSE))^2)))</f>
        <v>1000</v>
      </c>
      <c r="BU16" s="10">
        <f>IF($G16=BU$5,1000,IF(BU$4=0,1000,SQRT((VLOOKUP($G16,Coords[],3,FALSE)-VLOOKUP(BU$5,Coords[],3,FALSE))^2+(VLOOKUP($G16,Coords[],4,FALSE)-VLOOKUP(BU$5,Coords[],4,FALSE))^2)))</f>
        <v>1000</v>
      </c>
      <c r="BV16" s="10">
        <f>IF($G16=BV$5,1000,IF(BV$4=0,1000,SQRT((VLOOKUP($G16,Coords[],3,FALSE)-VLOOKUP(BV$5,Coords[],3,FALSE))^2+(VLOOKUP($G16,Coords[],4,FALSE)-VLOOKUP(BV$5,Coords[],4,FALSE))^2)))</f>
        <v>1000</v>
      </c>
      <c r="BW16" s="10">
        <f>IF($G16=BW$5,1000,IF(BW$4=0,1000,SQRT((VLOOKUP($G16,Coords[],3,FALSE)-VLOOKUP(BW$5,Coords[],3,FALSE))^2+(VLOOKUP($G16,Coords[],4,FALSE)-VLOOKUP(BW$5,Coords[],4,FALSE))^2)))</f>
        <v>1000</v>
      </c>
      <c r="BX16" s="10">
        <f>IF($G16=BX$5,1000,IF(BX$4=0,1000,SQRT((VLOOKUP($G16,Coords[],3,FALSE)-VLOOKUP(BX$5,Coords[],3,FALSE))^2+(VLOOKUP($G16,Coords[],4,FALSE)-VLOOKUP(BX$5,Coords[],4,FALSE))^2)))</f>
        <v>1000</v>
      </c>
      <c r="BY16" s="10">
        <f>IF($G16=BY$5,1000,IF(BY$4=0,1000,SQRT((VLOOKUP($G16,Coords[],3,FALSE)-VLOOKUP(BY$5,Coords[],3,FALSE))^2+(VLOOKUP($G16,Coords[],4,FALSE)-VLOOKUP(BY$5,Coords[],4,FALSE))^2)))</f>
        <v>1000</v>
      </c>
      <c r="BZ16" s="10">
        <f>IF($G16=BZ$5,1000,IF(BZ$4=0,1000,SQRT((VLOOKUP($G16,Coords[],3,FALSE)-VLOOKUP(BZ$5,Coords[],3,FALSE))^2+(VLOOKUP($G16,Coords[],4,FALSE)-VLOOKUP(BZ$5,Coords[],4,FALSE))^2)))</f>
        <v>1000</v>
      </c>
      <c r="CA16" s="10">
        <f>IF($G16=CA$5,1000,IF(CA$4=0,1000,SQRT((VLOOKUP($G16,Coords[],3,FALSE)-VLOOKUP(CA$5,Coords[],3,FALSE))^2+(VLOOKUP($G16,Coords[],4,FALSE)-VLOOKUP(CA$5,Coords[],4,FALSE))^2)))</f>
        <v>1000</v>
      </c>
      <c r="CB16" s="10">
        <f>IF($G16=CB$5,1000,IF(CB$4=0,1000,SQRT((VLOOKUP($G16,Coords[],3,FALSE)-VLOOKUP(CB$5,Coords[],3,FALSE))^2+(VLOOKUP($G16,Coords[],4,FALSE)-VLOOKUP(CB$5,Coords[],4,FALSE))^2)))</f>
        <v>1000</v>
      </c>
      <c r="CC16" s="10">
        <f>IF($G16=CC$5,1000,IF(CC$4=0,1000,SQRT((VLOOKUP($G16,Coords[],3,FALSE)-VLOOKUP(CC$5,Coords[],3,FALSE))^2+(VLOOKUP($G16,Coords[],4,FALSE)-VLOOKUP(CC$5,Coords[],4,FALSE))^2)))</f>
        <v>1000</v>
      </c>
      <c r="CD16" s="10">
        <f>IF($G16=CD$5,1000,IF(CD$4=0,1000,SQRT((VLOOKUP($G16,Coords[],3,FALSE)-VLOOKUP(CD$5,Coords[],3,FALSE))^2+(VLOOKUP($G16,Coords[],4,FALSE)-VLOOKUP(CD$5,Coords[],4,FALSE))^2)))</f>
        <v>1000</v>
      </c>
      <c r="CE16" s="10">
        <f>IF($G16=CE$5,1000,IF(CE$4=0,1000,SQRT((VLOOKUP($G16,Coords[],3,FALSE)-VLOOKUP(CE$5,Coords[],3,FALSE))^2+(VLOOKUP($G16,Coords[],4,FALSE)-VLOOKUP(CE$5,Coords[],4,FALSE))^2)))</f>
        <v>1000</v>
      </c>
      <c r="CF16" s="4">
        <v>11</v>
      </c>
      <c r="CH16" s="5">
        <f>IF(E16=1,0,VLOOKUP($G16,$G$6:$CE$82,HLOOKUP(MIN(H16:CE16),$H16:$CE$82,((COUNT($G$6:$G$81)+2)-$G16),FALSE)+1,FALSE)*B16)</f>
        <v>0</v>
      </c>
      <c r="CI16" s="9">
        <f>VLOOKUP($G16,$G$6:$CE$82,HLOOKUP(MIN(H16:CE16),$H16:$CE$82,((COUNT($G$6:$G$81)+2)-$G16),FALSE)+1,FALSE)</f>
        <v>1000</v>
      </c>
      <c r="CJ16" s="7">
        <f>HLOOKUP(MIN(H16:CE16),$H16:$CE$82,((COUNT($G$6:$G$81)+2)-$G16),FALSE)</f>
        <v>1</v>
      </c>
      <c r="CK16">
        <f>CI16*Coords[[#This Row],[Demand]]</f>
        <v>0</v>
      </c>
    </row>
    <row r="17" spans="1:89" x14ac:dyDescent="0.25">
      <c r="A17" s="8">
        <v>12</v>
      </c>
      <c r="B17" s="3"/>
      <c r="C17" s="3"/>
      <c r="D17" s="3"/>
      <c r="E17" s="3"/>
      <c r="G17" s="4">
        <v>12</v>
      </c>
      <c r="H17" s="10">
        <f>IF($G17=H$5,1000,IF(H$4=0,1000,SQRT((VLOOKUP($G17,Coords[],3,FALSE)-VLOOKUP(H$5,Coords[],3,FALSE))^2+(VLOOKUP($G17,Coords[],4,FALSE)-VLOOKUP(H$5,Coords[],4,FALSE))^2)))</f>
        <v>1000</v>
      </c>
      <c r="I17" s="10">
        <f>IF($G17=I$5,1000,IF(I$4=0,1000,SQRT((VLOOKUP($G17,Coords[],3,FALSE)-VLOOKUP(I$5,Coords[],3,FALSE))^2+(VLOOKUP($G17,Coords[],4,FALSE)-VLOOKUP(I$5,Coords[],4,FALSE))^2)))</f>
        <v>1000</v>
      </c>
      <c r="J17" s="10">
        <f>IF($G17=J$5,1000,IF(J$4=0,1000,SQRT((VLOOKUP($G17,Coords[],3,FALSE)-VLOOKUP(J$5,Coords[],3,FALSE))^2+(VLOOKUP($G17,Coords[],4,FALSE)-VLOOKUP(J$5,Coords[],4,FALSE))^2)))</f>
        <v>1000</v>
      </c>
      <c r="K17" s="10">
        <f>IF($G17=K$5,1000,IF(K$4=0,1000,SQRT((VLOOKUP($G17,Coords[],3,FALSE)-VLOOKUP(K$5,Coords[],3,FALSE))^2+(VLOOKUP($G17,Coords[],4,FALSE)-VLOOKUP(K$5,Coords[],4,FALSE))^2)))</f>
        <v>1000</v>
      </c>
      <c r="L17" s="10">
        <f>IF($G17=L$5,1000,IF(L$4=0,1000,SQRT((VLOOKUP($G17,Coords[],3,FALSE)-VLOOKUP(L$5,Coords[],3,FALSE))^2+(VLOOKUP($G17,Coords[],4,FALSE)-VLOOKUP(L$5,Coords[],4,FALSE))^2)))</f>
        <v>1000</v>
      </c>
      <c r="M17" s="10">
        <f>IF($G17=M$5,1000,IF(M$4=0,1000,SQRT((VLOOKUP($G17,Coords[],3,FALSE)-VLOOKUP(M$5,Coords[],3,FALSE))^2+(VLOOKUP($G17,Coords[],4,FALSE)-VLOOKUP(M$5,Coords[],4,FALSE))^2)))</f>
        <v>1000</v>
      </c>
      <c r="N17" s="10">
        <f>IF($G17=N$5,1000,IF(N$4=0,1000,SQRT((VLOOKUP($G17,Coords[],3,FALSE)-VLOOKUP(N$5,Coords[],3,FALSE))^2+(VLOOKUP($G17,Coords[],4,FALSE)-VLOOKUP(N$5,Coords[],4,FALSE))^2)))</f>
        <v>1000</v>
      </c>
      <c r="O17" s="10">
        <f>IF($G17=O$5,1000,IF(O$4=0,1000,SQRT((VLOOKUP($G17,Coords[],3,FALSE)-VLOOKUP(O$5,Coords[],3,FALSE))^2+(VLOOKUP($G17,Coords[],4,FALSE)-VLOOKUP(O$5,Coords[],4,FALSE))^2)))</f>
        <v>1000</v>
      </c>
      <c r="P17" s="10">
        <f>IF($G17=P$5,1000,IF(P$4=0,1000,SQRT((VLOOKUP($G17,Coords[],3,FALSE)-VLOOKUP(P$5,Coords[],3,FALSE))^2+(VLOOKUP($G17,Coords[],4,FALSE)-VLOOKUP(P$5,Coords[],4,FALSE))^2)))</f>
        <v>1000</v>
      </c>
      <c r="Q17" s="10">
        <f>IF($G17=Q$5,1000,IF(Q$4=0,1000,SQRT((VLOOKUP($G17,Coords[],3,FALSE)-VLOOKUP(Q$5,Coords[],3,FALSE))^2+(VLOOKUP($G17,Coords[],4,FALSE)-VLOOKUP(Q$5,Coords[],4,FALSE))^2)))</f>
        <v>1000</v>
      </c>
      <c r="R17" s="10">
        <f>IF($G17=R$5,1000,IF(R$4=0,1000,SQRT((VLOOKUP($G17,Coords[],3,FALSE)-VLOOKUP(R$5,Coords[],3,FALSE))^2+(VLOOKUP($G17,Coords[],4,FALSE)-VLOOKUP(R$5,Coords[],4,FALSE))^2)))</f>
        <v>1000</v>
      </c>
      <c r="S17" s="10">
        <f>IF($G17=S$5,1000,IF(S$4=0,1000,SQRT((VLOOKUP($G17,Coords[],3,FALSE)-VLOOKUP(S$5,Coords[],3,FALSE))^2+(VLOOKUP($G17,Coords[],4,FALSE)-VLOOKUP(S$5,Coords[],4,FALSE))^2)))</f>
        <v>1000</v>
      </c>
      <c r="T17" s="10">
        <f>IF($G17=T$5,1000,IF(T$4=0,1000,SQRT((VLOOKUP($G17,Coords[],3,FALSE)-VLOOKUP(T$5,Coords[],3,FALSE))^2+(VLOOKUP($G17,Coords[],4,FALSE)-VLOOKUP(T$5,Coords[],4,FALSE))^2)))</f>
        <v>1000</v>
      </c>
      <c r="U17" s="10">
        <f>IF($G17=U$5,1000,IF(U$4=0,1000,SQRT((VLOOKUP($G17,Coords[],3,FALSE)-VLOOKUP(U$5,Coords[],3,FALSE))^2+(VLOOKUP($G17,Coords[],4,FALSE)-VLOOKUP(U$5,Coords[],4,FALSE))^2)))</f>
        <v>1000</v>
      </c>
      <c r="V17" s="10">
        <f>IF($G17=V$5,1000,IF(V$4=0,1000,SQRT((VLOOKUP($G17,Coords[],3,FALSE)-VLOOKUP(V$5,Coords[],3,FALSE))^2+(VLOOKUP($G17,Coords[],4,FALSE)-VLOOKUP(V$5,Coords[],4,FALSE))^2)))</f>
        <v>1000</v>
      </c>
      <c r="W17" s="10">
        <f>IF($G17=W$5,1000,IF(W$4=0,1000,SQRT((VLOOKUP($G17,Coords[],3,FALSE)-VLOOKUP(W$5,Coords[],3,FALSE))^2+(VLOOKUP($G17,Coords[],4,FALSE)-VLOOKUP(W$5,Coords[],4,FALSE))^2)))</f>
        <v>1000</v>
      </c>
      <c r="X17" s="10">
        <f>IF($G17=X$5,1000,IF(X$4=0,1000,SQRT((VLOOKUP($G17,Coords[],3,FALSE)-VLOOKUP(X$5,Coords[],3,FALSE))^2+(VLOOKUP($G17,Coords[],4,FALSE)-VLOOKUP(X$5,Coords[],4,FALSE))^2)))</f>
        <v>1000</v>
      </c>
      <c r="Y17" s="10">
        <f>IF($G17=Y$5,1000,IF(Y$4=0,1000,SQRT((VLOOKUP($G17,Coords[],3,FALSE)-VLOOKUP(Y$5,Coords[],3,FALSE))^2+(VLOOKUP($G17,Coords[],4,FALSE)-VLOOKUP(Y$5,Coords[],4,FALSE))^2)))</f>
        <v>1000</v>
      </c>
      <c r="Z17" s="10">
        <f>IF($G17=Z$5,1000,IF(Z$4=0,1000,SQRT((VLOOKUP($G17,Coords[],3,FALSE)-VLOOKUP(Z$5,Coords[],3,FALSE))^2+(VLOOKUP($G17,Coords[],4,FALSE)-VLOOKUP(Z$5,Coords[],4,FALSE))^2)))</f>
        <v>1000</v>
      </c>
      <c r="AA17" s="10">
        <f>IF($G17=AA$5,1000,IF(AA$4=0,1000,SQRT((VLOOKUP($G17,Coords[],3,FALSE)-VLOOKUP(AA$5,Coords[],3,FALSE))^2+(VLOOKUP($G17,Coords[],4,FALSE)-VLOOKUP(AA$5,Coords[],4,FALSE))^2)))</f>
        <v>1000</v>
      </c>
      <c r="AB17" s="10">
        <f>IF($G17=AB$5,1000,IF(AB$4=0,1000,SQRT((VLOOKUP($G17,Coords[],3,FALSE)-VLOOKUP(AB$5,Coords[],3,FALSE))^2+(VLOOKUP($G17,Coords[],4,FALSE)-VLOOKUP(AB$5,Coords[],4,FALSE))^2)))</f>
        <v>1000</v>
      </c>
      <c r="AC17" s="10">
        <f>IF($G17=AC$5,1000,IF(AC$4=0,1000,SQRT((VLOOKUP($G17,Coords[],3,FALSE)-VLOOKUP(AC$5,Coords[],3,FALSE))^2+(VLOOKUP($G17,Coords[],4,FALSE)-VLOOKUP(AC$5,Coords[],4,FALSE))^2)))</f>
        <v>1000</v>
      </c>
      <c r="AD17" s="10">
        <f>IF($G17=AD$5,1000,IF(AD$4=0,1000,SQRT((VLOOKUP($G17,Coords[],3,FALSE)-VLOOKUP(AD$5,Coords[],3,FALSE))^2+(VLOOKUP($G17,Coords[],4,FALSE)-VLOOKUP(AD$5,Coords[],4,FALSE))^2)))</f>
        <v>1000</v>
      </c>
      <c r="AE17" s="10">
        <f>IF($G17=AE$5,1000,IF(AE$4=0,1000,SQRT((VLOOKUP($G17,Coords[],3,FALSE)-VLOOKUP(AE$5,Coords[],3,FALSE))^2+(VLOOKUP($G17,Coords[],4,FALSE)-VLOOKUP(AE$5,Coords[],4,FALSE))^2)))</f>
        <v>1000</v>
      </c>
      <c r="AF17" s="10">
        <f>IF($G17=AF$5,1000,IF(AF$4=0,1000,SQRT((VLOOKUP($G17,Coords[],3,FALSE)-VLOOKUP(AF$5,Coords[],3,FALSE))^2+(VLOOKUP($G17,Coords[],4,FALSE)-VLOOKUP(AF$5,Coords[],4,FALSE))^2)))</f>
        <v>1000</v>
      </c>
      <c r="AG17" s="10">
        <f>IF($G17=AG$5,1000,IF(AG$4=0,1000,SQRT((VLOOKUP($G17,Coords[],3,FALSE)-VLOOKUP(AG$5,Coords[],3,FALSE))^2+(VLOOKUP($G17,Coords[],4,FALSE)-VLOOKUP(AG$5,Coords[],4,FALSE))^2)))</f>
        <v>1000</v>
      </c>
      <c r="AH17" s="10">
        <f>IF($G17=AH$5,1000,IF(AH$4=0,1000,SQRT((VLOOKUP($G17,Coords[],3,FALSE)-VLOOKUP(AH$5,Coords[],3,FALSE))^2+(VLOOKUP($G17,Coords[],4,FALSE)-VLOOKUP(AH$5,Coords[],4,FALSE))^2)))</f>
        <v>1000</v>
      </c>
      <c r="AI17" s="10">
        <f>IF($G17=AI$5,1000,IF(AI$4=0,1000,SQRT((VLOOKUP($G17,Coords[],3,FALSE)-VLOOKUP(AI$5,Coords[],3,FALSE))^2+(VLOOKUP($G17,Coords[],4,FALSE)-VLOOKUP(AI$5,Coords[],4,FALSE))^2)))</f>
        <v>1000</v>
      </c>
      <c r="AJ17" s="10">
        <f>IF($G17=AJ$5,1000,IF(AJ$4=0,1000,SQRT((VLOOKUP($G17,Coords[],3,FALSE)-VLOOKUP(AJ$5,Coords[],3,FALSE))^2+(VLOOKUP($G17,Coords[],4,FALSE)-VLOOKUP(AJ$5,Coords[],4,FALSE))^2)))</f>
        <v>1000</v>
      </c>
      <c r="AK17" s="10">
        <f>IF($G17=AK$5,1000,IF(AK$4=0,1000,SQRT((VLOOKUP($G17,Coords[],3,FALSE)-VLOOKUP(AK$5,Coords[],3,FALSE))^2+(VLOOKUP($G17,Coords[],4,FALSE)-VLOOKUP(AK$5,Coords[],4,FALSE))^2)))</f>
        <v>1000</v>
      </c>
      <c r="AL17" s="10">
        <f>IF($G17=AL$5,1000,IF(AL$4=0,1000,SQRT((VLOOKUP($G17,Coords[],3,FALSE)-VLOOKUP(AL$5,Coords[],3,FALSE))^2+(VLOOKUP($G17,Coords[],4,FALSE)-VLOOKUP(AL$5,Coords[],4,FALSE))^2)))</f>
        <v>1000</v>
      </c>
      <c r="AM17" s="10">
        <f>IF($G17=AM$5,1000,IF(AM$4=0,1000,SQRT((VLOOKUP($G17,Coords[],3,FALSE)-VLOOKUP(AM$5,Coords[],3,FALSE))^2+(VLOOKUP($G17,Coords[],4,FALSE)-VLOOKUP(AM$5,Coords[],4,FALSE))^2)))</f>
        <v>1000</v>
      </c>
      <c r="AN17" s="10">
        <f>IF($G17=AN$5,1000,IF(AN$4=0,1000,SQRT((VLOOKUP($G17,Coords[],3,FALSE)-VLOOKUP(AN$5,Coords[],3,FALSE))^2+(VLOOKUP($G17,Coords[],4,FALSE)-VLOOKUP(AN$5,Coords[],4,FALSE))^2)))</f>
        <v>1000</v>
      </c>
      <c r="AO17" s="10">
        <f>IF($G17=AO$5,1000,IF(AO$4=0,1000,SQRT((VLOOKUP($G17,Coords[],3,FALSE)-VLOOKUP(AO$5,Coords[],3,FALSE))^2+(VLOOKUP($G17,Coords[],4,FALSE)-VLOOKUP(AO$5,Coords[],4,FALSE))^2)))</f>
        <v>1000</v>
      </c>
      <c r="AP17" s="10">
        <f>IF($G17=AP$5,1000,IF(AP$4=0,1000,SQRT((VLOOKUP($G17,Coords[],3,FALSE)-VLOOKUP(AP$5,Coords[],3,FALSE))^2+(VLOOKUP($G17,Coords[],4,FALSE)-VLOOKUP(AP$5,Coords[],4,FALSE))^2)))</f>
        <v>1000</v>
      </c>
      <c r="AQ17" s="10">
        <f>IF($G17=AQ$5,1000,IF(AQ$4=0,1000,SQRT((VLOOKUP($G17,Coords[],3,FALSE)-VLOOKUP(AQ$5,Coords[],3,FALSE))^2+(VLOOKUP($G17,Coords[],4,FALSE)-VLOOKUP(AQ$5,Coords[],4,FALSE))^2)))</f>
        <v>1000</v>
      </c>
      <c r="AR17" s="10">
        <f>IF($G17=AR$5,1000,IF(AR$4=0,1000,SQRT((VLOOKUP($G17,Coords[],3,FALSE)-VLOOKUP(AR$5,Coords[],3,FALSE))^2+(VLOOKUP($G17,Coords[],4,FALSE)-VLOOKUP(AR$5,Coords[],4,FALSE))^2)))</f>
        <v>1000</v>
      </c>
      <c r="AS17" s="10">
        <f>IF($G17=AS$5,1000,IF(AS$4=0,1000,SQRT((VLOOKUP($G17,Coords[],3,FALSE)-VLOOKUP(AS$5,Coords[],3,FALSE))^2+(VLOOKUP($G17,Coords[],4,FALSE)-VLOOKUP(AS$5,Coords[],4,FALSE))^2)))</f>
        <v>1000</v>
      </c>
      <c r="AT17" s="10">
        <f>IF($G17=AT$5,1000,IF(AT$4=0,1000,SQRT((VLOOKUP($G17,Coords[],3,FALSE)-VLOOKUP(AT$5,Coords[],3,FALSE))^2+(VLOOKUP($G17,Coords[],4,FALSE)-VLOOKUP(AT$5,Coords[],4,FALSE))^2)))</f>
        <v>1000</v>
      </c>
      <c r="AU17" s="10">
        <f>IF($G17=AU$5,1000,IF(AU$4=0,1000,SQRT((VLOOKUP($G17,Coords[],3,FALSE)-VLOOKUP(AU$5,Coords[],3,FALSE))^2+(VLOOKUP($G17,Coords[],4,FALSE)-VLOOKUP(AU$5,Coords[],4,FALSE))^2)))</f>
        <v>1000</v>
      </c>
      <c r="AV17" s="10">
        <f>IF($G17=AV$5,1000,IF(AV$4=0,1000,SQRT((VLOOKUP($G17,Coords[],3,FALSE)-VLOOKUP(AV$5,Coords[],3,FALSE))^2+(VLOOKUP($G17,Coords[],4,FALSE)-VLOOKUP(AV$5,Coords[],4,FALSE))^2)))</f>
        <v>1000</v>
      </c>
      <c r="AW17" s="10">
        <f>IF($G17=AW$5,1000,IF(AW$4=0,1000,SQRT((VLOOKUP($G17,Coords[],3,FALSE)-VLOOKUP(AW$5,Coords[],3,FALSE))^2+(VLOOKUP($G17,Coords[],4,FALSE)-VLOOKUP(AW$5,Coords[],4,FALSE))^2)))</f>
        <v>1000</v>
      </c>
      <c r="AX17" s="10">
        <f>IF($G17=AX$5,1000,IF(AX$4=0,1000,SQRT((VLOOKUP($G17,Coords[],3,FALSE)-VLOOKUP(AX$5,Coords[],3,FALSE))^2+(VLOOKUP($G17,Coords[],4,FALSE)-VLOOKUP(AX$5,Coords[],4,FALSE))^2)))</f>
        <v>1000</v>
      </c>
      <c r="AY17" s="10">
        <f>IF($G17=AY$5,1000,IF(AY$4=0,1000,SQRT((VLOOKUP($G17,Coords[],3,FALSE)-VLOOKUP(AY$5,Coords[],3,FALSE))^2+(VLOOKUP($G17,Coords[],4,FALSE)-VLOOKUP(AY$5,Coords[],4,FALSE))^2)))</f>
        <v>1000</v>
      </c>
      <c r="AZ17" s="10">
        <f>IF($G17=AZ$5,1000,IF(AZ$4=0,1000,SQRT((VLOOKUP($G17,Coords[],3,FALSE)-VLOOKUP(AZ$5,Coords[],3,FALSE))^2+(VLOOKUP($G17,Coords[],4,FALSE)-VLOOKUP(AZ$5,Coords[],4,FALSE))^2)))</f>
        <v>1000</v>
      </c>
      <c r="BA17" s="10">
        <f>IF($G17=BA$5,1000,IF(BA$4=0,1000,SQRT((VLOOKUP($G17,Coords[],3,FALSE)-VLOOKUP(BA$5,Coords[],3,FALSE))^2+(VLOOKUP($G17,Coords[],4,FALSE)-VLOOKUP(BA$5,Coords[],4,FALSE))^2)))</f>
        <v>1000</v>
      </c>
      <c r="BB17" s="10">
        <f>IF($G17=BB$5,1000,IF(BB$4=0,1000,SQRT((VLOOKUP($G17,Coords[],3,FALSE)-VLOOKUP(BB$5,Coords[],3,FALSE))^2+(VLOOKUP($G17,Coords[],4,FALSE)-VLOOKUP(BB$5,Coords[],4,FALSE))^2)))</f>
        <v>1000</v>
      </c>
      <c r="BC17" s="10">
        <f>IF($G17=BC$5,1000,IF(BC$4=0,1000,SQRT((VLOOKUP($G17,Coords[],3,FALSE)-VLOOKUP(BC$5,Coords[],3,FALSE))^2+(VLOOKUP($G17,Coords[],4,FALSE)-VLOOKUP(BC$5,Coords[],4,FALSE))^2)))</f>
        <v>1000</v>
      </c>
      <c r="BD17" s="10">
        <f>IF($G17=BD$5,1000,IF(BD$4=0,1000,SQRT((VLOOKUP($G17,Coords[],3,FALSE)-VLOOKUP(BD$5,Coords[],3,FALSE))^2+(VLOOKUP($G17,Coords[],4,FALSE)-VLOOKUP(BD$5,Coords[],4,FALSE))^2)))</f>
        <v>1000</v>
      </c>
      <c r="BE17" s="10">
        <f>IF($G17=BE$5,1000,IF(BE$4=0,1000,SQRT((VLOOKUP($G17,Coords[],3,FALSE)-VLOOKUP(BE$5,Coords[],3,FALSE))^2+(VLOOKUP($G17,Coords[],4,FALSE)-VLOOKUP(BE$5,Coords[],4,FALSE))^2)))</f>
        <v>1000</v>
      </c>
      <c r="BF17" s="10">
        <f>IF($G17=BF$5,1000,IF(BF$4=0,1000,SQRT((VLOOKUP($G17,Coords[],3,FALSE)-VLOOKUP(BF$5,Coords[],3,FALSE))^2+(VLOOKUP($G17,Coords[],4,FALSE)-VLOOKUP(BF$5,Coords[],4,FALSE))^2)))</f>
        <v>1000</v>
      </c>
      <c r="BG17" s="10">
        <f>IF($G17=BG$5,1000,IF(BG$4=0,1000,SQRT((VLOOKUP($G17,Coords[],3,FALSE)-VLOOKUP(BG$5,Coords[],3,FALSE))^2+(VLOOKUP($G17,Coords[],4,FALSE)-VLOOKUP(BG$5,Coords[],4,FALSE))^2)))</f>
        <v>1000</v>
      </c>
      <c r="BH17" s="10">
        <f>IF($G17=BH$5,1000,IF(BH$4=0,1000,SQRT((VLOOKUP($G17,Coords[],3,FALSE)-VLOOKUP(BH$5,Coords[],3,FALSE))^2+(VLOOKUP($G17,Coords[],4,FALSE)-VLOOKUP(BH$5,Coords[],4,FALSE))^2)))</f>
        <v>1000</v>
      </c>
      <c r="BI17" s="10">
        <f>IF($G17=BI$5,1000,IF(BI$4=0,1000,SQRT((VLOOKUP($G17,Coords[],3,FALSE)-VLOOKUP(BI$5,Coords[],3,FALSE))^2+(VLOOKUP($G17,Coords[],4,FALSE)-VLOOKUP(BI$5,Coords[],4,FALSE))^2)))</f>
        <v>1000</v>
      </c>
      <c r="BJ17" s="10">
        <f>IF($G17=BJ$5,1000,IF(BJ$4=0,1000,SQRT((VLOOKUP($G17,Coords[],3,FALSE)-VLOOKUP(BJ$5,Coords[],3,FALSE))^2+(VLOOKUP($G17,Coords[],4,FALSE)-VLOOKUP(BJ$5,Coords[],4,FALSE))^2)))</f>
        <v>1000</v>
      </c>
      <c r="BK17" s="10">
        <f>IF($G17=BK$5,1000,IF(BK$4=0,1000,SQRT((VLOOKUP($G17,Coords[],3,FALSE)-VLOOKUP(BK$5,Coords[],3,FALSE))^2+(VLOOKUP($G17,Coords[],4,FALSE)-VLOOKUP(BK$5,Coords[],4,FALSE))^2)))</f>
        <v>1000</v>
      </c>
      <c r="BL17" s="10">
        <f>IF($G17=BL$5,1000,IF(BL$4=0,1000,SQRT((VLOOKUP($G17,Coords[],3,FALSE)-VLOOKUP(BL$5,Coords[],3,FALSE))^2+(VLOOKUP($G17,Coords[],4,FALSE)-VLOOKUP(BL$5,Coords[],4,FALSE))^2)))</f>
        <v>1000</v>
      </c>
      <c r="BM17" s="10">
        <f>IF($G17=BM$5,1000,IF(BM$4=0,1000,SQRT((VLOOKUP($G17,Coords[],3,FALSE)-VLOOKUP(BM$5,Coords[],3,FALSE))^2+(VLOOKUP($G17,Coords[],4,FALSE)-VLOOKUP(BM$5,Coords[],4,FALSE))^2)))</f>
        <v>1000</v>
      </c>
      <c r="BN17" s="10">
        <f>IF($G17=BN$5,1000,IF(BN$4=0,1000,SQRT((VLOOKUP($G17,Coords[],3,FALSE)-VLOOKUP(BN$5,Coords[],3,FALSE))^2+(VLOOKUP($G17,Coords[],4,FALSE)-VLOOKUP(BN$5,Coords[],4,FALSE))^2)))</f>
        <v>1000</v>
      </c>
      <c r="BO17" s="10">
        <f>IF($G17=BO$5,1000,IF(BO$4=0,1000,SQRT((VLOOKUP($G17,Coords[],3,FALSE)-VLOOKUP(BO$5,Coords[],3,FALSE))^2+(VLOOKUP($G17,Coords[],4,FALSE)-VLOOKUP(BO$5,Coords[],4,FALSE))^2)))</f>
        <v>1000</v>
      </c>
      <c r="BP17" s="10">
        <f>IF($G17=BP$5,1000,IF(BP$4=0,1000,SQRT((VLOOKUP($G17,Coords[],3,FALSE)-VLOOKUP(BP$5,Coords[],3,FALSE))^2+(VLOOKUP($G17,Coords[],4,FALSE)-VLOOKUP(BP$5,Coords[],4,FALSE))^2)))</f>
        <v>1000</v>
      </c>
      <c r="BQ17" s="10">
        <f>IF($G17=BQ$5,1000,IF(BQ$4=0,1000,SQRT((VLOOKUP($G17,Coords[],3,FALSE)-VLOOKUP(BQ$5,Coords[],3,FALSE))^2+(VLOOKUP($G17,Coords[],4,FALSE)-VLOOKUP(BQ$5,Coords[],4,FALSE))^2)))</f>
        <v>1000</v>
      </c>
      <c r="BR17" s="10">
        <f>IF($G17=BR$5,1000,IF(BR$4=0,1000,SQRT((VLOOKUP($G17,Coords[],3,FALSE)-VLOOKUP(BR$5,Coords[],3,FALSE))^2+(VLOOKUP($G17,Coords[],4,FALSE)-VLOOKUP(BR$5,Coords[],4,FALSE))^2)))</f>
        <v>1000</v>
      </c>
      <c r="BS17" s="10">
        <f>IF($G17=BS$5,1000,IF(BS$4=0,1000,SQRT((VLOOKUP($G17,Coords[],3,FALSE)-VLOOKUP(BS$5,Coords[],3,FALSE))^2+(VLOOKUP($G17,Coords[],4,FALSE)-VLOOKUP(BS$5,Coords[],4,FALSE))^2)))</f>
        <v>1000</v>
      </c>
      <c r="BT17" s="10">
        <f>IF($G17=BT$5,1000,IF(BT$4=0,1000,SQRT((VLOOKUP($G17,Coords[],3,FALSE)-VLOOKUP(BT$5,Coords[],3,FALSE))^2+(VLOOKUP($G17,Coords[],4,FALSE)-VLOOKUP(BT$5,Coords[],4,FALSE))^2)))</f>
        <v>1000</v>
      </c>
      <c r="BU17" s="10">
        <f>IF($G17=BU$5,1000,IF(BU$4=0,1000,SQRT((VLOOKUP($G17,Coords[],3,FALSE)-VLOOKUP(BU$5,Coords[],3,FALSE))^2+(VLOOKUP($G17,Coords[],4,FALSE)-VLOOKUP(BU$5,Coords[],4,FALSE))^2)))</f>
        <v>1000</v>
      </c>
      <c r="BV17" s="10">
        <f>IF($G17=BV$5,1000,IF(BV$4=0,1000,SQRT((VLOOKUP($G17,Coords[],3,FALSE)-VLOOKUP(BV$5,Coords[],3,FALSE))^2+(VLOOKUP($G17,Coords[],4,FALSE)-VLOOKUP(BV$5,Coords[],4,FALSE))^2)))</f>
        <v>1000</v>
      </c>
      <c r="BW17" s="10">
        <f>IF($G17=BW$5,1000,IF(BW$4=0,1000,SQRT((VLOOKUP($G17,Coords[],3,FALSE)-VLOOKUP(BW$5,Coords[],3,FALSE))^2+(VLOOKUP($G17,Coords[],4,FALSE)-VLOOKUP(BW$5,Coords[],4,FALSE))^2)))</f>
        <v>1000</v>
      </c>
      <c r="BX17" s="10">
        <f>IF($G17=BX$5,1000,IF(BX$4=0,1000,SQRT((VLOOKUP($G17,Coords[],3,FALSE)-VLOOKUP(BX$5,Coords[],3,FALSE))^2+(VLOOKUP($G17,Coords[],4,FALSE)-VLOOKUP(BX$5,Coords[],4,FALSE))^2)))</f>
        <v>1000</v>
      </c>
      <c r="BY17" s="10">
        <f>IF($G17=BY$5,1000,IF(BY$4=0,1000,SQRT((VLOOKUP($G17,Coords[],3,FALSE)-VLOOKUP(BY$5,Coords[],3,FALSE))^2+(VLOOKUP($G17,Coords[],4,FALSE)-VLOOKUP(BY$5,Coords[],4,FALSE))^2)))</f>
        <v>1000</v>
      </c>
      <c r="BZ17" s="10">
        <f>IF($G17=BZ$5,1000,IF(BZ$4=0,1000,SQRT((VLOOKUP($G17,Coords[],3,FALSE)-VLOOKUP(BZ$5,Coords[],3,FALSE))^2+(VLOOKUP($G17,Coords[],4,FALSE)-VLOOKUP(BZ$5,Coords[],4,FALSE))^2)))</f>
        <v>1000</v>
      </c>
      <c r="CA17" s="10">
        <f>IF($G17=CA$5,1000,IF(CA$4=0,1000,SQRT((VLOOKUP($G17,Coords[],3,FALSE)-VLOOKUP(CA$5,Coords[],3,FALSE))^2+(VLOOKUP($G17,Coords[],4,FALSE)-VLOOKUP(CA$5,Coords[],4,FALSE))^2)))</f>
        <v>1000</v>
      </c>
      <c r="CB17" s="10">
        <f>IF($G17=CB$5,1000,IF(CB$4=0,1000,SQRT((VLOOKUP($G17,Coords[],3,FALSE)-VLOOKUP(CB$5,Coords[],3,FALSE))^2+(VLOOKUP($G17,Coords[],4,FALSE)-VLOOKUP(CB$5,Coords[],4,FALSE))^2)))</f>
        <v>1000</v>
      </c>
      <c r="CC17" s="10">
        <f>IF($G17=CC$5,1000,IF(CC$4=0,1000,SQRT((VLOOKUP($G17,Coords[],3,FALSE)-VLOOKUP(CC$5,Coords[],3,FALSE))^2+(VLOOKUP($G17,Coords[],4,FALSE)-VLOOKUP(CC$5,Coords[],4,FALSE))^2)))</f>
        <v>1000</v>
      </c>
      <c r="CD17" s="10">
        <f>IF($G17=CD$5,1000,IF(CD$4=0,1000,SQRT((VLOOKUP($G17,Coords[],3,FALSE)-VLOOKUP(CD$5,Coords[],3,FALSE))^2+(VLOOKUP($G17,Coords[],4,FALSE)-VLOOKUP(CD$5,Coords[],4,FALSE))^2)))</f>
        <v>1000</v>
      </c>
      <c r="CE17" s="10">
        <f>IF($G17=CE$5,1000,IF(CE$4=0,1000,SQRT((VLOOKUP($G17,Coords[],3,FALSE)-VLOOKUP(CE$5,Coords[],3,FALSE))^2+(VLOOKUP($G17,Coords[],4,FALSE)-VLOOKUP(CE$5,Coords[],4,FALSE))^2)))</f>
        <v>1000</v>
      </c>
      <c r="CF17" s="4">
        <v>12</v>
      </c>
      <c r="CH17" s="5">
        <f>IF(E17=1,0,VLOOKUP($G17,$G$6:$CE$82,HLOOKUP(MIN(H17:CE17),$H17:$CE$82,((COUNT($G$6:$G$81)+2)-$G17),FALSE)+1,FALSE)*B17)</f>
        <v>0</v>
      </c>
      <c r="CI17" s="9">
        <f>VLOOKUP($G17,$G$6:$CE$82,HLOOKUP(MIN(H17:CE17),$H17:$CE$82,((COUNT($G$6:$G$81)+2)-$G17),FALSE)+1,FALSE)</f>
        <v>1000</v>
      </c>
      <c r="CJ17" s="7">
        <f>HLOOKUP(MIN(H17:CE17),$H17:$CE$82,((COUNT($G$6:$G$81)+2)-$G17),FALSE)</f>
        <v>1</v>
      </c>
      <c r="CK17">
        <f>CI17*Coords[[#This Row],[Demand]]</f>
        <v>0</v>
      </c>
    </row>
    <row r="18" spans="1:89" x14ac:dyDescent="0.25">
      <c r="A18" s="8">
        <v>13</v>
      </c>
      <c r="B18" s="3"/>
      <c r="C18" s="3"/>
      <c r="D18" s="3"/>
      <c r="E18" s="3"/>
      <c r="G18" s="4">
        <v>13</v>
      </c>
      <c r="H18" s="10">
        <f>IF($G18=H$5,1000,IF(H$4=0,1000,SQRT((VLOOKUP($G18,Coords[],3,FALSE)-VLOOKUP(H$5,Coords[],3,FALSE))^2+(VLOOKUP($G18,Coords[],4,FALSE)-VLOOKUP(H$5,Coords[],4,FALSE))^2)))</f>
        <v>1000</v>
      </c>
      <c r="I18" s="10">
        <f>IF($G18=I$5,1000,IF(I$4=0,1000,SQRT((VLOOKUP($G18,Coords[],3,FALSE)-VLOOKUP(I$5,Coords[],3,FALSE))^2+(VLOOKUP($G18,Coords[],4,FALSE)-VLOOKUP(I$5,Coords[],4,FALSE))^2)))</f>
        <v>1000</v>
      </c>
      <c r="J18" s="10">
        <f>IF($G18=J$5,1000,IF(J$4=0,1000,SQRT((VLOOKUP($G18,Coords[],3,FALSE)-VLOOKUP(J$5,Coords[],3,FALSE))^2+(VLOOKUP($G18,Coords[],4,FALSE)-VLOOKUP(J$5,Coords[],4,FALSE))^2)))</f>
        <v>1000</v>
      </c>
      <c r="K18" s="10">
        <f>IF($G18=K$5,1000,IF(K$4=0,1000,SQRT((VLOOKUP($G18,Coords[],3,FALSE)-VLOOKUP(K$5,Coords[],3,FALSE))^2+(VLOOKUP($G18,Coords[],4,FALSE)-VLOOKUP(K$5,Coords[],4,FALSE))^2)))</f>
        <v>1000</v>
      </c>
      <c r="L18" s="10">
        <f>IF($G18=L$5,1000,IF(L$4=0,1000,SQRT((VLOOKUP($G18,Coords[],3,FALSE)-VLOOKUP(L$5,Coords[],3,FALSE))^2+(VLOOKUP($G18,Coords[],4,FALSE)-VLOOKUP(L$5,Coords[],4,FALSE))^2)))</f>
        <v>1000</v>
      </c>
      <c r="M18" s="10">
        <f>IF($G18=M$5,1000,IF(M$4=0,1000,SQRT((VLOOKUP($G18,Coords[],3,FALSE)-VLOOKUP(M$5,Coords[],3,FALSE))^2+(VLOOKUP($G18,Coords[],4,FALSE)-VLOOKUP(M$5,Coords[],4,FALSE))^2)))</f>
        <v>1000</v>
      </c>
      <c r="N18" s="10">
        <f>IF($G18=N$5,1000,IF(N$4=0,1000,SQRT((VLOOKUP($G18,Coords[],3,FALSE)-VLOOKUP(N$5,Coords[],3,FALSE))^2+(VLOOKUP($G18,Coords[],4,FALSE)-VLOOKUP(N$5,Coords[],4,FALSE))^2)))</f>
        <v>1000</v>
      </c>
      <c r="O18" s="10">
        <f>IF($G18=O$5,1000,IF(O$4=0,1000,SQRT((VLOOKUP($G18,Coords[],3,FALSE)-VLOOKUP(O$5,Coords[],3,FALSE))^2+(VLOOKUP($G18,Coords[],4,FALSE)-VLOOKUP(O$5,Coords[],4,FALSE))^2)))</f>
        <v>1000</v>
      </c>
      <c r="P18" s="10">
        <f>IF($G18=P$5,1000,IF(P$4=0,1000,SQRT((VLOOKUP($G18,Coords[],3,FALSE)-VLOOKUP(P$5,Coords[],3,FALSE))^2+(VLOOKUP($G18,Coords[],4,FALSE)-VLOOKUP(P$5,Coords[],4,FALSE))^2)))</f>
        <v>1000</v>
      </c>
      <c r="Q18" s="10">
        <f>IF($G18=Q$5,1000,IF(Q$4=0,1000,SQRT((VLOOKUP($G18,Coords[],3,FALSE)-VLOOKUP(Q$5,Coords[],3,FALSE))^2+(VLOOKUP($G18,Coords[],4,FALSE)-VLOOKUP(Q$5,Coords[],4,FALSE))^2)))</f>
        <v>1000</v>
      </c>
      <c r="R18" s="10">
        <f>IF($G18=R$5,1000,IF(R$4=0,1000,SQRT((VLOOKUP($G18,Coords[],3,FALSE)-VLOOKUP(R$5,Coords[],3,FALSE))^2+(VLOOKUP($G18,Coords[],4,FALSE)-VLOOKUP(R$5,Coords[],4,FALSE))^2)))</f>
        <v>1000</v>
      </c>
      <c r="S18" s="10">
        <f>IF($G18=S$5,1000,IF(S$4=0,1000,SQRT((VLOOKUP($G18,Coords[],3,FALSE)-VLOOKUP(S$5,Coords[],3,FALSE))^2+(VLOOKUP($G18,Coords[],4,FALSE)-VLOOKUP(S$5,Coords[],4,FALSE))^2)))</f>
        <v>1000</v>
      </c>
      <c r="T18" s="10">
        <f>IF($G18=T$5,1000,IF(T$4=0,1000,SQRT((VLOOKUP($G18,Coords[],3,FALSE)-VLOOKUP(T$5,Coords[],3,FALSE))^2+(VLOOKUP($G18,Coords[],4,FALSE)-VLOOKUP(T$5,Coords[],4,FALSE))^2)))</f>
        <v>1000</v>
      </c>
      <c r="U18" s="10">
        <f>IF($G18=U$5,1000,IF(U$4=0,1000,SQRT((VLOOKUP($G18,Coords[],3,FALSE)-VLOOKUP(U$5,Coords[],3,FALSE))^2+(VLOOKUP($G18,Coords[],4,FALSE)-VLOOKUP(U$5,Coords[],4,FALSE))^2)))</f>
        <v>1000</v>
      </c>
      <c r="V18" s="10">
        <f>IF($G18=V$5,1000,IF(V$4=0,1000,SQRT((VLOOKUP($G18,Coords[],3,FALSE)-VLOOKUP(V$5,Coords[],3,FALSE))^2+(VLOOKUP($G18,Coords[],4,FALSE)-VLOOKUP(V$5,Coords[],4,FALSE))^2)))</f>
        <v>1000</v>
      </c>
      <c r="W18" s="10">
        <f>IF($G18=W$5,1000,IF(W$4=0,1000,SQRT((VLOOKUP($G18,Coords[],3,FALSE)-VLOOKUP(W$5,Coords[],3,FALSE))^2+(VLOOKUP($G18,Coords[],4,FALSE)-VLOOKUP(W$5,Coords[],4,FALSE))^2)))</f>
        <v>1000</v>
      </c>
      <c r="X18" s="10">
        <f>IF($G18=X$5,1000,IF(X$4=0,1000,SQRT((VLOOKUP($G18,Coords[],3,FALSE)-VLOOKUP(X$5,Coords[],3,FALSE))^2+(VLOOKUP($G18,Coords[],4,FALSE)-VLOOKUP(X$5,Coords[],4,FALSE))^2)))</f>
        <v>1000</v>
      </c>
      <c r="Y18" s="10">
        <f>IF($G18=Y$5,1000,IF(Y$4=0,1000,SQRT((VLOOKUP($G18,Coords[],3,FALSE)-VLOOKUP(Y$5,Coords[],3,FALSE))^2+(VLOOKUP($G18,Coords[],4,FALSE)-VLOOKUP(Y$5,Coords[],4,FALSE))^2)))</f>
        <v>1000</v>
      </c>
      <c r="Z18" s="10">
        <f>IF($G18=Z$5,1000,IF(Z$4=0,1000,SQRT((VLOOKUP($G18,Coords[],3,FALSE)-VLOOKUP(Z$5,Coords[],3,FALSE))^2+(VLOOKUP($G18,Coords[],4,FALSE)-VLOOKUP(Z$5,Coords[],4,FALSE))^2)))</f>
        <v>1000</v>
      </c>
      <c r="AA18" s="10">
        <f>IF($G18=AA$5,1000,IF(AA$4=0,1000,SQRT((VLOOKUP($G18,Coords[],3,FALSE)-VLOOKUP(AA$5,Coords[],3,FALSE))^2+(VLOOKUP($G18,Coords[],4,FALSE)-VLOOKUP(AA$5,Coords[],4,FALSE))^2)))</f>
        <v>1000</v>
      </c>
      <c r="AB18" s="10">
        <f>IF($G18=AB$5,1000,IF(AB$4=0,1000,SQRT((VLOOKUP($G18,Coords[],3,FALSE)-VLOOKUP(AB$5,Coords[],3,FALSE))^2+(VLOOKUP($G18,Coords[],4,FALSE)-VLOOKUP(AB$5,Coords[],4,FALSE))^2)))</f>
        <v>1000</v>
      </c>
      <c r="AC18" s="10">
        <f>IF($G18=AC$5,1000,IF(AC$4=0,1000,SQRT((VLOOKUP($G18,Coords[],3,FALSE)-VLOOKUP(AC$5,Coords[],3,FALSE))^2+(VLOOKUP($G18,Coords[],4,FALSE)-VLOOKUP(AC$5,Coords[],4,FALSE))^2)))</f>
        <v>1000</v>
      </c>
      <c r="AD18" s="10">
        <f>IF($G18=AD$5,1000,IF(AD$4=0,1000,SQRT((VLOOKUP($G18,Coords[],3,FALSE)-VLOOKUP(AD$5,Coords[],3,FALSE))^2+(VLOOKUP($G18,Coords[],4,FALSE)-VLOOKUP(AD$5,Coords[],4,FALSE))^2)))</f>
        <v>1000</v>
      </c>
      <c r="AE18" s="10">
        <f>IF($G18=AE$5,1000,IF(AE$4=0,1000,SQRT((VLOOKUP($G18,Coords[],3,FALSE)-VLOOKUP(AE$5,Coords[],3,FALSE))^2+(VLOOKUP($G18,Coords[],4,FALSE)-VLOOKUP(AE$5,Coords[],4,FALSE))^2)))</f>
        <v>1000</v>
      </c>
      <c r="AF18" s="10">
        <f>IF($G18=AF$5,1000,IF(AF$4=0,1000,SQRT((VLOOKUP($G18,Coords[],3,FALSE)-VLOOKUP(AF$5,Coords[],3,FALSE))^2+(VLOOKUP($G18,Coords[],4,FALSE)-VLOOKUP(AF$5,Coords[],4,FALSE))^2)))</f>
        <v>1000</v>
      </c>
      <c r="AG18" s="10">
        <f>IF($G18=AG$5,1000,IF(AG$4=0,1000,SQRT((VLOOKUP($G18,Coords[],3,FALSE)-VLOOKUP(AG$5,Coords[],3,FALSE))^2+(VLOOKUP($G18,Coords[],4,FALSE)-VLOOKUP(AG$5,Coords[],4,FALSE))^2)))</f>
        <v>1000</v>
      </c>
      <c r="AH18" s="10">
        <f>IF($G18=AH$5,1000,IF(AH$4=0,1000,SQRT((VLOOKUP($G18,Coords[],3,FALSE)-VLOOKUP(AH$5,Coords[],3,FALSE))^2+(VLOOKUP($G18,Coords[],4,FALSE)-VLOOKUP(AH$5,Coords[],4,FALSE))^2)))</f>
        <v>1000</v>
      </c>
      <c r="AI18" s="10">
        <f>IF($G18=AI$5,1000,IF(AI$4=0,1000,SQRT((VLOOKUP($G18,Coords[],3,FALSE)-VLOOKUP(AI$5,Coords[],3,FALSE))^2+(VLOOKUP($G18,Coords[],4,FALSE)-VLOOKUP(AI$5,Coords[],4,FALSE))^2)))</f>
        <v>1000</v>
      </c>
      <c r="AJ18" s="10">
        <f>IF($G18=AJ$5,1000,IF(AJ$4=0,1000,SQRT((VLOOKUP($G18,Coords[],3,FALSE)-VLOOKUP(AJ$5,Coords[],3,FALSE))^2+(VLOOKUP($G18,Coords[],4,FALSE)-VLOOKUP(AJ$5,Coords[],4,FALSE))^2)))</f>
        <v>1000</v>
      </c>
      <c r="AK18" s="10">
        <f>IF($G18=AK$5,1000,IF(AK$4=0,1000,SQRT((VLOOKUP($G18,Coords[],3,FALSE)-VLOOKUP(AK$5,Coords[],3,FALSE))^2+(VLOOKUP($G18,Coords[],4,FALSE)-VLOOKUP(AK$5,Coords[],4,FALSE))^2)))</f>
        <v>1000</v>
      </c>
      <c r="AL18" s="10">
        <f>IF($G18=AL$5,1000,IF(AL$4=0,1000,SQRT((VLOOKUP($G18,Coords[],3,FALSE)-VLOOKUP(AL$5,Coords[],3,FALSE))^2+(VLOOKUP($G18,Coords[],4,FALSE)-VLOOKUP(AL$5,Coords[],4,FALSE))^2)))</f>
        <v>1000</v>
      </c>
      <c r="AM18" s="10">
        <f>IF($G18=AM$5,1000,IF(AM$4=0,1000,SQRT((VLOOKUP($G18,Coords[],3,FALSE)-VLOOKUP(AM$5,Coords[],3,FALSE))^2+(VLOOKUP($G18,Coords[],4,FALSE)-VLOOKUP(AM$5,Coords[],4,FALSE))^2)))</f>
        <v>1000</v>
      </c>
      <c r="AN18" s="10">
        <f>IF($G18=AN$5,1000,IF(AN$4=0,1000,SQRT((VLOOKUP($G18,Coords[],3,FALSE)-VLOOKUP(AN$5,Coords[],3,FALSE))^2+(VLOOKUP($G18,Coords[],4,FALSE)-VLOOKUP(AN$5,Coords[],4,FALSE))^2)))</f>
        <v>1000</v>
      </c>
      <c r="AO18" s="10">
        <f>IF($G18=AO$5,1000,IF(AO$4=0,1000,SQRT((VLOOKUP($G18,Coords[],3,FALSE)-VLOOKUP(AO$5,Coords[],3,FALSE))^2+(VLOOKUP($G18,Coords[],4,FALSE)-VLOOKUP(AO$5,Coords[],4,FALSE))^2)))</f>
        <v>1000</v>
      </c>
      <c r="AP18" s="10">
        <f>IF($G18=AP$5,1000,IF(AP$4=0,1000,SQRT((VLOOKUP($G18,Coords[],3,FALSE)-VLOOKUP(AP$5,Coords[],3,FALSE))^2+(VLOOKUP($G18,Coords[],4,FALSE)-VLOOKUP(AP$5,Coords[],4,FALSE))^2)))</f>
        <v>1000</v>
      </c>
      <c r="AQ18" s="10">
        <f>IF($G18=AQ$5,1000,IF(AQ$4=0,1000,SQRT((VLOOKUP($G18,Coords[],3,FALSE)-VLOOKUP(AQ$5,Coords[],3,FALSE))^2+(VLOOKUP($G18,Coords[],4,FALSE)-VLOOKUP(AQ$5,Coords[],4,FALSE))^2)))</f>
        <v>1000</v>
      </c>
      <c r="AR18" s="10">
        <f>IF($G18=AR$5,1000,IF(AR$4=0,1000,SQRT((VLOOKUP($G18,Coords[],3,FALSE)-VLOOKUP(AR$5,Coords[],3,FALSE))^2+(VLOOKUP($G18,Coords[],4,FALSE)-VLOOKUP(AR$5,Coords[],4,FALSE))^2)))</f>
        <v>1000</v>
      </c>
      <c r="AS18" s="10">
        <f>IF($G18=AS$5,1000,IF(AS$4=0,1000,SQRT((VLOOKUP($G18,Coords[],3,FALSE)-VLOOKUP(AS$5,Coords[],3,FALSE))^2+(VLOOKUP($G18,Coords[],4,FALSE)-VLOOKUP(AS$5,Coords[],4,FALSE))^2)))</f>
        <v>1000</v>
      </c>
      <c r="AT18" s="10">
        <f>IF($G18=AT$5,1000,IF(AT$4=0,1000,SQRT((VLOOKUP($G18,Coords[],3,FALSE)-VLOOKUP(AT$5,Coords[],3,FALSE))^2+(VLOOKUP($G18,Coords[],4,FALSE)-VLOOKUP(AT$5,Coords[],4,FALSE))^2)))</f>
        <v>1000</v>
      </c>
      <c r="AU18" s="10">
        <f>IF($G18=AU$5,1000,IF(AU$4=0,1000,SQRT((VLOOKUP($G18,Coords[],3,FALSE)-VLOOKUP(AU$5,Coords[],3,FALSE))^2+(VLOOKUP($G18,Coords[],4,FALSE)-VLOOKUP(AU$5,Coords[],4,FALSE))^2)))</f>
        <v>1000</v>
      </c>
      <c r="AV18" s="10">
        <f>IF($G18=AV$5,1000,IF(AV$4=0,1000,SQRT((VLOOKUP($G18,Coords[],3,FALSE)-VLOOKUP(AV$5,Coords[],3,FALSE))^2+(VLOOKUP($G18,Coords[],4,FALSE)-VLOOKUP(AV$5,Coords[],4,FALSE))^2)))</f>
        <v>1000</v>
      </c>
      <c r="AW18" s="10">
        <f>IF($G18=AW$5,1000,IF(AW$4=0,1000,SQRT((VLOOKUP($G18,Coords[],3,FALSE)-VLOOKUP(AW$5,Coords[],3,FALSE))^2+(VLOOKUP($G18,Coords[],4,FALSE)-VLOOKUP(AW$5,Coords[],4,FALSE))^2)))</f>
        <v>1000</v>
      </c>
      <c r="AX18" s="10">
        <f>IF($G18=AX$5,1000,IF(AX$4=0,1000,SQRT((VLOOKUP($G18,Coords[],3,FALSE)-VLOOKUP(AX$5,Coords[],3,FALSE))^2+(VLOOKUP($G18,Coords[],4,FALSE)-VLOOKUP(AX$5,Coords[],4,FALSE))^2)))</f>
        <v>1000</v>
      </c>
      <c r="AY18" s="10">
        <f>IF($G18=AY$5,1000,IF(AY$4=0,1000,SQRT((VLOOKUP($G18,Coords[],3,FALSE)-VLOOKUP(AY$5,Coords[],3,FALSE))^2+(VLOOKUP($G18,Coords[],4,FALSE)-VLOOKUP(AY$5,Coords[],4,FALSE))^2)))</f>
        <v>1000</v>
      </c>
      <c r="AZ18" s="10">
        <f>IF($G18=AZ$5,1000,IF(AZ$4=0,1000,SQRT((VLOOKUP($G18,Coords[],3,FALSE)-VLOOKUP(AZ$5,Coords[],3,FALSE))^2+(VLOOKUP($G18,Coords[],4,FALSE)-VLOOKUP(AZ$5,Coords[],4,FALSE))^2)))</f>
        <v>1000</v>
      </c>
      <c r="BA18" s="10">
        <f>IF($G18=BA$5,1000,IF(BA$4=0,1000,SQRT((VLOOKUP($G18,Coords[],3,FALSE)-VLOOKUP(BA$5,Coords[],3,FALSE))^2+(VLOOKUP($G18,Coords[],4,FALSE)-VLOOKUP(BA$5,Coords[],4,FALSE))^2)))</f>
        <v>1000</v>
      </c>
      <c r="BB18" s="10">
        <f>IF($G18=BB$5,1000,IF(BB$4=0,1000,SQRT((VLOOKUP($G18,Coords[],3,FALSE)-VLOOKUP(BB$5,Coords[],3,FALSE))^2+(VLOOKUP($G18,Coords[],4,FALSE)-VLOOKUP(BB$5,Coords[],4,FALSE))^2)))</f>
        <v>1000</v>
      </c>
      <c r="BC18" s="10">
        <f>IF($G18=BC$5,1000,IF(BC$4=0,1000,SQRT((VLOOKUP($G18,Coords[],3,FALSE)-VLOOKUP(BC$5,Coords[],3,FALSE))^2+(VLOOKUP($G18,Coords[],4,FALSE)-VLOOKUP(BC$5,Coords[],4,FALSE))^2)))</f>
        <v>1000</v>
      </c>
      <c r="BD18" s="10">
        <f>IF($G18=BD$5,1000,IF(BD$4=0,1000,SQRT((VLOOKUP($G18,Coords[],3,FALSE)-VLOOKUP(BD$5,Coords[],3,FALSE))^2+(VLOOKUP($G18,Coords[],4,FALSE)-VLOOKUP(BD$5,Coords[],4,FALSE))^2)))</f>
        <v>1000</v>
      </c>
      <c r="BE18" s="10">
        <f>IF($G18=BE$5,1000,IF(BE$4=0,1000,SQRT((VLOOKUP($G18,Coords[],3,FALSE)-VLOOKUP(BE$5,Coords[],3,FALSE))^2+(VLOOKUP($G18,Coords[],4,FALSE)-VLOOKUP(BE$5,Coords[],4,FALSE))^2)))</f>
        <v>1000</v>
      </c>
      <c r="BF18" s="10">
        <f>IF($G18=BF$5,1000,IF(BF$4=0,1000,SQRT((VLOOKUP($G18,Coords[],3,FALSE)-VLOOKUP(BF$5,Coords[],3,FALSE))^2+(VLOOKUP($G18,Coords[],4,FALSE)-VLOOKUP(BF$5,Coords[],4,FALSE))^2)))</f>
        <v>1000</v>
      </c>
      <c r="BG18" s="10">
        <f>IF($G18=BG$5,1000,IF(BG$4=0,1000,SQRT((VLOOKUP($G18,Coords[],3,FALSE)-VLOOKUP(BG$5,Coords[],3,FALSE))^2+(VLOOKUP($G18,Coords[],4,FALSE)-VLOOKUP(BG$5,Coords[],4,FALSE))^2)))</f>
        <v>1000</v>
      </c>
      <c r="BH18" s="10">
        <f>IF($G18=BH$5,1000,IF(BH$4=0,1000,SQRT((VLOOKUP($G18,Coords[],3,FALSE)-VLOOKUP(BH$5,Coords[],3,FALSE))^2+(VLOOKUP($G18,Coords[],4,FALSE)-VLOOKUP(BH$5,Coords[],4,FALSE))^2)))</f>
        <v>1000</v>
      </c>
      <c r="BI18" s="10">
        <f>IF($G18=BI$5,1000,IF(BI$4=0,1000,SQRT((VLOOKUP($G18,Coords[],3,FALSE)-VLOOKUP(BI$5,Coords[],3,FALSE))^2+(VLOOKUP($G18,Coords[],4,FALSE)-VLOOKUP(BI$5,Coords[],4,FALSE))^2)))</f>
        <v>1000</v>
      </c>
      <c r="BJ18" s="10">
        <f>IF($G18=BJ$5,1000,IF(BJ$4=0,1000,SQRT((VLOOKUP($G18,Coords[],3,FALSE)-VLOOKUP(BJ$5,Coords[],3,FALSE))^2+(VLOOKUP($G18,Coords[],4,FALSE)-VLOOKUP(BJ$5,Coords[],4,FALSE))^2)))</f>
        <v>1000</v>
      </c>
      <c r="BK18" s="10">
        <f>IF($G18=BK$5,1000,IF(BK$4=0,1000,SQRT((VLOOKUP($G18,Coords[],3,FALSE)-VLOOKUP(BK$5,Coords[],3,FALSE))^2+(VLOOKUP($G18,Coords[],4,FALSE)-VLOOKUP(BK$5,Coords[],4,FALSE))^2)))</f>
        <v>1000</v>
      </c>
      <c r="BL18" s="10">
        <f>IF($G18=BL$5,1000,IF(BL$4=0,1000,SQRT((VLOOKUP($G18,Coords[],3,FALSE)-VLOOKUP(BL$5,Coords[],3,FALSE))^2+(VLOOKUP($G18,Coords[],4,FALSE)-VLOOKUP(BL$5,Coords[],4,FALSE))^2)))</f>
        <v>1000</v>
      </c>
      <c r="BM18" s="10">
        <f>IF($G18=BM$5,1000,IF(BM$4=0,1000,SQRT((VLOOKUP($G18,Coords[],3,FALSE)-VLOOKUP(BM$5,Coords[],3,FALSE))^2+(VLOOKUP($G18,Coords[],4,FALSE)-VLOOKUP(BM$5,Coords[],4,FALSE))^2)))</f>
        <v>1000</v>
      </c>
      <c r="BN18" s="10">
        <f>IF($G18=BN$5,1000,IF(BN$4=0,1000,SQRT((VLOOKUP($G18,Coords[],3,FALSE)-VLOOKUP(BN$5,Coords[],3,FALSE))^2+(VLOOKUP($G18,Coords[],4,FALSE)-VLOOKUP(BN$5,Coords[],4,FALSE))^2)))</f>
        <v>1000</v>
      </c>
      <c r="BO18" s="10">
        <f>IF($G18=BO$5,1000,IF(BO$4=0,1000,SQRT((VLOOKUP($G18,Coords[],3,FALSE)-VLOOKUP(BO$5,Coords[],3,FALSE))^2+(VLOOKUP($G18,Coords[],4,FALSE)-VLOOKUP(BO$5,Coords[],4,FALSE))^2)))</f>
        <v>1000</v>
      </c>
      <c r="BP18" s="10">
        <f>IF($G18=BP$5,1000,IF(BP$4=0,1000,SQRT((VLOOKUP($G18,Coords[],3,FALSE)-VLOOKUP(BP$5,Coords[],3,FALSE))^2+(VLOOKUP($G18,Coords[],4,FALSE)-VLOOKUP(BP$5,Coords[],4,FALSE))^2)))</f>
        <v>1000</v>
      </c>
      <c r="BQ18" s="10">
        <f>IF($G18=BQ$5,1000,IF(BQ$4=0,1000,SQRT((VLOOKUP($G18,Coords[],3,FALSE)-VLOOKUP(BQ$5,Coords[],3,FALSE))^2+(VLOOKUP($G18,Coords[],4,FALSE)-VLOOKUP(BQ$5,Coords[],4,FALSE))^2)))</f>
        <v>1000</v>
      </c>
      <c r="BR18" s="10">
        <f>IF($G18=BR$5,1000,IF(BR$4=0,1000,SQRT((VLOOKUP($G18,Coords[],3,FALSE)-VLOOKUP(BR$5,Coords[],3,FALSE))^2+(VLOOKUP($G18,Coords[],4,FALSE)-VLOOKUP(BR$5,Coords[],4,FALSE))^2)))</f>
        <v>1000</v>
      </c>
      <c r="BS18" s="10">
        <f>IF($G18=BS$5,1000,IF(BS$4=0,1000,SQRT((VLOOKUP($G18,Coords[],3,FALSE)-VLOOKUP(BS$5,Coords[],3,FALSE))^2+(VLOOKUP($G18,Coords[],4,FALSE)-VLOOKUP(BS$5,Coords[],4,FALSE))^2)))</f>
        <v>1000</v>
      </c>
      <c r="BT18" s="10">
        <f>IF($G18=BT$5,1000,IF(BT$4=0,1000,SQRT((VLOOKUP($G18,Coords[],3,FALSE)-VLOOKUP(BT$5,Coords[],3,FALSE))^2+(VLOOKUP($G18,Coords[],4,FALSE)-VLOOKUP(BT$5,Coords[],4,FALSE))^2)))</f>
        <v>1000</v>
      </c>
      <c r="BU18" s="10">
        <f>IF($G18=BU$5,1000,IF(BU$4=0,1000,SQRT((VLOOKUP($G18,Coords[],3,FALSE)-VLOOKUP(BU$5,Coords[],3,FALSE))^2+(VLOOKUP($G18,Coords[],4,FALSE)-VLOOKUP(BU$5,Coords[],4,FALSE))^2)))</f>
        <v>1000</v>
      </c>
      <c r="BV18" s="10">
        <f>IF($G18=BV$5,1000,IF(BV$4=0,1000,SQRT((VLOOKUP($G18,Coords[],3,FALSE)-VLOOKUP(BV$5,Coords[],3,FALSE))^2+(VLOOKUP($G18,Coords[],4,FALSE)-VLOOKUP(BV$5,Coords[],4,FALSE))^2)))</f>
        <v>1000</v>
      </c>
      <c r="BW18" s="10">
        <f>IF($G18=BW$5,1000,IF(BW$4=0,1000,SQRT((VLOOKUP($G18,Coords[],3,FALSE)-VLOOKUP(BW$5,Coords[],3,FALSE))^2+(VLOOKUP($G18,Coords[],4,FALSE)-VLOOKUP(BW$5,Coords[],4,FALSE))^2)))</f>
        <v>1000</v>
      </c>
      <c r="BX18" s="10">
        <f>IF($G18=BX$5,1000,IF(BX$4=0,1000,SQRT((VLOOKUP($G18,Coords[],3,FALSE)-VLOOKUP(BX$5,Coords[],3,FALSE))^2+(VLOOKUP($G18,Coords[],4,FALSE)-VLOOKUP(BX$5,Coords[],4,FALSE))^2)))</f>
        <v>1000</v>
      </c>
      <c r="BY18" s="10">
        <f>IF($G18=BY$5,1000,IF(BY$4=0,1000,SQRT((VLOOKUP($G18,Coords[],3,FALSE)-VLOOKUP(BY$5,Coords[],3,FALSE))^2+(VLOOKUP($G18,Coords[],4,FALSE)-VLOOKUP(BY$5,Coords[],4,FALSE))^2)))</f>
        <v>1000</v>
      </c>
      <c r="BZ18" s="10">
        <f>IF($G18=BZ$5,1000,IF(BZ$4=0,1000,SQRT((VLOOKUP($G18,Coords[],3,FALSE)-VLOOKUP(BZ$5,Coords[],3,FALSE))^2+(VLOOKUP($G18,Coords[],4,FALSE)-VLOOKUP(BZ$5,Coords[],4,FALSE))^2)))</f>
        <v>1000</v>
      </c>
      <c r="CA18" s="10">
        <f>IF($G18=CA$5,1000,IF(CA$4=0,1000,SQRT((VLOOKUP($G18,Coords[],3,FALSE)-VLOOKUP(CA$5,Coords[],3,FALSE))^2+(VLOOKUP($G18,Coords[],4,FALSE)-VLOOKUP(CA$5,Coords[],4,FALSE))^2)))</f>
        <v>1000</v>
      </c>
      <c r="CB18" s="10">
        <f>IF($G18=CB$5,1000,IF(CB$4=0,1000,SQRT((VLOOKUP($G18,Coords[],3,FALSE)-VLOOKUP(CB$5,Coords[],3,FALSE))^2+(VLOOKUP($G18,Coords[],4,FALSE)-VLOOKUP(CB$5,Coords[],4,FALSE))^2)))</f>
        <v>1000</v>
      </c>
      <c r="CC18" s="10">
        <f>IF($G18=CC$5,1000,IF(CC$4=0,1000,SQRT((VLOOKUP($G18,Coords[],3,FALSE)-VLOOKUP(CC$5,Coords[],3,FALSE))^2+(VLOOKUP($G18,Coords[],4,FALSE)-VLOOKUP(CC$5,Coords[],4,FALSE))^2)))</f>
        <v>1000</v>
      </c>
      <c r="CD18" s="10">
        <f>IF($G18=CD$5,1000,IF(CD$4=0,1000,SQRT((VLOOKUP($G18,Coords[],3,FALSE)-VLOOKUP(CD$5,Coords[],3,FALSE))^2+(VLOOKUP($G18,Coords[],4,FALSE)-VLOOKUP(CD$5,Coords[],4,FALSE))^2)))</f>
        <v>1000</v>
      </c>
      <c r="CE18" s="10">
        <f>IF($G18=CE$5,1000,IF(CE$4=0,1000,SQRT((VLOOKUP($G18,Coords[],3,FALSE)-VLOOKUP(CE$5,Coords[],3,FALSE))^2+(VLOOKUP($G18,Coords[],4,FALSE)-VLOOKUP(CE$5,Coords[],4,FALSE))^2)))</f>
        <v>1000</v>
      </c>
      <c r="CF18" s="4">
        <v>13</v>
      </c>
      <c r="CH18" s="5">
        <f>IF(E18=1,0,VLOOKUP($G18,$G$6:$CE$82,HLOOKUP(MIN(H18:CE18),$H18:$CE$82,((COUNT($G$6:$G$81)+2)-$G18),FALSE)+1,FALSE)*B18)</f>
        <v>0</v>
      </c>
      <c r="CI18" s="9">
        <f>VLOOKUP($G18,$G$6:$CE$82,HLOOKUP(MIN(H18:CE18),$H18:$CE$82,((COUNT($G$6:$G$81)+2)-$G18),FALSE)+1,FALSE)</f>
        <v>1000</v>
      </c>
      <c r="CJ18" s="7">
        <f>HLOOKUP(MIN(H18:CE18),$H18:$CE$82,((COUNT($G$6:$G$81)+2)-$G18),FALSE)</f>
        <v>1</v>
      </c>
      <c r="CK18">
        <f>CI18*Coords[[#This Row],[Demand]]</f>
        <v>0</v>
      </c>
    </row>
    <row r="19" spans="1:89" x14ac:dyDescent="0.25">
      <c r="A19" s="8">
        <v>14</v>
      </c>
      <c r="B19" s="3"/>
      <c r="C19" s="3"/>
      <c r="D19" s="3"/>
      <c r="E19" s="3"/>
      <c r="G19" s="4">
        <v>14</v>
      </c>
      <c r="H19" s="10">
        <f>IF($G19=H$5,1000,IF(H$4=0,1000,SQRT((VLOOKUP($G19,Coords[],3,FALSE)-VLOOKUP(H$5,Coords[],3,FALSE))^2+(VLOOKUP($G19,Coords[],4,FALSE)-VLOOKUP(H$5,Coords[],4,FALSE))^2)))</f>
        <v>1000</v>
      </c>
      <c r="I19" s="10">
        <f>IF($G19=I$5,1000,IF(I$4=0,1000,SQRT((VLOOKUP($G19,Coords[],3,FALSE)-VLOOKUP(I$5,Coords[],3,FALSE))^2+(VLOOKUP($G19,Coords[],4,FALSE)-VLOOKUP(I$5,Coords[],4,FALSE))^2)))</f>
        <v>1000</v>
      </c>
      <c r="J19" s="10">
        <f>IF($G19=J$5,1000,IF(J$4=0,1000,SQRT((VLOOKUP($G19,Coords[],3,FALSE)-VLOOKUP(J$5,Coords[],3,FALSE))^2+(VLOOKUP($G19,Coords[],4,FALSE)-VLOOKUP(J$5,Coords[],4,FALSE))^2)))</f>
        <v>1000</v>
      </c>
      <c r="K19" s="10">
        <f>IF($G19=K$5,1000,IF(K$4=0,1000,SQRT((VLOOKUP($G19,Coords[],3,FALSE)-VLOOKUP(K$5,Coords[],3,FALSE))^2+(VLOOKUP($G19,Coords[],4,FALSE)-VLOOKUP(K$5,Coords[],4,FALSE))^2)))</f>
        <v>1000</v>
      </c>
      <c r="L19" s="10">
        <f>IF($G19=L$5,1000,IF(L$4=0,1000,SQRT((VLOOKUP($G19,Coords[],3,FALSE)-VLOOKUP(L$5,Coords[],3,FALSE))^2+(VLOOKUP($G19,Coords[],4,FALSE)-VLOOKUP(L$5,Coords[],4,FALSE))^2)))</f>
        <v>1000</v>
      </c>
      <c r="M19" s="10">
        <f>IF($G19=M$5,1000,IF(M$4=0,1000,SQRT((VLOOKUP($G19,Coords[],3,FALSE)-VLOOKUP(M$5,Coords[],3,FALSE))^2+(VLOOKUP($G19,Coords[],4,FALSE)-VLOOKUP(M$5,Coords[],4,FALSE))^2)))</f>
        <v>1000</v>
      </c>
      <c r="N19" s="10">
        <f>IF($G19=N$5,1000,IF(N$4=0,1000,SQRT((VLOOKUP($G19,Coords[],3,FALSE)-VLOOKUP(N$5,Coords[],3,FALSE))^2+(VLOOKUP($G19,Coords[],4,FALSE)-VLOOKUP(N$5,Coords[],4,FALSE))^2)))</f>
        <v>1000</v>
      </c>
      <c r="O19" s="10">
        <f>IF($G19=O$5,1000,IF(O$4=0,1000,SQRT((VLOOKUP($G19,Coords[],3,FALSE)-VLOOKUP(O$5,Coords[],3,FALSE))^2+(VLOOKUP($G19,Coords[],4,FALSE)-VLOOKUP(O$5,Coords[],4,FALSE))^2)))</f>
        <v>1000</v>
      </c>
      <c r="P19" s="10">
        <f>IF($G19=P$5,1000,IF(P$4=0,1000,SQRT((VLOOKUP($G19,Coords[],3,FALSE)-VLOOKUP(P$5,Coords[],3,FALSE))^2+(VLOOKUP($G19,Coords[],4,FALSE)-VLOOKUP(P$5,Coords[],4,FALSE))^2)))</f>
        <v>1000</v>
      </c>
      <c r="Q19" s="10">
        <f>IF($G19=Q$5,1000,IF(Q$4=0,1000,SQRT((VLOOKUP($G19,Coords[],3,FALSE)-VLOOKUP(Q$5,Coords[],3,FALSE))^2+(VLOOKUP($G19,Coords[],4,FALSE)-VLOOKUP(Q$5,Coords[],4,FALSE))^2)))</f>
        <v>1000</v>
      </c>
      <c r="R19" s="10">
        <f>IF($G19=R$5,1000,IF(R$4=0,1000,SQRT((VLOOKUP($G19,Coords[],3,FALSE)-VLOOKUP(R$5,Coords[],3,FALSE))^2+(VLOOKUP($G19,Coords[],4,FALSE)-VLOOKUP(R$5,Coords[],4,FALSE))^2)))</f>
        <v>1000</v>
      </c>
      <c r="S19" s="10">
        <f>IF($G19=S$5,1000,IF(S$4=0,1000,SQRT((VLOOKUP($G19,Coords[],3,FALSE)-VLOOKUP(S$5,Coords[],3,FALSE))^2+(VLOOKUP($G19,Coords[],4,FALSE)-VLOOKUP(S$5,Coords[],4,FALSE))^2)))</f>
        <v>1000</v>
      </c>
      <c r="T19" s="10">
        <f>IF($G19=T$5,1000,IF(T$4=0,1000,SQRT((VLOOKUP($G19,Coords[],3,FALSE)-VLOOKUP(T$5,Coords[],3,FALSE))^2+(VLOOKUP($G19,Coords[],4,FALSE)-VLOOKUP(T$5,Coords[],4,FALSE))^2)))</f>
        <v>1000</v>
      </c>
      <c r="U19" s="10">
        <f>IF($G19=U$5,1000,IF(U$4=0,1000,SQRT((VLOOKUP($G19,Coords[],3,FALSE)-VLOOKUP(U$5,Coords[],3,FALSE))^2+(VLOOKUP($G19,Coords[],4,FALSE)-VLOOKUP(U$5,Coords[],4,FALSE))^2)))</f>
        <v>1000</v>
      </c>
      <c r="V19" s="10">
        <f>IF($G19=V$5,1000,IF(V$4=0,1000,SQRT((VLOOKUP($G19,Coords[],3,FALSE)-VLOOKUP(V$5,Coords[],3,FALSE))^2+(VLOOKUP($G19,Coords[],4,FALSE)-VLOOKUP(V$5,Coords[],4,FALSE))^2)))</f>
        <v>1000</v>
      </c>
      <c r="W19" s="10">
        <f>IF($G19=W$5,1000,IF(W$4=0,1000,SQRT((VLOOKUP($G19,Coords[],3,FALSE)-VLOOKUP(W$5,Coords[],3,FALSE))^2+(VLOOKUP($G19,Coords[],4,FALSE)-VLOOKUP(W$5,Coords[],4,FALSE))^2)))</f>
        <v>1000</v>
      </c>
      <c r="X19" s="10">
        <f>IF($G19=X$5,1000,IF(X$4=0,1000,SQRT((VLOOKUP($G19,Coords[],3,FALSE)-VLOOKUP(X$5,Coords[],3,FALSE))^2+(VLOOKUP($G19,Coords[],4,FALSE)-VLOOKUP(X$5,Coords[],4,FALSE))^2)))</f>
        <v>1000</v>
      </c>
      <c r="Y19" s="10">
        <f>IF($G19=Y$5,1000,IF(Y$4=0,1000,SQRT((VLOOKUP($G19,Coords[],3,FALSE)-VLOOKUP(Y$5,Coords[],3,FALSE))^2+(VLOOKUP($G19,Coords[],4,FALSE)-VLOOKUP(Y$5,Coords[],4,FALSE))^2)))</f>
        <v>1000</v>
      </c>
      <c r="Z19" s="10">
        <f>IF($G19=Z$5,1000,IF(Z$4=0,1000,SQRT((VLOOKUP($G19,Coords[],3,FALSE)-VLOOKUP(Z$5,Coords[],3,FALSE))^2+(VLOOKUP($G19,Coords[],4,FALSE)-VLOOKUP(Z$5,Coords[],4,FALSE))^2)))</f>
        <v>1000</v>
      </c>
      <c r="AA19" s="10">
        <f>IF($G19=AA$5,1000,IF(AA$4=0,1000,SQRT((VLOOKUP($G19,Coords[],3,FALSE)-VLOOKUP(AA$5,Coords[],3,FALSE))^2+(VLOOKUP($G19,Coords[],4,FALSE)-VLOOKUP(AA$5,Coords[],4,FALSE))^2)))</f>
        <v>1000</v>
      </c>
      <c r="AB19" s="10">
        <f>IF($G19=AB$5,1000,IF(AB$4=0,1000,SQRT((VLOOKUP($G19,Coords[],3,FALSE)-VLOOKUP(AB$5,Coords[],3,FALSE))^2+(VLOOKUP($G19,Coords[],4,FALSE)-VLOOKUP(AB$5,Coords[],4,FALSE))^2)))</f>
        <v>1000</v>
      </c>
      <c r="AC19" s="10">
        <f>IF($G19=AC$5,1000,IF(AC$4=0,1000,SQRT((VLOOKUP($G19,Coords[],3,FALSE)-VLOOKUP(AC$5,Coords[],3,FALSE))^2+(VLOOKUP($G19,Coords[],4,FALSE)-VLOOKUP(AC$5,Coords[],4,FALSE))^2)))</f>
        <v>1000</v>
      </c>
      <c r="AD19" s="10">
        <f>IF($G19=AD$5,1000,IF(AD$4=0,1000,SQRT((VLOOKUP($G19,Coords[],3,FALSE)-VLOOKUP(AD$5,Coords[],3,FALSE))^2+(VLOOKUP($G19,Coords[],4,FALSE)-VLOOKUP(AD$5,Coords[],4,FALSE))^2)))</f>
        <v>1000</v>
      </c>
      <c r="AE19" s="10">
        <f>IF($G19=AE$5,1000,IF(AE$4=0,1000,SQRT((VLOOKUP($G19,Coords[],3,FALSE)-VLOOKUP(AE$5,Coords[],3,FALSE))^2+(VLOOKUP($G19,Coords[],4,FALSE)-VLOOKUP(AE$5,Coords[],4,FALSE))^2)))</f>
        <v>1000</v>
      </c>
      <c r="AF19" s="10">
        <f>IF($G19=AF$5,1000,IF(AF$4=0,1000,SQRT((VLOOKUP($G19,Coords[],3,FALSE)-VLOOKUP(AF$5,Coords[],3,FALSE))^2+(VLOOKUP($G19,Coords[],4,FALSE)-VLOOKUP(AF$5,Coords[],4,FALSE))^2)))</f>
        <v>1000</v>
      </c>
      <c r="AG19" s="10">
        <f>IF($G19=AG$5,1000,IF(AG$4=0,1000,SQRT((VLOOKUP($G19,Coords[],3,FALSE)-VLOOKUP(AG$5,Coords[],3,FALSE))^2+(VLOOKUP($G19,Coords[],4,FALSE)-VLOOKUP(AG$5,Coords[],4,FALSE))^2)))</f>
        <v>1000</v>
      </c>
      <c r="AH19" s="10">
        <f>IF($G19=AH$5,1000,IF(AH$4=0,1000,SQRT((VLOOKUP($G19,Coords[],3,FALSE)-VLOOKUP(AH$5,Coords[],3,FALSE))^2+(VLOOKUP($G19,Coords[],4,FALSE)-VLOOKUP(AH$5,Coords[],4,FALSE))^2)))</f>
        <v>1000</v>
      </c>
      <c r="AI19" s="10">
        <f>IF($G19=AI$5,1000,IF(AI$4=0,1000,SQRT((VLOOKUP($G19,Coords[],3,FALSE)-VLOOKUP(AI$5,Coords[],3,FALSE))^2+(VLOOKUP($G19,Coords[],4,FALSE)-VLOOKUP(AI$5,Coords[],4,FALSE))^2)))</f>
        <v>1000</v>
      </c>
      <c r="AJ19" s="10">
        <f>IF($G19=AJ$5,1000,IF(AJ$4=0,1000,SQRT((VLOOKUP($G19,Coords[],3,FALSE)-VLOOKUP(AJ$5,Coords[],3,FALSE))^2+(VLOOKUP($G19,Coords[],4,FALSE)-VLOOKUP(AJ$5,Coords[],4,FALSE))^2)))</f>
        <v>1000</v>
      </c>
      <c r="AK19" s="10">
        <f>IF($G19=AK$5,1000,IF(AK$4=0,1000,SQRT((VLOOKUP($G19,Coords[],3,FALSE)-VLOOKUP(AK$5,Coords[],3,FALSE))^2+(VLOOKUP($G19,Coords[],4,FALSE)-VLOOKUP(AK$5,Coords[],4,FALSE))^2)))</f>
        <v>1000</v>
      </c>
      <c r="AL19" s="10">
        <f>IF($G19=AL$5,1000,IF(AL$4=0,1000,SQRT((VLOOKUP($G19,Coords[],3,FALSE)-VLOOKUP(AL$5,Coords[],3,FALSE))^2+(VLOOKUP($G19,Coords[],4,FALSE)-VLOOKUP(AL$5,Coords[],4,FALSE))^2)))</f>
        <v>1000</v>
      </c>
      <c r="AM19" s="10">
        <f>IF($G19=AM$5,1000,IF(AM$4=0,1000,SQRT((VLOOKUP($G19,Coords[],3,FALSE)-VLOOKUP(AM$5,Coords[],3,FALSE))^2+(VLOOKUP($G19,Coords[],4,FALSE)-VLOOKUP(AM$5,Coords[],4,FALSE))^2)))</f>
        <v>1000</v>
      </c>
      <c r="AN19" s="10">
        <f>IF($G19=AN$5,1000,IF(AN$4=0,1000,SQRT((VLOOKUP($G19,Coords[],3,FALSE)-VLOOKUP(AN$5,Coords[],3,FALSE))^2+(VLOOKUP($G19,Coords[],4,FALSE)-VLOOKUP(AN$5,Coords[],4,FALSE))^2)))</f>
        <v>1000</v>
      </c>
      <c r="AO19" s="10">
        <f>IF($G19=AO$5,1000,IF(AO$4=0,1000,SQRT((VLOOKUP($G19,Coords[],3,FALSE)-VLOOKUP(AO$5,Coords[],3,FALSE))^2+(VLOOKUP($G19,Coords[],4,FALSE)-VLOOKUP(AO$5,Coords[],4,FALSE))^2)))</f>
        <v>1000</v>
      </c>
      <c r="AP19" s="10">
        <f>IF($G19=AP$5,1000,IF(AP$4=0,1000,SQRT((VLOOKUP($G19,Coords[],3,FALSE)-VLOOKUP(AP$5,Coords[],3,FALSE))^2+(VLOOKUP($G19,Coords[],4,FALSE)-VLOOKUP(AP$5,Coords[],4,FALSE))^2)))</f>
        <v>1000</v>
      </c>
      <c r="AQ19" s="10">
        <f>IF($G19=AQ$5,1000,IF(AQ$4=0,1000,SQRT((VLOOKUP($G19,Coords[],3,FALSE)-VLOOKUP(AQ$5,Coords[],3,FALSE))^2+(VLOOKUP($G19,Coords[],4,FALSE)-VLOOKUP(AQ$5,Coords[],4,FALSE))^2)))</f>
        <v>1000</v>
      </c>
      <c r="AR19" s="10">
        <f>IF($G19=AR$5,1000,IF(AR$4=0,1000,SQRT((VLOOKUP($G19,Coords[],3,FALSE)-VLOOKUP(AR$5,Coords[],3,FALSE))^2+(VLOOKUP($G19,Coords[],4,FALSE)-VLOOKUP(AR$5,Coords[],4,FALSE))^2)))</f>
        <v>1000</v>
      </c>
      <c r="AS19" s="10">
        <f>IF($G19=AS$5,1000,IF(AS$4=0,1000,SQRT((VLOOKUP($G19,Coords[],3,FALSE)-VLOOKUP(AS$5,Coords[],3,FALSE))^2+(VLOOKUP($G19,Coords[],4,FALSE)-VLOOKUP(AS$5,Coords[],4,FALSE))^2)))</f>
        <v>1000</v>
      </c>
      <c r="AT19" s="10">
        <f>IF($G19=AT$5,1000,IF(AT$4=0,1000,SQRT((VLOOKUP($G19,Coords[],3,FALSE)-VLOOKUP(AT$5,Coords[],3,FALSE))^2+(VLOOKUP($G19,Coords[],4,FALSE)-VLOOKUP(AT$5,Coords[],4,FALSE))^2)))</f>
        <v>1000</v>
      </c>
      <c r="AU19" s="10">
        <f>IF($G19=AU$5,1000,IF(AU$4=0,1000,SQRT((VLOOKUP($G19,Coords[],3,FALSE)-VLOOKUP(AU$5,Coords[],3,FALSE))^2+(VLOOKUP($G19,Coords[],4,FALSE)-VLOOKUP(AU$5,Coords[],4,FALSE))^2)))</f>
        <v>1000</v>
      </c>
      <c r="AV19" s="10">
        <f>IF($G19=AV$5,1000,IF(AV$4=0,1000,SQRT((VLOOKUP($G19,Coords[],3,FALSE)-VLOOKUP(AV$5,Coords[],3,FALSE))^2+(VLOOKUP($G19,Coords[],4,FALSE)-VLOOKUP(AV$5,Coords[],4,FALSE))^2)))</f>
        <v>1000</v>
      </c>
      <c r="AW19" s="10">
        <f>IF($G19=AW$5,1000,IF(AW$4=0,1000,SQRT((VLOOKUP($G19,Coords[],3,FALSE)-VLOOKUP(AW$5,Coords[],3,FALSE))^2+(VLOOKUP($G19,Coords[],4,FALSE)-VLOOKUP(AW$5,Coords[],4,FALSE))^2)))</f>
        <v>1000</v>
      </c>
      <c r="AX19" s="10">
        <f>IF($G19=AX$5,1000,IF(AX$4=0,1000,SQRT((VLOOKUP($G19,Coords[],3,FALSE)-VLOOKUP(AX$5,Coords[],3,FALSE))^2+(VLOOKUP($G19,Coords[],4,FALSE)-VLOOKUP(AX$5,Coords[],4,FALSE))^2)))</f>
        <v>1000</v>
      </c>
      <c r="AY19" s="10">
        <f>IF($G19=AY$5,1000,IF(AY$4=0,1000,SQRT((VLOOKUP($G19,Coords[],3,FALSE)-VLOOKUP(AY$5,Coords[],3,FALSE))^2+(VLOOKUP($G19,Coords[],4,FALSE)-VLOOKUP(AY$5,Coords[],4,FALSE))^2)))</f>
        <v>1000</v>
      </c>
      <c r="AZ19" s="10">
        <f>IF($G19=AZ$5,1000,IF(AZ$4=0,1000,SQRT((VLOOKUP($G19,Coords[],3,FALSE)-VLOOKUP(AZ$5,Coords[],3,FALSE))^2+(VLOOKUP($G19,Coords[],4,FALSE)-VLOOKUP(AZ$5,Coords[],4,FALSE))^2)))</f>
        <v>1000</v>
      </c>
      <c r="BA19" s="10">
        <f>IF($G19=BA$5,1000,IF(BA$4=0,1000,SQRT((VLOOKUP($G19,Coords[],3,FALSE)-VLOOKUP(BA$5,Coords[],3,FALSE))^2+(VLOOKUP($G19,Coords[],4,FALSE)-VLOOKUP(BA$5,Coords[],4,FALSE))^2)))</f>
        <v>1000</v>
      </c>
      <c r="BB19" s="10">
        <f>IF($G19=BB$5,1000,IF(BB$4=0,1000,SQRT((VLOOKUP($G19,Coords[],3,FALSE)-VLOOKUP(BB$5,Coords[],3,FALSE))^2+(VLOOKUP($G19,Coords[],4,FALSE)-VLOOKUP(BB$5,Coords[],4,FALSE))^2)))</f>
        <v>1000</v>
      </c>
      <c r="BC19" s="10">
        <f>IF($G19=BC$5,1000,IF(BC$4=0,1000,SQRT((VLOOKUP($G19,Coords[],3,FALSE)-VLOOKUP(BC$5,Coords[],3,FALSE))^2+(VLOOKUP($G19,Coords[],4,FALSE)-VLOOKUP(BC$5,Coords[],4,FALSE))^2)))</f>
        <v>1000</v>
      </c>
      <c r="BD19" s="10">
        <f>IF($G19=BD$5,1000,IF(BD$4=0,1000,SQRT((VLOOKUP($G19,Coords[],3,FALSE)-VLOOKUP(BD$5,Coords[],3,FALSE))^2+(VLOOKUP($G19,Coords[],4,FALSE)-VLOOKUP(BD$5,Coords[],4,FALSE))^2)))</f>
        <v>1000</v>
      </c>
      <c r="BE19" s="10">
        <f>IF($G19=BE$5,1000,IF(BE$4=0,1000,SQRT((VLOOKUP($G19,Coords[],3,FALSE)-VLOOKUP(BE$5,Coords[],3,FALSE))^2+(VLOOKUP($G19,Coords[],4,FALSE)-VLOOKUP(BE$5,Coords[],4,FALSE))^2)))</f>
        <v>1000</v>
      </c>
      <c r="BF19" s="10">
        <f>IF($G19=BF$5,1000,IF(BF$4=0,1000,SQRT((VLOOKUP($G19,Coords[],3,FALSE)-VLOOKUP(BF$5,Coords[],3,FALSE))^2+(VLOOKUP($G19,Coords[],4,FALSE)-VLOOKUP(BF$5,Coords[],4,FALSE))^2)))</f>
        <v>1000</v>
      </c>
      <c r="BG19" s="10">
        <f>IF($G19=BG$5,1000,IF(BG$4=0,1000,SQRT((VLOOKUP($G19,Coords[],3,FALSE)-VLOOKUP(BG$5,Coords[],3,FALSE))^2+(VLOOKUP($G19,Coords[],4,FALSE)-VLOOKUP(BG$5,Coords[],4,FALSE))^2)))</f>
        <v>1000</v>
      </c>
      <c r="BH19" s="10">
        <f>IF($G19=BH$5,1000,IF(BH$4=0,1000,SQRT((VLOOKUP($G19,Coords[],3,FALSE)-VLOOKUP(BH$5,Coords[],3,FALSE))^2+(VLOOKUP($G19,Coords[],4,FALSE)-VLOOKUP(BH$5,Coords[],4,FALSE))^2)))</f>
        <v>1000</v>
      </c>
      <c r="BI19" s="10">
        <f>IF($G19=BI$5,1000,IF(BI$4=0,1000,SQRT((VLOOKUP($G19,Coords[],3,FALSE)-VLOOKUP(BI$5,Coords[],3,FALSE))^2+(VLOOKUP($G19,Coords[],4,FALSE)-VLOOKUP(BI$5,Coords[],4,FALSE))^2)))</f>
        <v>1000</v>
      </c>
      <c r="BJ19" s="10">
        <f>IF($G19=BJ$5,1000,IF(BJ$4=0,1000,SQRT((VLOOKUP($G19,Coords[],3,FALSE)-VLOOKUP(BJ$5,Coords[],3,FALSE))^2+(VLOOKUP($G19,Coords[],4,FALSE)-VLOOKUP(BJ$5,Coords[],4,FALSE))^2)))</f>
        <v>1000</v>
      </c>
      <c r="BK19" s="10">
        <f>IF($G19=BK$5,1000,IF(BK$4=0,1000,SQRT((VLOOKUP($G19,Coords[],3,FALSE)-VLOOKUP(BK$5,Coords[],3,FALSE))^2+(VLOOKUP($G19,Coords[],4,FALSE)-VLOOKUP(BK$5,Coords[],4,FALSE))^2)))</f>
        <v>1000</v>
      </c>
      <c r="BL19" s="10">
        <f>IF($G19=BL$5,1000,IF(BL$4=0,1000,SQRT((VLOOKUP($G19,Coords[],3,FALSE)-VLOOKUP(BL$5,Coords[],3,FALSE))^2+(VLOOKUP($G19,Coords[],4,FALSE)-VLOOKUP(BL$5,Coords[],4,FALSE))^2)))</f>
        <v>1000</v>
      </c>
      <c r="BM19" s="10">
        <f>IF($G19=BM$5,1000,IF(BM$4=0,1000,SQRT((VLOOKUP($G19,Coords[],3,FALSE)-VLOOKUP(BM$5,Coords[],3,FALSE))^2+(VLOOKUP($G19,Coords[],4,FALSE)-VLOOKUP(BM$5,Coords[],4,FALSE))^2)))</f>
        <v>1000</v>
      </c>
      <c r="BN19" s="10">
        <f>IF($G19=BN$5,1000,IF(BN$4=0,1000,SQRT((VLOOKUP($G19,Coords[],3,FALSE)-VLOOKUP(BN$5,Coords[],3,FALSE))^2+(VLOOKUP($G19,Coords[],4,FALSE)-VLOOKUP(BN$5,Coords[],4,FALSE))^2)))</f>
        <v>1000</v>
      </c>
      <c r="BO19" s="10">
        <f>IF($G19=BO$5,1000,IF(BO$4=0,1000,SQRT((VLOOKUP($G19,Coords[],3,FALSE)-VLOOKUP(BO$5,Coords[],3,FALSE))^2+(VLOOKUP($G19,Coords[],4,FALSE)-VLOOKUP(BO$5,Coords[],4,FALSE))^2)))</f>
        <v>1000</v>
      </c>
      <c r="BP19" s="10">
        <f>IF($G19=BP$5,1000,IF(BP$4=0,1000,SQRT((VLOOKUP($G19,Coords[],3,FALSE)-VLOOKUP(BP$5,Coords[],3,FALSE))^2+(VLOOKUP($G19,Coords[],4,FALSE)-VLOOKUP(BP$5,Coords[],4,FALSE))^2)))</f>
        <v>1000</v>
      </c>
      <c r="BQ19" s="10">
        <f>IF($G19=BQ$5,1000,IF(BQ$4=0,1000,SQRT((VLOOKUP($G19,Coords[],3,FALSE)-VLOOKUP(BQ$5,Coords[],3,FALSE))^2+(VLOOKUP($G19,Coords[],4,FALSE)-VLOOKUP(BQ$5,Coords[],4,FALSE))^2)))</f>
        <v>1000</v>
      </c>
      <c r="BR19" s="10">
        <f>IF($G19=BR$5,1000,IF(BR$4=0,1000,SQRT((VLOOKUP($G19,Coords[],3,FALSE)-VLOOKUP(BR$5,Coords[],3,FALSE))^2+(VLOOKUP($G19,Coords[],4,FALSE)-VLOOKUP(BR$5,Coords[],4,FALSE))^2)))</f>
        <v>1000</v>
      </c>
      <c r="BS19" s="10">
        <f>IF($G19=BS$5,1000,IF(BS$4=0,1000,SQRT((VLOOKUP($G19,Coords[],3,FALSE)-VLOOKUP(BS$5,Coords[],3,FALSE))^2+(VLOOKUP($G19,Coords[],4,FALSE)-VLOOKUP(BS$5,Coords[],4,FALSE))^2)))</f>
        <v>1000</v>
      </c>
      <c r="BT19" s="10">
        <f>IF($G19=BT$5,1000,IF(BT$4=0,1000,SQRT((VLOOKUP($G19,Coords[],3,FALSE)-VLOOKUP(BT$5,Coords[],3,FALSE))^2+(VLOOKUP($G19,Coords[],4,FALSE)-VLOOKUP(BT$5,Coords[],4,FALSE))^2)))</f>
        <v>1000</v>
      </c>
      <c r="BU19" s="10">
        <f>IF($G19=BU$5,1000,IF(BU$4=0,1000,SQRT((VLOOKUP($G19,Coords[],3,FALSE)-VLOOKUP(BU$5,Coords[],3,FALSE))^2+(VLOOKUP($G19,Coords[],4,FALSE)-VLOOKUP(BU$5,Coords[],4,FALSE))^2)))</f>
        <v>1000</v>
      </c>
      <c r="BV19" s="10">
        <f>IF($G19=BV$5,1000,IF(BV$4=0,1000,SQRT((VLOOKUP($G19,Coords[],3,FALSE)-VLOOKUP(BV$5,Coords[],3,FALSE))^2+(VLOOKUP($G19,Coords[],4,FALSE)-VLOOKUP(BV$5,Coords[],4,FALSE))^2)))</f>
        <v>1000</v>
      </c>
      <c r="BW19" s="10">
        <f>IF($G19=BW$5,1000,IF(BW$4=0,1000,SQRT((VLOOKUP($G19,Coords[],3,FALSE)-VLOOKUP(BW$5,Coords[],3,FALSE))^2+(VLOOKUP($G19,Coords[],4,FALSE)-VLOOKUP(BW$5,Coords[],4,FALSE))^2)))</f>
        <v>1000</v>
      </c>
      <c r="BX19" s="10">
        <f>IF($G19=BX$5,1000,IF(BX$4=0,1000,SQRT((VLOOKUP($G19,Coords[],3,FALSE)-VLOOKUP(BX$5,Coords[],3,FALSE))^2+(VLOOKUP($G19,Coords[],4,FALSE)-VLOOKUP(BX$5,Coords[],4,FALSE))^2)))</f>
        <v>1000</v>
      </c>
      <c r="BY19" s="10">
        <f>IF($G19=BY$5,1000,IF(BY$4=0,1000,SQRT((VLOOKUP($G19,Coords[],3,FALSE)-VLOOKUP(BY$5,Coords[],3,FALSE))^2+(VLOOKUP($G19,Coords[],4,FALSE)-VLOOKUP(BY$5,Coords[],4,FALSE))^2)))</f>
        <v>1000</v>
      </c>
      <c r="BZ19" s="10">
        <f>IF($G19=BZ$5,1000,IF(BZ$4=0,1000,SQRT((VLOOKUP($G19,Coords[],3,FALSE)-VLOOKUP(BZ$5,Coords[],3,FALSE))^2+(VLOOKUP($G19,Coords[],4,FALSE)-VLOOKUP(BZ$5,Coords[],4,FALSE))^2)))</f>
        <v>1000</v>
      </c>
      <c r="CA19" s="10">
        <f>IF($G19=CA$5,1000,IF(CA$4=0,1000,SQRT((VLOOKUP($G19,Coords[],3,FALSE)-VLOOKUP(CA$5,Coords[],3,FALSE))^2+(VLOOKUP($G19,Coords[],4,FALSE)-VLOOKUP(CA$5,Coords[],4,FALSE))^2)))</f>
        <v>1000</v>
      </c>
      <c r="CB19" s="10">
        <f>IF($G19=CB$5,1000,IF(CB$4=0,1000,SQRT((VLOOKUP($G19,Coords[],3,FALSE)-VLOOKUP(CB$5,Coords[],3,FALSE))^2+(VLOOKUP($G19,Coords[],4,FALSE)-VLOOKUP(CB$5,Coords[],4,FALSE))^2)))</f>
        <v>1000</v>
      </c>
      <c r="CC19" s="10">
        <f>IF($G19=CC$5,1000,IF(CC$4=0,1000,SQRT((VLOOKUP($G19,Coords[],3,FALSE)-VLOOKUP(CC$5,Coords[],3,FALSE))^2+(VLOOKUP($G19,Coords[],4,FALSE)-VLOOKUP(CC$5,Coords[],4,FALSE))^2)))</f>
        <v>1000</v>
      </c>
      <c r="CD19" s="10">
        <f>IF($G19=CD$5,1000,IF(CD$4=0,1000,SQRT((VLOOKUP($G19,Coords[],3,FALSE)-VLOOKUP(CD$5,Coords[],3,FALSE))^2+(VLOOKUP($G19,Coords[],4,FALSE)-VLOOKUP(CD$5,Coords[],4,FALSE))^2)))</f>
        <v>1000</v>
      </c>
      <c r="CE19" s="10">
        <f>IF($G19=CE$5,1000,IF(CE$4=0,1000,SQRT((VLOOKUP($G19,Coords[],3,FALSE)-VLOOKUP(CE$5,Coords[],3,FALSE))^2+(VLOOKUP($G19,Coords[],4,FALSE)-VLOOKUP(CE$5,Coords[],4,FALSE))^2)))</f>
        <v>1000</v>
      </c>
      <c r="CF19" s="4">
        <v>14</v>
      </c>
      <c r="CH19" s="5">
        <f>IF(E19=1,0,VLOOKUP($G19,$G$6:$CE$82,HLOOKUP(MIN(H19:CE19),$H19:$CE$82,((COUNT($G$6:$G$81)+2)-$G19),FALSE)+1,FALSE)*B19)</f>
        <v>0</v>
      </c>
      <c r="CI19" s="9">
        <f>VLOOKUP($G19,$G$6:$CE$82,HLOOKUP(MIN(H19:CE19),$H19:$CE$82,((COUNT($G$6:$G$81)+2)-$G19),FALSE)+1,FALSE)</f>
        <v>1000</v>
      </c>
      <c r="CJ19" s="7">
        <f>HLOOKUP(MIN(H19:CE19),$H19:$CE$82,((COUNT($G$6:$G$81)+2)-$G19),FALSE)</f>
        <v>1</v>
      </c>
      <c r="CK19">
        <f>CI19*Coords[[#This Row],[Demand]]</f>
        <v>0</v>
      </c>
    </row>
    <row r="20" spans="1:89" x14ac:dyDescent="0.25">
      <c r="A20" s="8">
        <v>15</v>
      </c>
      <c r="B20" s="3"/>
      <c r="C20" s="3"/>
      <c r="D20" s="3"/>
      <c r="E20" s="3"/>
      <c r="G20" s="4">
        <v>15</v>
      </c>
      <c r="H20" s="10">
        <f>IF($G20=H$5,1000,IF(H$4=0,1000,SQRT((VLOOKUP($G20,Coords[],3,FALSE)-VLOOKUP(H$5,Coords[],3,FALSE))^2+(VLOOKUP($G20,Coords[],4,FALSE)-VLOOKUP(H$5,Coords[],4,FALSE))^2)))</f>
        <v>1000</v>
      </c>
      <c r="I20" s="10">
        <f>IF($G20=I$5,1000,IF(I$4=0,1000,SQRT((VLOOKUP($G20,Coords[],3,FALSE)-VLOOKUP(I$5,Coords[],3,FALSE))^2+(VLOOKUP($G20,Coords[],4,FALSE)-VLOOKUP(I$5,Coords[],4,FALSE))^2)))</f>
        <v>1000</v>
      </c>
      <c r="J20" s="10">
        <f>IF($G20=J$5,1000,IF(J$4=0,1000,SQRT((VLOOKUP($G20,Coords[],3,FALSE)-VLOOKUP(J$5,Coords[],3,FALSE))^2+(VLOOKUP($G20,Coords[],4,FALSE)-VLOOKUP(J$5,Coords[],4,FALSE))^2)))</f>
        <v>1000</v>
      </c>
      <c r="K20" s="10">
        <f>IF($G20=K$5,1000,IF(K$4=0,1000,SQRT((VLOOKUP($G20,Coords[],3,FALSE)-VLOOKUP(K$5,Coords[],3,FALSE))^2+(VLOOKUP($G20,Coords[],4,FALSE)-VLOOKUP(K$5,Coords[],4,FALSE))^2)))</f>
        <v>1000</v>
      </c>
      <c r="L20" s="10">
        <f>IF($G20=L$5,1000,IF(L$4=0,1000,SQRT((VLOOKUP($G20,Coords[],3,FALSE)-VLOOKUP(L$5,Coords[],3,FALSE))^2+(VLOOKUP($G20,Coords[],4,FALSE)-VLOOKUP(L$5,Coords[],4,FALSE))^2)))</f>
        <v>1000</v>
      </c>
      <c r="M20" s="10">
        <f>IF($G20=M$5,1000,IF(M$4=0,1000,SQRT((VLOOKUP($G20,Coords[],3,FALSE)-VLOOKUP(M$5,Coords[],3,FALSE))^2+(VLOOKUP($G20,Coords[],4,FALSE)-VLOOKUP(M$5,Coords[],4,FALSE))^2)))</f>
        <v>1000</v>
      </c>
      <c r="N20" s="10">
        <f>IF($G20=N$5,1000,IF(N$4=0,1000,SQRT((VLOOKUP($G20,Coords[],3,FALSE)-VLOOKUP(N$5,Coords[],3,FALSE))^2+(VLOOKUP($G20,Coords[],4,FALSE)-VLOOKUP(N$5,Coords[],4,FALSE))^2)))</f>
        <v>1000</v>
      </c>
      <c r="O20" s="10">
        <f>IF($G20=O$5,1000,IF(O$4=0,1000,SQRT((VLOOKUP($G20,Coords[],3,FALSE)-VLOOKUP(O$5,Coords[],3,FALSE))^2+(VLOOKUP($G20,Coords[],4,FALSE)-VLOOKUP(O$5,Coords[],4,FALSE))^2)))</f>
        <v>1000</v>
      </c>
      <c r="P20" s="10">
        <f>IF($G20=P$5,1000,IF(P$4=0,1000,SQRT((VLOOKUP($G20,Coords[],3,FALSE)-VLOOKUP(P$5,Coords[],3,FALSE))^2+(VLOOKUP($G20,Coords[],4,FALSE)-VLOOKUP(P$5,Coords[],4,FALSE))^2)))</f>
        <v>1000</v>
      </c>
      <c r="Q20" s="10">
        <f>IF($G20=Q$5,1000,IF(Q$4=0,1000,SQRT((VLOOKUP($G20,Coords[],3,FALSE)-VLOOKUP(Q$5,Coords[],3,FALSE))^2+(VLOOKUP($G20,Coords[],4,FALSE)-VLOOKUP(Q$5,Coords[],4,FALSE))^2)))</f>
        <v>1000</v>
      </c>
      <c r="R20" s="10">
        <f>IF($G20=R$5,1000,IF(R$4=0,1000,SQRT((VLOOKUP($G20,Coords[],3,FALSE)-VLOOKUP(R$5,Coords[],3,FALSE))^2+(VLOOKUP($G20,Coords[],4,FALSE)-VLOOKUP(R$5,Coords[],4,FALSE))^2)))</f>
        <v>1000</v>
      </c>
      <c r="S20" s="10">
        <f>IF($G20=S$5,1000,IF(S$4=0,1000,SQRT((VLOOKUP($G20,Coords[],3,FALSE)-VLOOKUP(S$5,Coords[],3,FALSE))^2+(VLOOKUP($G20,Coords[],4,FALSE)-VLOOKUP(S$5,Coords[],4,FALSE))^2)))</f>
        <v>1000</v>
      </c>
      <c r="T20" s="10">
        <f>IF($G20=T$5,1000,IF(T$4=0,1000,SQRT((VLOOKUP($G20,Coords[],3,FALSE)-VLOOKUP(T$5,Coords[],3,FALSE))^2+(VLOOKUP($G20,Coords[],4,FALSE)-VLOOKUP(T$5,Coords[],4,FALSE))^2)))</f>
        <v>1000</v>
      </c>
      <c r="U20" s="10">
        <f>IF($G20=U$5,1000,IF(U$4=0,1000,SQRT((VLOOKUP($G20,Coords[],3,FALSE)-VLOOKUP(U$5,Coords[],3,FALSE))^2+(VLOOKUP($G20,Coords[],4,FALSE)-VLOOKUP(U$5,Coords[],4,FALSE))^2)))</f>
        <v>1000</v>
      </c>
      <c r="V20" s="10">
        <f>IF($G20=V$5,1000,IF(V$4=0,1000,SQRT((VLOOKUP($G20,Coords[],3,FALSE)-VLOOKUP(V$5,Coords[],3,FALSE))^2+(VLOOKUP($G20,Coords[],4,FALSE)-VLOOKUP(V$5,Coords[],4,FALSE))^2)))</f>
        <v>1000</v>
      </c>
      <c r="W20" s="10">
        <f>IF($G20=W$5,1000,IF(W$4=0,1000,SQRT((VLOOKUP($G20,Coords[],3,FALSE)-VLOOKUP(W$5,Coords[],3,FALSE))^2+(VLOOKUP($G20,Coords[],4,FALSE)-VLOOKUP(W$5,Coords[],4,FALSE))^2)))</f>
        <v>1000</v>
      </c>
      <c r="X20" s="10">
        <f>IF($G20=X$5,1000,IF(X$4=0,1000,SQRT((VLOOKUP($G20,Coords[],3,FALSE)-VLOOKUP(X$5,Coords[],3,FALSE))^2+(VLOOKUP($G20,Coords[],4,FALSE)-VLOOKUP(X$5,Coords[],4,FALSE))^2)))</f>
        <v>1000</v>
      </c>
      <c r="Y20" s="10">
        <f>IF($G20=Y$5,1000,IF(Y$4=0,1000,SQRT((VLOOKUP($G20,Coords[],3,FALSE)-VLOOKUP(Y$5,Coords[],3,FALSE))^2+(VLOOKUP($G20,Coords[],4,FALSE)-VLOOKUP(Y$5,Coords[],4,FALSE))^2)))</f>
        <v>1000</v>
      </c>
      <c r="Z20" s="10">
        <f>IF($G20=Z$5,1000,IF(Z$4=0,1000,SQRT((VLOOKUP($G20,Coords[],3,FALSE)-VLOOKUP(Z$5,Coords[],3,FALSE))^2+(VLOOKUP($G20,Coords[],4,FALSE)-VLOOKUP(Z$5,Coords[],4,FALSE))^2)))</f>
        <v>1000</v>
      </c>
      <c r="AA20" s="10">
        <f>IF($G20=AA$5,1000,IF(AA$4=0,1000,SQRT((VLOOKUP($G20,Coords[],3,FALSE)-VLOOKUP(AA$5,Coords[],3,FALSE))^2+(VLOOKUP($G20,Coords[],4,FALSE)-VLOOKUP(AA$5,Coords[],4,FALSE))^2)))</f>
        <v>1000</v>
      </c>
      <c r="AB20" s="10">
        <f>IF($G20=AB$5,1000,IF(AB$4=0,1000,SQRT((VLOOKUP($G20,Coords[],3,FALSE)-VLOOKUP(AB$5,Coords[],3,FALSE))^2+(VLOOKUP($G20,Coords[],4,FALSE)-VLOOKUP(AB$5,Coords[],4,FALSE))^2)))</f>
        <v>1000</v>
      </c>
      <c r="AC20" s="10">
        <f>IF($G20=AC$5,1000,IF(AC$4=0,1000,SQRT((VLOOKUP($G20,Coords[],3,FALSE)-VLOOKUP(AC$5,Coords[],3,FALSE))^2+(VLOOKUP($G20,Coords[],4,FALSE)-VLOOKUP(AC$5,Coords[],4,FALSE))^2)))</f>
        <v>1000</v>
      </c>
      <c r="AD20" s="10">
        <f>IF($G20=AD$5,1000,IF(AD$4=0,1000,SQRT((VLOOKUP($G20,Coords[],3,FALSE)-VLOOKUP(AD$5,Coords[],3,FALSE))^2+(VLOOKUP($G20,Coords[],4,FALSE)-VLOOKUP(AD$5,Coords[],4,FALSE))^2)))</f>
        <v>1000</v>
      </c>
      <c r="AE20" s="10">
        <f>IF($G20=AE$5,1000,IF(AE$4=0,1000,SQRT((VLOOKUP($G20,Coords[],3,FALSE)-VLOOKUP(AE$5,Coords[],3,FALSE))^2+(VLOOKUP($G20,Coords[],4,FALSE)-VLOOKUP(AE$5,Coords[],4,FALSE))^2)))</f>
        <v>1000</v>
      </c>
      <c r="AF20" s="10">
        <f>IF($G20=AF$5,1000,IF(AF$4=0,1000,SQRT((VLOOKUP($G20,Coords[],3,FALSE)-VLOOKUP(AF$5,Coords[],3,FALSE))^2+(VLOOKUP($G20,Coords[],4,FALSE)-VLOOKUP(AF$5,Coords[],4,FALSE))^2)))</f>
        <v>1000</v>
      </c>
      <c r="AG20" s="10">
        <f>IF($G20=AG$5,1000,IF(AG$4=0,1000,SQRT((VLOOKUP($G20,Coords[],3,FALSE)-VLOOKUP(AG$5,Coords[],3,FALSE))^2+(VLOOKUP($G20,Coords[],4,FALSE)-VLOOKUP(AG$5,Coords[],4,FALSE))^2)))</f>
        <v>1000</v>
      </c>
      <c r="AH20" s="10">
        <f>IF($G20=AH$5,1000,IF(AH$4=0,1000,SQRT((VLOOKUP($G20,Coords[],3,FALSE)-VLOOKUP(AH$5,Coords[],3,FALSE))^2+(VLOOKUP($G20,Coords[],4,FALSE)-VLOOKUP(AH$5,Coords[],4,FALSE))^2)))</f>
        <v>1000</v>
      </c>
      <c r="AI20" s="10">
        <f>IF($G20=AI$5,1000,IF(AI$4=0,1000,SQRT((VLOOKUP($G20,Coords[],3,FALSE)-VLOOKUP(AI$5,Coords[],3,FALSE))^2+(VLOOKUP($G20,Coords[],4,FALSE)-VLOOKUP(AI$5,Coords[],4,FALSE))^2)))</f>
        <v>1000</v>
      </c>
      <c r="AJ20" s="10">
        <f>IF($G20=AJ$5,1000,IF(AJ$4=0,1000,SQRT((VLOOKUP($G20,Coords[],3,FALSE)-VLOOKUP(AJ$5,Coords[],3,FALSE))^2+(VLOOKUP($G20,Coords[],4,FALSE)-VLOOKUP(AJ$5,Coords[],4,FALSE))^2)))</f>
        <v>1000</v>
      </c>
      <c r="AK20" s="10">
        <f>IF($G20=AK$5,1000,IF(AK$4=0,1000,SQRT((VLOOKUP($G20,Coords[],3,FALSE)-VLOOKUP(AK$5,Coords[],3,FALSE))^2+(VLOOKUP($G20,Coords[],4,FALSE)-VLOOKUP(AK$5,Coords[],4,FALSE))^2)))</f>
        <v>1000</v>
      </c>
      <c r="AL20" s="10">
        <f>IF($G20=AL$5,1000,IF(AL$4=0,1000,SQRT((VLOOKUP($G20,Coords[],3,FALSE)-VLOOKUP(AL$5,Coords[],3,FALSE))^2+(VLOOKUP($G20,Coords[],4,FALSE)-VLOOKUP(AL$5,Coords[],4,FALSE))^2)))</f>
        <v>1000</v>
      </c>
      <c r="AM20" s="10">
        <f>IF($G20=AM$5,1000,IF(AM$4=0,1000,SQRT((VLOOKUP($G20,Coords[],3,FALSE)-VLOOKUP(AM$5,Coords[],3,FALSE))^2+(VLOOKUP($G20,Coords[],4,FALSE)-VLOOKUP(AM$5,Coords[],4,FALSE))^2)))</f>
        <v>1000</v>
      </c>
      <c r="AN20" s="10">
        <f>IF($G20=AN$5,1000,IF(AN$4=0,1000,SQRT((VLOOKUP($G20,Coords[],3,FALSE)-VLOOKUP(AN$5,Coords[],3,FALSE))^2+(VLOOKUP($G20,Coords[],4,FALSE)-VLOOKUP(AN$5,Coords[],4,FALSE))^2)))</f>
        <v>1000</v>
      </c>
      <c r="AO20" s="10">
        <f>IF($G20=AO$5,1000,IF(AO$4=0,1000,SQRT((VLOOKUP($G20,Coords[],3,FALSE)-VLOOKUP(AO$5,Coords[],3,FALSE))^2+(VLOOKUP($G20,Coords[],4,FALSE)-VLOOKUP(AO$5,Coords[],4,FALSE))^2)))</f>
        <v>1000</v>
      </c>
      <c r="AP20" s="10">
        <f>IF($G20=AP$5,1000,IF(AP$4=0,1000,SQRT((VLOOKUP($G20,Coords[],3,FALSE)-VLOOKUP(AP$5,Coords[],3,FALSE))^2+(VLOOKUP($G20,Coords[],4,FALSE)-VLOOKUP(AP$5,Coords[],4,FALSE))^2)))</f>
        <v>1000</v>
      </c>
      <c r="AQ20" s="10">
        <f>IF($G20=AQ$5,1000,IF(AQ$4=0,1000,SQRT((VLOOKUP($G20,Coords[],3,FALSE)-VLOOKUP(AQ$5,Coords[],3,FALSE))^2+(VLOOKUP($G20,Coords[],4,FALSE)-VLOOKUP(AQ$5,Coords[],4,FALSE))^2)))</f>
        <v>1000</v>
      </c>
      <c r="AR20" s="10">
        <f>IF($G20=AR$5,1000,IF(AR$4=0,1000,SQRT((VLOOKUP($G20,Coords[],3,FALSE)-VLOOKUP(AR$5,Coords[],3,FALSE))^2+(VLOOKUP($G20,Coords[],4,FALSE)-VLOOKUP(AR$5,Coords[],4,FALSE))^2)))</f>
        <v>1000</v>
      </c>
      <c r="AS20" s="10">
        <f>IF($G20=AS$5,1000,IF(AS$4=0,1000,SQRT((VLOOKUP($G20,Coords[],3,FALSE)-VLOOKUP(AS$5,Coords[],3,FALSE))^2+(VLOOKUP($G20,Coords[],4,FALSE)-VLOOKUP(AS$5,Coords[],4,FALSE))^2)))</f>
        <v>1000</v>
      </c>
      <c r="AT20" s="10">
        <f>IF($G20=AT$5,1000,IF(AT$4=0,1000,SQRT((VLOOKUP($G20,Coords[],3,FALSE)-VLOOKUP(AT$5,Coords[],3,FALSE))^2+(VLOOKUP($G20,Coords[],4,FALSE)-VLOOKUP(AT$5,Coords[],4,FALSE))^2)))</f>
        <v>1000</v>
      </c>
      <c r="AU20" s="10">
        <f>IF($G20=AU$5,1000,IF(AU$4=0,1000,SQRT((VLOOKUP($G20,Coords[],3,FALSE)-VLOOKUP(AU$5,Coords[],3,FALSE))^2+(VLOOKUP($G20,Coords[],4,FALSE)-VLOOKUP(AU$5,Coords[],4,FALSE))^2)))</f>
        <v>1000</v>
      </c>
      <c r="AV20" s="10">
        <f>IF($G20=AV$5,1000,IF(AV$4=0,1000,SQRT((VLOOKUP($G20,Coords[],3,FALSE)-VLOOKUP(AV$5,Coords[],3,FALSE))^2+(VLOOKUP($G20,Coords[],4,FALSE)-VLOOKUP(AV$5,Coords[],4,FALSE))^2)))</f>
        <v>1000</v>
      </c>
      <c r="AW20" s="10">
        <f>IF($G20=AW$5,1000,IF(AW$4=0,1000,SQRT((VLOOKUP($G20,Coords[],3,FALSE)-VLOOKUP(AW$5,Coords[],3,FALSE))^2+(VLOOKUP($G20,Coords[],4,FALSE)-VLOOKUP(AW$5,Coords[],4,FALSE))^2)))</f>
        <v>1000</v>
      </c>
      <c r="AX20" s="10">
        <f>IF($G20=AX$5,1000,IF(AX$4=0,1000,SQRT((VLOOKUP($G20,Coords[],3,FALSE)-VLOOKUP(AX$5,Coords[],3,FALSE))^2+(VLOOKUP($G20,Coords[],4,FALSE)-VLOOKUP(AX$5,Coords[],4,FALSE))^2)))</f>
        <v>1000</v>
      </c>
      <c r="AY20" s="10">
        <f>IF($G20=AY$5,1000,IF(AY$4=0,1000,SQRT((VLOOKUP($G20,Coords[],3,FALSE)-VLOOKUP(AY$5,Coords[],3,FALSE))^2+(VLOOKUP($G20,Coords[],4,FALSE)-VLOOKUP(AY$5,Coords[],4,FALSE))^2)))</f>
        <v>1000</v>
      </c>
      <c r="AZ20" s="10">
        <f>IF($G20=AZ$5,1000,IF(AZ$4=0,1000,SQRT((VLOOKUP($G20,Coords[],3,FALSE)-VLOOKUP(AZ$5,Coords[],3,FALSE))^2+(VLOOKUP($G20,Coords[],4,FALSE)-VLOOKUP(AZ$5,Coords[],4,FALSE))^2)))</f>
        <v>1000</v>
      </c>
      <c r="BA20" s="10">
        <f>IF($G20=BA$5,1000,IF(BA$4=0,1000,SQRT((VLOOKUP($G20,Coords[],3,FALSE)-VLOOKUP(BA$5,Coords[],3,FALSE))^2+(VLOOKUP($G20,Coords[],4,FALSE)-VLOOKUP(BA$5,Coords[],4,FALSE))^2)))</f>
        <v>1000</v>
      </c>
      <c r="BB20" s="10">
        <f>IF($G20=BB$5,1000,IF(BB$4=0,1000,SQRT((VLOOKUP($G20,Coords[],3,FALSE)-VLOOKUP(BB$5,Coords[],3,FALSE))^2+(VLOOKUP($G20,Coords[],4,FALSE)-VLOOKUP(BB$5,Coords[],4,FALSE))^2)))</f>
        <v>1000</v>
      </c>
      <c r="BC20" s="10">
        <f>IF($G20=BC$5,1000,IF(BC$4=0,1000,SQRT((VLOOKUP($G20,Coords[],3,FALSE)-VLOOKUP(BC$5,Coords[],3,FALSE))^2+(VLOOKUP($G20,Coords[],4,FALSE)-VLOOKUP(BC$5,Coords[],4,FALSE))^2)))</f>
        <v>1000</v>
      </c>
      <c r="BD20" s="10">
        <f>IF($G20=BD$5,1000,IF(BD$4=0,1000,SQRT((VLOOKUP($G20,Coords[],3,FALSE)-VLOOKUP(BD$5,Coords[],3,FALSE))^2+(VLOOKUP($G20,Coords[],4,FALSE)-VLOOKUP(BD$5,Coords[],4,FALSE))^2)))</f>
        <v>1000</v>
      </c>
      <c r="BE20" s="10">
        <f>IF($G20=BE$5,1000,IF(BE$4=0,1000,SQRT((VLOOKUP($G20,Coords[],3,FALSE)-VLOOKUP(BE$5,Coords[],3,FALSE))^2+(VLOOKUP($G20,Coords[],4,FALSE)-VLOOKUP(BE$5,Coords[],4,FALSE))^2)))</f>
        <v>1000</v>
      </c>
      <c r="BF20" s="10">
        <f>IF($G20=BF$5,1000,IF(BF$4=0,1000,SQRT((VLOOKUP($G20,Coords[],3,FALSE)-VLOOKUP(BF$5,Coords[],3,FALSE))^2+(VLOOKUP($G20,Coords[],4,FALSE)-VLOOKUP(BF$5,Coords[],4,FALSE))^2)))</f>
        <v>1000</v>
      </c>
      <c r="BG20" s="10">
        <f>IF($G20=BG$5,1000,IF(BG$4=0,1000,SQRT((VLOOKUP($G20,Coords[],3,FALSE)-VLOOKUP(BG$5,Coords[],3,FALSE))^2+(VLOOKUP($G20,Coords[],4,FALSE)-VLOOKUP(BG$5,Coords[],4,FALSE))^2)))</f>
        <v>1000</v>
      </c>
      <c r="BH20" s="10">
        <f>IF($G20=BH$5,1000,IF(BH$4=0,1000,SQRT((VLOOKUP($G20,Coords[],3,FALSE)-VLOOKUP(BH$5,Coords[],3,FALSE))^2+(VLOOKUP($G20,Coords[],4,FALSE)-VLOOKUP(BH$5,Coords[],4,FALSE))^2)))</f>
        <v>1000</v>
      </c>
      <c r="BI20" s="10">
        <f>IF($G20=BI$5,1000,IF(BI$4=0,1000,SQRT((VLOOKUP($G20,Coords[],3,FALSE)-VLOOKUP(BI$5,Coords[],3,FALSE))^2+(VLOOKUP($G20,Coords[],4,FALSE)-VLOOKUP(BI$5,Coords[],4,FALSE))^2)))</f>
        <v>1000</v>
      </c>
      <c r="BJ20" s="10">
        <f>IF($G20=BJ$5,1000,IF(BJ$4=0,1000,SQRT((VLOOKUP($G20,Coords[],3,FALSE)-VLOOKUP(BJ$5,Coords[],3,FALSE))^2+(VLOOKUP($G20,Coords[],4,FALSE)-VLOOKUP(BJ$5,Coords[],4,FALSE))^2)))</f>
        <v>1000</v>
      </c>
      <c r="BK20" s="10">
        <f>IF($G20=BK$5,1000,IF(BK$4=0,1000,SQRT((VLOOKUP($G20,Coords[],3,FALSE)-VLOOKUP(BK$5,Coords[],3,FALSE))^2+(VLOOKUP($G20,Coords[],4,FALSE)-VLOOKUP(BK$5,Coords[],4,FALSE))^2)))</f>
        <v>1000</v>
      </c>
      <c r="BL20" s="10">
        <f>IF($G20=BL$5,1000,IF(BL$4=0,1000,SQRT((VLOOKUP($G20,Coords[],3,FALSE)-VLOOKUP(BL$5,Coords[],3,FALSE))^2+(VLOOKUP($G20,Coords[],4,FALSE)-VLOOKUP(BL$5,Coords[],4,FALSE))^2)))</f>
        <v>1000</v>
      </c>
      <c r="BM20" s="10">
        <f>IF($G20=BM$5,1000,IF(BM$4=0,1000,SQRT((VLOOKUP($G20,Coords[],3,FALSE)-VLOOKUP(BM$5,Coords[],3,FALSE))^2+(VLOOKUP($G20,Coords[],4,FALSE)-VLOOKUP(BM$5,Coords[],4,FALSE))^2)))</f>
        <v>1000</v>
      </c>
      <c r="BN20" s="10">
        <f>IF($G20=BN$5,1000,IF(BN$4=0,1000,SQRT((VLOOKUP($G20,Coords[],3,FALSE)-VLOOKUP(BN$5,Coords[],3,FALSE))^2+(VLOOKUP($G20,Coords[],4,FALSE)-VLOOKUP(BN$5,Coords[],4,FALSE))^2)))</f>
        <v>1000</v>
      </c>
      <c r="BO20" s="10">
        <f>IF($G20=BO$5,1000,IF(BO$4=0,1000,SQRT((VLOOKUP($G20,Coords[],3,FALSE)-VLOOKUP(BO$5,Coords[],3,FALSE))^2+(VLOOKUP($G20,Coords[],4,FALSE)-VLOOKUP(BO$5,Coords[],4,FALSE))^2)))</f>
        <v>1000</v>
      </c>
      <c r="BP20" s="10">
        <f>IF($G20=BP$5,1000,IF(BP$4=0,1000,SQRT((VLOOKUP($G20,Coords[],3,FALSE)-VLOOKUP(BP$5,Coords[],3,FALSE))^2+(VLOOKUP($G20,Coords[],4,FALSE)-VLOOKUP(BP$5,Coords[],4,FALSE))^2)))</f>
        <v>1000</v>
      </c>
      <c r="BQ20" s="10">
        <f>IF($G20=BQ$5,1000,IF(BQ$4=0,1000,SQRT((VLOOKUP($G20,Coords[],3,FALSE)-VLOOKUP(BQ$5,Coords[],3,FALSE))^2+(VLOOKUP($G20,Coords[],4,FALSE)-VLOOKUP(BQ$5,Coords[],4,FALSE))^2)))</f>
        <v>1000</v>
      </c>
      <c r="BR20" s="10">
        <f>IF($G20=BR$5,1000,IF(BR$4=0,1000,SQRT((VLOOKUP($G20,Coords[],3,FALSE)-VLOOKUP(BR$5,Coords[],3,FALSE))^2+(VLOOKUP($G20,Coords[],4,FALSE)-VLOOKUP(BR$5,Coords[],4,FALSE))^2)))</f>
        <v>1000</v>
      </c>
      <c r="BS20" s="10">
        <f>IF($G20=BS$5,1000,IF(BS$4=0,1000,SQRT((VLOOKUP($G20,Coords[],3,FALSE)-VLOOKUP(BS$5,Coords[],3,FALSE))^2+(VLOOKUP($G20,Coords[],4,FALSE)-VLOOKUP(BS$5,Coords[],4,FALSE))^2)))</f>
        <v>1000</v>
      </c>
      <c r="BT20" s="10">
        <f>IF($G20=BT$5,1000,IF(BT$4=0,1000,SQRT((VLOOKUP($G20,Coords[],3,FALSE)-VLOOKUP(BT$5,Coords[],3,FALSE))^2+(VLOOKUP($G20,Coords[],4,FALSE)-VLOOKUP(BT$5,Coords[],4,FALSE))^2)))</f>
        <v>1000</v>
      </c>
      <c r="BU20" s="10">
        <f>IF($G20=BU$5,1000,IF(BU$4=0,1000,SQRT((VLOOKUP($G20,Coords[],3,FALSE)-VLOOKUP(BU$5,Coords[],3,FALSE))^2+(VLOOKUP($G20,Coords[],4,FALSE)-VLOOKUP(BU$5,Coords[],4,FALSE))^2)))</f>
        <v>1000</v>
      </c>
      <c r="BV20" s="10">
        <f>IF($G20=BV$5,1000,IF(BV$4=0,1000,SQRT((VLOOKUP($G20,Coords[],3,FALSE)-VLOOKUP(BV$5,Coords[],3,FALSE))^2+(VLOOKUP($G20,Coords[],4,FALSE)-VLOOKUP(BV$5,Coords[],4,FALSE))^2)))</f>
        <v>1000</v>
      </c>
      <c r="BW20" s="10">
        <f>IF($G20=BW$5,1000,IF(BW$4=0,1000,SQRT((VLOOKUP($G20,Coords[],3,FALSE)-VLOOKUP(BW$5,Coords[],3,FALSE))^2+(VLOOKUP($G20,Coords[],4,FALSE)-VLOOKUP(BW$5,Coords[],4,FALSE))^2)))</f>
        <v>1000</v>
      </c>
      <c r="BX20" s="10">
        <f>IF($G20=BX$5,1000,IF(BX$4=0,1000,SQRT((VLOOKUP($G20,Coords[],3,FALSE)-VLOOKUP(BX$5,Coords[],3,FALSE))^2+(VLOOKUP($G20,Coords[],4,FALSE)-VLOOKUP(BX$5,Coords[],4,FALSE))^2)))</f>
        <v>1000</v>
      </c>
      <c r="BY20" s="10">
        <f>IF($G20=BY$5,1000,IF(BY$4=0,1000,SQRT((VLOOKUP($G20,Coords[],3,FALSE)-VLOOKUP(BY$5,Coords[],3,FALSE))^2+(VLOOKUP($G20,Coords[],4,FALSE)-VLOOKUP(BY$5,Coords[],4,FALSE))^2)))</f>
        <v>1000</v>
      </c>
      <c r="BZ20" s="10">
        <f>IF($G20=BZ$5,1000,IF(BZ$4=0,1000,SQRT((VLOOKUP($G20,Coords[],3,FALSE)-VLOOKUP(BZ$5,Coords[],3,FALSE))^2+(VLOOKUP($G20,Coords[],4,FALSE)-VLOOKUP(BZ$5,Coords[],4,FALSE))^2)))</f>
        <v>1000</v>
      </c>
      <c r="CA20" s="10">
        <f>IF($G20=CA$5,1000,IF(CA$4=0,1000,SQRT((VLOOKUP($G20,Coords[],3,FALSE)-VLOOKUP(CA$5,Coords[],3,FALSE))^2+(VLOOKUP($G20,Coords[],4,FALSE)-VLOOKUP(CA$5,Coords[],4,FALSE))^2)))</f>
        <v>1000</v>
      </c>
      <c r="CB20" s="10">
        <f>IF($G20=CB$5,1000,IF(CB$4=0,1000,SQRT((VLOOKUP($G20,Coords[],3,FALSE)-VLOOKUP(CB$5,Coords[],3,FALSE))^2+(VLOOKUP($G20,Coords[],4,FALSE)-VLOOKUP(CB$5,Coords[],4,FALSE))^2)))</f>
        <v>1000</v>
      </c>
      <c r="CC20" s="10">
        <f>IF($G20=CC$5,1000,IF(CC$4=0,1000,SQRT((VLOOKUP($G20,Coords[],3,FALSE)-VLOOKUP(CC$5,Coords[],3,FALSE))^2+(VLOOKUP($G20,Coords[],4,FALSE)-VLOOKUP(CC$5,Coords[],4,FALSE))^2)))</f>
        <v>1000</v>
      </c>
      <c r="CD20" s="10">
        <f>IF($G20=CD$5,1000,IF(CD$4=0,1000,SQRT((VLOOKUP($G20,Coords[],3,FALSE)-VLOOKUP(CD$5,Coords[],3,FALSE))^2+(VLOOKUP($G20,Coords[],4,FALSE)-VLOOKUP(CD$5,Coords[],4,FALSE))^2)))</f>
        <v>1000</v>
      </c>
      <c r="CE20" s="10">
        <f>IF($G20=CE$5,1000,IF(CE$4=0,1000,SQRT((VLOOKUP($G20,Coords[],3,FALSE)-VLOOKUP(CE$5,Coords[],3,FALSE))^2+(VLOOKUP($G20,Coords[],4,FALSE)-VLOOKUP(CE$5,Coords[],4,FALSE))^2)))</f>
        <v>1000</v>
      </c>
      <c r="CF20" s="4">
        <v>15</v>
      </c>
      <c r="CH20" s="5">
        <f>IF(E20=1,0,VLOOKUP($G20,$G$6:$CE$82,HLOOKUP(MIN(H20:CE20),$H20:$CE$82,((COUNT($G$6:$G$81)+2)-$G20),FALSE)+1,FALSE)*B20)</f>
        <v>0</v>
      </c>
      <c r="CI20" s="9">
        <f>VLOOKUP($G20,$G$6:$CE$82,HLOOKUP(MIN(H20:CE20),$H20:$CE$82,((COUNT($G$6:$G$81)+2)-$G20),FALSE)+1,FALSE)</f>
        <v>1000</v>
      </c>
      <c r="CJ20" s="7">
        <f>HLOOKUP(MIN(H20:CE20),$H20:$CE$82,((COUNT($G$6:$G$81)+2)-$G20),FALSE)</f>
        <v>1</v>
      </c>
      <c r="CK20">
        <f>CI20*Coords[[#This Row],[Demand]]</f>
        <v>0</v>
      </c>
    </row>
    <row r="21" spans="1:89" x14ac:dyDescent="0.25">
      <c r="A21" s="8">
        <v>16</v>
      </c>
      <c r="B21" s="3"/>
      <c r="C21" s="3"/>
      <c r="D21" s="3"/>
      <c r="E21" s="3"/>
      <c r="G21" s="4">
        <v>16</v>
      </c>
      <c r="H21" s="10">
        <f>IF($G21=H$5,1000,IF(H$4=0,1000,SQRT((VLOOKUP($G21,Coords[],3,FALSE)-VLOOKUP(H$5,Coords[],3,FALSE))^2+(VLOOKUP($G21,Coords[],4,FALSE)-VLOOKUP(H$5,Coords[],4,FALSE))^2)))</f>
        <v>1000</v>
      </c>
      <c r="I21" s="10">
        <f>IF($G21=I$5,1000,IF(I$4=0,1000,SQRT((VLOOKUP($G21,Coords[],3,FALSE)-VLOOKUP(I$5,Coords[],3,FALSE))^2+(VLOOKUP($G21,Coords[],4,FALSE)-VLOOKUP(I$5,Coords[],4,FALSE))^2)))</f>
        <v>1000</v>
      </c>
      <c r="J21" s="10">
        <f>IF($G21=J$5,1000,IF(J$4=0,1000,SQRT((VLOOKUP($G21,Coords[],3,FALSE)-VLOOKUP(J$5,Coords[],3,FALSE))^2+(VLOOKUP($G21,Coords[],4,FALSE)-VLOOKUP(J$5,Coords[],4,FALSE))^2)))</f>
        <v>1000</v>
      </c>
      <c r="K21" s="10">
        <f>IF($G21=K$5,1000,IF(K$4=0,1000,SQRT((VLOOKUP($G21,Coords[],3,FALSE)-VLOOKUP(K$5,Coords[],3,FALSE))^2+(VLOOKUP($G21,Coords[],4,FALSE)-VLOOKUP(K$5,Coords[],4,FALSE))^2)))</f>
        <v>1000</v>
      </c>
      <c r="L21" s="10">
        <f>IF($G21=L$5,1000,IF(L$4=0,1000,SQRT((VLOOKUP($G21,Coords[],3,FALSE)-VLOOKUP(L$5,Coords[],3,FALSE))^2+(VLOOKUP($G21,Coords[],4,FALSE)-VLOOKUP(L$5,Coords[],4,FALSE))^2)))</f>
        <v>1000</v>
      </c>
      <c r="M21" s="10">
        <f>IF($G21=M$5,1000,IF(M$4=0,1000,SQRT((VLOOKUP($G21,Coords[],3,FALSE)-VLOOKUP(M$5,Coords[],3,FALSE))^2+(VLOOKUP($G21,Coords[],4,FALSE)-VLOOKUP(M$5,Coords[],4,FALSE))^2)))</f>
        <v>1000</v>
      </c>
      <c r="N21" s="10">
        <f>IF($G21=N$5,1000,IF(N$4=0,1000,SQRT((VLOOKUP($G21,Coords[],3,FALSE)-VLOOKUP(N$5,Coords[],3,FALSE))^2+(VLOOKUP($G21,Coords[],4,FALSE)-VLOOKUP(N$5,Coords[],4,FALSE))^2)))</f>
        <v>1000</v>
      </c>
      <c r="O21" s="10">
        <f>IF($G21=O$5,1000,IF(O$4=0,1000,SQRT((VLOOKUP($G21,Coords[],3,FALSE)-VLOOKUP(O$5,Coords[],3,FALSE))^2+(VLOOKUP($G21,Coords[],4,FALSE)-VLOOKUP(O$5,Coords[],4,FALSE))^2)))</f>
        <v>1000</v>
      </c>
      <c r="P21" s="10">
        <f>IF($G21=P$5,1000,IF(P$4=0,1000,SQRT((VLOOKUP($G21,Coords[],3,FALSE)-VLOOKUP(P$5,Coords[],3,FALSE))^2+(VLOOKUP($G21,Coords[],4,FALSE)-VLOOKUP(P$5,Coords[],4,FALSE))^2)))</f>
        <v>1000</v>
      </c>
      <c r="Q21" s="10">
        <f>IF($G21=Q$5,1000,IF(Q$4=0,1000,SQRT((VLOOKUP($G21,Coords[],3,FALSE)-VLOOKUP(Q$5,Coords[],3,FALSE))^2+(VLOOKUP($G21,Coords[],4,FALSE)-VLOOKUP(Q$5,Coords[],4,FALSE))^2)))</f>
        <v>1000</v>
      </c>
      <c r="R21" s="10">
        <f>IF($G21=R$5,1000,IF(R$4=0,1000,SQRT((VLOOKUP($G21,Coords[],3,FALSE)-VLOOKUP(R$5,Coords[],3,FALSE))^2+(VLOOKUP($G21,Coords[],4,FALSE)-VLOOKUP(R$5,Coords[],4,FALSE))^2)))</f>
        <v>1000</v>
      </c>
      <c r="S21" s="10">
        <f>IF($G21=S$5,1000,IF(S$4=0,1000,SQRT((VLOOKUP($G21,Coords[],3,FALSE)-VLOOKUP(S$5,Coords[],3,FALSE))^2+(VLOOKUP($G21,Coords[],4,FALSE)-VLOOKUP(S$5,Coords[],4,FALSE))^2)))</f>
        <v>1000</v>
      </c>
      <c r="T21" s="10">
        <f>IF($G21=T$5,1000,IF(T$4=0,1000,SQRT((VLOOKUP($G21,Coords[],3,FALSE)-VLOOKUP(T$5,Coords[],3,FALSE))^2+(VLOOKUP($G21,Coords[],4,FALSE)-VLOOKUP(T$5,Coords[],4,FALSE))^2)))</f>
        <v>1000</v>
      </c>
      <c r="U21" s="10">
        <f>IF($G21=U$5,1000,IF(U$4=0,1000,SQRT((VLOOKUP($G21,Coords[],3,FALSE)-VLOOKUP(U$5,Coords[],3,FALSE))^2+(VLOOKUP($G21,Coords[],4,FALSE)-VLOOKUP(U$5,Coords[],4,FALSE))^2)))</f>
        <v>1000</v>
      </c>
      <c r="V21" s="10">
        <f>IF($G21=V$5,1000,IF(V$4=0,1000,SQRT((VLOOKUP($G21,Coords[],3,FALSE)-VLOOKUP(V$5,Coords[],3,FALSE))^2+(VLOOKUP($G21,Coords[],4,FALSE)-VLOOKUP(V$5,Coords[],4,FALSE))^2)))</f>
        <v>1000</v>
      </c>
      <c r="W21" s="10">
        <f>IF($G21=W$5,1000,IF(W$4=0,1000,SQRT((VLOOKUP($G21,Coords[],3,FALSE)-VLOOKUP(W$5,Coords[],3,FALSE))^2+(VLOOKUP($G21,Coords[],4,FALSE)-VLOOKUP(W$5,Coords[],4,FALSE))^2)))</f>
        <v>1000</v>
      </c>
      <c r="X21" s="10">
        <f>IF($G21=X$5,1000,IF(X$4=0,1000,SQRT((VLOOKUP($G21,Coords[],3,FALSE)-VLOOKUP(X$5,Coords[],3,FALSE))^2+(VLOOKUP($G21,Coords[],4,FALSE)-VLOOKUP(X$5,Coords[],4,FALSE))^2)))</f>
        <v>1000</v>
      </c>
      <c r="Y21" s="10">
        <f>IF($G21=Y$5,1000,IF(Y$4=0,1000,SQRT((VLOOKUP($G21,Coords[],3,FALSE)-VLOOKUP(Y$5,Coords[],3,FALSE))^2+(VLOOKUP($G21,Coords[],4,FALSE)-VLOOKUP(Y$5,Coords[],4,FALSE))^2)))</f>
        <v>1000</v>
      </c>
      <c r="Z21" s="10">
        <f>IF($G21=Z$5,1000,IF(Z$4=0,1000,SQRT((VLOOKUP($G21,Coords[],3,FALSE)-VLOOKUP(Z$5,Coords[],3,FALSE))^2+(VLOOKUP($G21,Coords[],4,FALSE)-VLOOKUP(Z$5,Coords[],4,FALSE))^2)))</f>
        <v>1000</v>
      </c>
      <c r="AA21" s="10">
        <f>IF($G21=AA$5,1000,IF(AA$4=0,1000,SQRT((VLOOKUP($G21,Coords[],3,FALSE)-VLOOKUP(AA$5,Coords[],3,FALSE))^2+(VLOOKUP($G21,Coords[],4,FALSE)-VLOOKUP(AA$5,Coords[],4,FALSE))^2)))</f>
        <v>1000</v>
      </c>
      <c r="AB21" s="10">
        <f>IF($G21=AB$5,1000,IF(AB$4=0,1000,SQRT((VLOOKUP($G21,Coords[],3,FALSE)-VLOOKUP(AB$5,Coords[],3,FALSE))^2+(VLOOKUP($G21,Coords[],4,FALSE)-VLOOKUP(AB$5,Coords[],4,FALSE))^2)))</f>
        <v>1000</v>
      </c>
      <c r="AC21" s="10">
        <f>IF($G21=AC$5,1000,IF(AC$4=0,1000,SQRT((VLOOKUP($G21,Coords[],3,FALSE)-VLOOKUP(AC$5,Coords[],3,FALSE))^2+(VLOOKUP($G21,Coords[],4,FALSE)-VLOOKUP(AC$5,Coords[],4,FALSE))^2)))</f>
        <v>1000</v>
      </c>
      <c r="AD21" s="10">
        <f>IF($G21=AD$5,1000,IF(AD$4=0,1000,SQRT((VLOOKUP($G21,Coords[],3,FALSE)-VLOOKUP(AD$5,Coords[],3,FALSE))^2+(VLOOKUP($G21,Coords[],4,FALSE)-VLOOKUP(AD$5,Coords[],4,FALSE))^2)))</f>
        <v>1000</v>
      </c>
      <c r="AE21" s="10">
        <f>IF($G21=AE$5,1000,IF(AE$4=0,1000,SQRT((VLOOKUP($G21,Coords[],3,FALSE)-VLOOKUP(AE$5,Coords[],3,FALSE))^2+(VLOOKUP($G21,Coords[],4,FALSE)-VLOOKUP(AE$5,Coords[],4,FALSE))^2)))</f>
        <v>1000</v>
      </c>
      <c r="AF21" s="10">
        <f>IF($G21=AF$5,1000,IF(AF$4=0,1000,SQRT((VLOOKUP($G21,Coords[],3,FALSE)-VLOOKUP(AF$5,Coords[],3,FALSE))^2+(VLOOKUP($G21,Coords[],4,FALSE)-VLOOKUP(AF$5,Coords[],4,FALSE))^2)))</f>
        <v>1000</v>
      </c>
      <c r="AG21" s="10">
        <f>IF($G21=AG$5,1000,IF(AG$4=0,1000,SQRT((VLOOKUP($G21,Coords[],3,FALSE)-VLOOKUP(AG$5,Coords[],3,FALSE))^2+(VLOOKUP($G21,Coords[],4,FALSE)-VLOOKUP(AG$5,Coords[],4,FALSE))^2)))</f>
        <v>1000</v>
      </c>
      <c r="AH21" s="10">
        <f>IF($G21=AH$5,1000,IF(AH$4=0,1000,SQRT((VLOOKUP($G21,Coords[],3,FALSE)-VLOOKUP(AH$5,Coords[],3,FALSE))^2+(VLOOKUP($G21,Coords[],4,FALSE)-VLOOKUP(AH$5,Coords[],4,FALSE))^2)))</f>
        <v>1000</v>
      </c>
      <c r="AI21" s="10">
        <f>IF($G21=AI$5,1000,IF(AI$4=0,1000,SQRT((VLOOKUP($G21,Coords[],3,FALSE)-VLOOKUP(AI$5,Coords[],3,FALSE))^2+(VLOOKUP($G21,Coords[],4,FALSE)-VLOOKUP(AI$5,Coords[],4,FALSE))^2)))</f>
        <v>1000</v>
      </c>
      <c r="AJ21" s="10">
        <f>IF($G21=AJ$5,1000,IF(AJ$4=0,1000,SQRT((VLOOKUP($G21,Coords[],3,FALSE)-VLOOKUP(AJ$5,Coords[],3,FALSE))^2+(VLOOKUP($G21,Coords[],4,FALSE)-VLOOKUP(AJ$5,Coords[],4,FALSE))^2)))</f>
        <v>1000</v>
      </c>
      <c r="AK21" s="10">
        <f>IF($G21=AK$5,1000,IF(AK$4=0,1000,SQRT((VLOOKUP($G21,Coords[],3,FALSE)-VLOOKUP(AK$5,Coords[],3,FALSE))^2+(VLOOKUP($G21,Coords[],4,FALSE)-VLOOKUP(AK$5,Coords[],4,FALSE))^2)))</f>
        <v>1000</v>
      </c>
      <c r="AL21" s="10">
        <f>IF($G21=AL$5,1000,IF(AL$4=0,1000,SQRT((VLOOKUP($G21,Coords[],3,FALSE)-VLOOKUP(AL$5,Coords[],3,FALSE))^2+(VLOOKUP($G21,Coords[],4,FALSE)-VLOOKUP(AL$5,Coords[],4,FALSE))^2)))</f>
        <v>1000</v>
      </c>
      <c r="AM21" s="10">
        <f>IF($G21=AM$5,1000,IF(AM$4=0,1000,SQRT((VLOOKUP($G21,Coords[],3,FALSE)-VLOOKUP(AM$5,Coords[],3,FALSE))^2+(VLOOKUP($G21,Coords[],4,FALSE)-VLOOKUP(AM$5,Coords[],4,FALSE))^2)))</f>
        <v>1000</v>
      </c>
      <c r="AN21" s="10">
        <f>IF($G21=AN$5,1000,IF(AN$4=0,1000,SQRT((VLOOKUP($G21,Coords[],3,FALSE)-VLOOKUP(AN$5,Coords[],3,FALSE))^2+(VLOOKUP($G21,Coords[],4,FALSE)-VLOOKUP(AN$5,Coords[],4,FALSE))^2)))</f>
        <v>1000</v>
      </c>
      <c r="AO21" s="10">
        <f>IF($G21=AO$5,1000,IF(AO$4=0,1000,SQRT((VLOOKUP($G21,Coords[],3,FALSE)-VLOOKUP(AO$5,Coords[],3,FALSE))^2+(VLOOKUP($G21,Coords[],4,FALSE)-VLOOKUP(AO$5,Coords[],4,FALSE))^2)))</f>
        <v>1000</v>
      </c>
      <c r="AP21" s="10">
        <f>IF($G21=AP$5,1000,IF(AP$4=0,1000,SQRT((VLOOKUP($G21,Coords[],3,FALSE)-VLOOKUP(AP$5,Coords[],3,FALSE))^2+(VLOOKUP($G21,Coords[],4,FALSE)-VLOOKUP(AP$5,Coords[],4,FALSE))^2)))</f>
        <v>1000</v>
      </c>
      <c r="AQ21" s="10">
        <f>IF($G21=AQ$5,1000,IF(AQ$4=0,1000,SQRT((VLOOKUP($G21,Coords[],3,FALSE)-VLOOKUP(AQ$5,Coords[],3,FALSE))^2+(VLOOKUP($G21,Coords[],4,FALSE)-VLOOKUP(AQ$5,Coords[],4,FALSE))^2)))</f>
        <v>1000</v>
      </c>
      <c r="AR21" s="10">
        <f>IF($G21=AR$5,1000,IF(AR$4=0,1000,SQRT((VLOOKUP($G21,Coords[],3,FALSE)-VLOOKUP(AR$5,Coords[],3,FALSE))^2+(VLOOKUP($G21,Coords[],4,FALSE)-VLOOKUP(AR$5,Coords[],4,FALSE))^2)))</f>
        <v>1000</v>
      </c>
      <c r="AS21" s="10">
        <f>IF($G21=AS$5,1000,IF(AS$4=0,1000,SQRT((VLOOKUP($G21,Coords[],3,FALSE)-VLOOKUP(AS$5,Coords[],3,FALSE))^2+(VLOOKUP($G21,Coords[],4,FALSE)-VLOOKUP(AS$5,Coords[],4,FALSE))^2)))</f>
        <v>1000</v>
      </c>
      <c r="AT21" s="10">
        <f>IF($G21=AT$5,1000,IF(AT$4=0,1000,SQRT((VLOOKUP($G21,Coords[],3,FALSE)-VLOOKUP(AT$5,Coords[],3,FALSE))^2+(VLOOKUP($G21,Coords[],4,FALSE)-VLOOKUP(AT$5,Coords[],4,FALSE))^2)))</f>
        <v>1000</v>
      </c>
      <c r="AU21" s="10">
        <f>IF($G21=AU$5,1000,IF(AU$4=0,1000,SQRT((VLOOKUP($G21,Coords[],3,FALSE)-VLOOKUP(AU$5,Coords[],3,FALSE))^2+(VLOOKUP($G21,Coords[],4,FALSE)-VLOOKUP(AU$5,Coords[],4,FALSE))^2)))</f>
        <v>1000</v>
      </c>
      <c r="AV21" s="10">
        <f>IF($G21=AV$5,1000,IF(AV$4=0,1000,SQRT((VLOOKUP($G21,Coords[],3,FALSE)-VLOOKUP(AV$5,Coords[],3,FALSE))^2+(VLOOKUP($G21,Coords[],4,FALSE)-VLOOKUP(AV$5,Coords[],4,FALSE))^2)))</f>
        <v>1000</v>
      </c>
      <c r="AW21" s="10">
        <f>IF($G21=AW$5,1000,IF(AW$4=0,1000,SQRT((VLOOKUP($G21,Coords[],3,FALSE)-VLOOKUP(AW$5,Coords[],3,FALSE))^2+(VLOOKUP($G21,Coords[],4,FALSE)-VLOOKUP(AW$5,Coords[],4,FALSE))^2)))</f>
        <v>1000</v>
      </c>
      <c r="AX21" s="10">
        <f>IF($G21=AX$5,1000,IF(AX$4=0,1000,SQRT((VLOOKUP($G21,Coords[],3,FALSE)-VLOOKUP(AX$5,Coords[],3,FALSE))^2+(VLOOKUP($G21,Coords[],4,FALSE)-VLOOKUP(AX$5,Coords[],4,FALSE))^2)))</f>
        <v>1000</v>
      </c>
      <c r="AY21" s="10">
        <f>IF($G21=AY$5,1000,IF(AY$4=0,1000,SQRT((VLOOKUP($G21,Coords[],3,FALSE)-VLOOKUP(AY$5,Coords[],3,FALSE))^2+(VLOOKUP($G21,Coords[],4,FALSE)-VLOOKUP(AY$5,Coords[],4,FALSE))^2)))</f>
        <v>1000</v>
      </c>
      <c r="AZ21" s="10">
        <f>IF($G21=AZ$5,1000,IF(AZ$4=0,1000,SQRT((VLOOKUP($G21,Coords[],3,FALSE)-VLOOKUP(AZ$5,Coords[],3,FALSE))^2+(VLOOKUP($G21,Coords[],4,FALSE)-VLOOKUP(AZ$5,Coords[],4,FALSE))^2)))</f>
        <v>1000</v>
      </c>
      <c r="BA21" s="10">
        <f>IF($G21=BA$5,1000,IF(BA$4=0,1000,SQRT((VLOOKUP($G21,Coords[],3,FALSE)-VLOOKUP(BA$5,Coords[],3,FALSE))^2+(VLOOKUP($G21,Coords[],4,FALSE)-VLOOKUP(BA$5,Coords[],4,FALSE))^2)))</f>
        <v>1000</v>
      </c>
      <c r="BB21" s="10">
        <f>IF($G21=BB$5,1000,IF(BB$4=0,1000,SQRT((VLOOKUP($G21,Coords[],3,FALSE)-VLOOKUP(BB$5,Coords[],3,FALSE))^2+(VLOOKUP($G21,Coords[],4,FALSE)-VLOOKUP(BB$5,Coords[],4,FALSE))^2)))</f>
        <v>1000</v>
      </c>
      <c r="BC21" s="10">
        <f>IF($G21=BC$5,1000,IF(BC$4=0,1000,SQRT((VLOOKUP($G21,Coords[],3,FALSE)-VLOOKUP(BC$5,Coords[],3,FALSE))^2+(VLOOKUP($G21,Coords[],4,FALSE)-VLOOKUP(BC$5,Coords[],4,FALSE))^2)))</f>
        <v>1000</v>
      </c>
      <c r="BD21" s="10">
        <f>IF($G21=BD$5,1000,IF(BD$4=0,1000,SQRT((VLOOKUP($G21,Coords[],3,FALSE)-VLOOKUP(BD$5,Coords[],3,FALSE))^2+(VLOOKUP($G21,Coords[],4,FALSE)-VLOOKUP(BD$5,Coords[],4,FALSE))^2)))</f>
        <v>1000</v>
      </c>
      <c r="BE21" s="10">
        <f>IF($G21=BE$5,1000,IF(BE$4=0,1000,SQRT((VLOOKUP($G21,Coords[],3,FALSE)-VLOOKUP(BE$5,Coords[],3,FALSE))^2+(VLOOKUP($G21,Coords[],4,FALSE)-VLOOKUP(BE$5,Coords[],4,FALSE))^2)))</f>
        <v>1000</v>
      </c>
      <c r="BF21" s="10">
        <f>IF($G21=BF$5,1000,IF(BF$4=0,1000,SQRT((VLOOKUP($G21,Coords[],3,FALSE)-VLOOKUP(BF$5,Coords[],3,FALSE))^2+(VLOOKUP($G21,Coords[],4,FALSE)-VLOOKUP(BF$5,Coords[],4,FALSE))^2)))</f>
        <v>1000</v>
      </c>
      <c r="BG21" s="10">
        <f>IF($G21=BG$5,1000,IF(BG$4=0,1000,SQRT((VLOOKUP($G21,Coords[],3,FALSE)-VLOOKUP(BG$5,Coords[],3,FALSE))^2+(VLOOKUP($G21,Coords[],4,FALSE)-VLOOKUP(BG$5,Coords[],4,FALSE))^2)))</f>
        <v>1000</v>
      </c>
      <c r="BH21" s="10">
        <f>IF($G21=BH$5,1000,IF(BH$4=0,1000,SQRT((VLOOKUP($G21,Coords[],3,FALSE)-VLOOKUP(BH$5,Coords[],3,FALSE))^2+(VLOOKUP($G21,Coords[],4,FALSE)-VLOOKUP(BH$5,Coords[],4,FALSE))^2)))</f>
        <v>1000</v>
      </c>
      <c r="BI21" s="10">
        <f>IF($G21=BI$5,1000,IF(BI$4=0,1000,SQRT((VLOOKUP($G21,Coords[],3,FALSE)-VLOOKUP(BI$5,Coords[],3,FALSE))^2+(VLOOKUP($G21,Coords[],4,FALSE)-VLOOKUP(BI$5,Coords[],4,FALSE))^2)))</f>
        <v>1000</v>
      </c>
      <c r="BJ21" s="10">
        <f>IF($G21=BJ$5,1000,IF(BJ$4=0,1000,SQRT((VLOOKUP($G21,Coords[],3,FALSE)-VLOOKUP(BJ$5,Coords[],3,FALSE))^2+(VLOOKUP($G21,Coords[],4,FALSE)-VLOOKUP(BJ$5,Coords[],4,FALSE))^2)))</f>
        <v>1000</v>
      </c>
      <c r="BK21" s="10">
        <f>IF($G21=BK$5,1000,IF(BK$4=0,1000,SQRT((VLOOKUP($G21,Coords[],3,FALSE)-VLOOKUP(BK$5,Coords[],3,FALSE))^2+(VLOOKUP($G21,Coords[],4,FALSE)-VLOOKUP(BK$5,Coords[],4,FALSE))^2)))</f>
        <v>1000</v>
      </c>
      <c r="BL21" s="10">
        <f>IF($G21=BL$5,1000,IF(BL$4=0,1000,SQRT((VLOOKUP($G21,Coords[],3,FALSE)-VLOOKUP(BL$5,Coords[],3,FALSE))^2+(VLOOKUP($G21,Coords[],4,FALSE)-VLOOKUP(BL$5,Coords[],4,FALSE))^2)))</f>
        <v>1000</v>
      </c>
      <c r="BM21" s="10">
        <f>IF($G21=BM$5,1000,IF(BM$4=0,1000,SQRT((VLOOKUP($G21,Coords[],3,FALSE)-VLOOKUP(BM$5,Coords[],3,FALSE))^2+(VLOOKUP($G21,Coords[],4,FALSE)-VLOOKUP(BM$5,Coords[],4,FALSE))^2)))</f>
        <v>1000</v>
      </c>
      <c r="BN21" s="10">
        <f>IF($G21=BN$5,1000,IF(BN$4=0,1000,SQRT((VLOOKUP($G21,Coords[],3,FALSE)-VLOOKUP(BN$5,Coords[],3,FALSE))^2+(VLOOKUP($G21,Coords[],4,FALSE)-VLOOKUP(BN$5,Coords[],4,FALSE))^2)))</f>
        <v>1000</v>
      </c>
      <c r="BO21" s="10">
        <f>IF($G21=BO$5,1000,IF(BO$4=0,1000,SQRT((VLOOKUP($G21,Coords[],3,FALSE)-VLOOKUP(BO$5,Coords[],3,FALSE))^2+(VLOOKUP($G21,Coords[],4,FALSE)-VLOOKUP(BO$5,Coords[],4,FALSE))^2)))</f>
        <v>1000</v>
      </c>
      <c r="BP21" s="10">
        <f>IF($G21=BP$5,1000,IF(BP$4=0,1000,SQRT((VLOOKUP($G21,Coords[],3,FALSE)-VLOOKUP(BP$5,Coords[],3,FALSE))^2+(VLOOKUP($G21,Coords[],4,FALSE)-VLOOKUP(BP$5,Coords[],4,FALSE))^2)))</f>
        <v>1000</v>
      </c>
      <c r="BQ21" s="10">
        <f>IF($G21=BQ$5,1000,IF(BQ$4=0,1000,SQRT((VLOOKUP($G21,Coords[],3,FALSE)-VLOOKUP(BQ$5,Coords[],3,FALSE))^2+(VLOOKUP($G21,Coords[],4,FALSE)-VLOOKUP(BQ$5,Coords[],4,FALSE))^2)))</f>
        <v>1000</v>
      </c>
      <c r="BR21" s="10">
        <f>IF($G21=BR$5,1000,IF(BR$4=0,1000,SQRT((VLOOKUP($G21,Coords[],3,FALSE)-VLOOKUP(BR$5,Coords[],3,FALSE))^2+(VLOOKUP($G21,Coords[],4,FALSE)-VLOOKUP(BR$5,Coords[],4,FALSE))^2)))</f>
        <v>1000</v>
      </c>
      <c r="BS21" s="10">
        <f>IF($G21=BS$5,1000,IF(BS$4=0,1000,SQRT((VLOOKUP($G21,Coords[],3,FALSE)-VLOOKUP(BS$5,Coords[],3,FALSE))^2+(VLOOKUP($G21,Coords[],4,FALSE)-VLOOKUP(BS$5,Coords[],4,FALSE))^2)))</f>
        <v>1000</v>
      </c>
      <c r="BT21" s="10">
        <f>IF($G21=BT$5,1000,IF(BT$4=0,1000,SQRT((VLOOKUP($G21,Coords[],3,FALSE)-VLOOKUP(BT$5,Coords[],3,FALSE))^2+(VLOOKUP($G21,Coords[],4,FALSE)-VLOOKUP(BT$5,Coords[],4,FALSE))^2)))</f>
        <v>1000</v>
      </c>
      <c r="BU21" s="10">
        <f>IF($G21=BU$5,1000,IF(BU$4=0,1000,SQRT((VLOOKUP($G21,Coords[],3,FALSE)-VLOOKUP(BU$5,Coords[],3,FALSE))^2+(VLOOKUP($G21,Coords[],4,FALSE)-VLOOKUP(BU$5,Coords[],4,FALSE))^2)))</f>
        <v>1000</v>
      </c>
      <c r="BV21" s="10">
        <f>IF($G21=BV$5,1000,IF(BV$4=0,1000,SQRT((VLOOKUP($G21,Coords[],3,FALSE)-VLOOKUP(BV$5,Coords[],3,FALSE))^2+(VLOOKUP($G21,Coords[],4,FALSE)-VLOOKUP(BV$5,Coords[],4,FALSE))^2)))</f>
        <v>1000</v>
      </c>
      <c r="BW21" s="10">
        <f>IF($G21=BW$5,1000,IF(BW$4=0,1000,SQRT((VLOOKUP($G21,Coords[],3,FALSE)-VLOOKUP(BW$5,Coords[],3,FALSE))^2+(VLOOKUP($G21,Coords[],4,FALSE)-VLOOKUP(BW$5,Coords[],4,FALSE))^2)))</f>
        <v>1000</v>
      </c>
      <c r="BX21" s="10">
        <f>IF($G21=BX$5,1000,IF(BX$4=0,1000,SQRT((VLOOKUP($G21,Coords[],3,FALSE)-VLOOKUP(BX$5,Coords[],3,FALSE))^2+(VLOOKUP($G21,Coords[],4,FALSE)-VLOOKUP(BX$5,Coords[],4,FALSE))^2)))</f>
        <v>1000</v>
      </c>
      <c r="BY21" s="10">
        <f>IF($G21=BY$5,1000,IF(BY$4=0,1000,SQRT((VLOOKUP($G21,Coords[],3,FALSE)-VLOOKUP(BY$5,Coords[],3,FALSE))^2+(VLOOKUP($G21,Coords[],4,FALSE)-VLOOKUP(BY$5,Coords[],4,FALSE))^2)))</f>
        <v>1000</v>
      </c>
      <c r="BZ21" s="10">
        <f>IF($G21=BZ$5,1000,IF(BZ$4=0,1000,SQRT((VLOOKUP($G21,Coords[],3,FALSE)-VLOOKUP(BZ$5,Coords[],3,FALSE))^2+(VLOOKUP($G21,Coords[],4,FALSE)-VLOOKUP(BZ$5,Coords[],4,FALSE))^2)))</f>
        <v>1000</v>
      </c>
      <c r="CA21" s="10">
        <f>IF($G21=CA$5,1000,IF(CA$4=0,1000,SQRT((VLOOKUP($G21,Coords[],3,FALSE)-VLOOKUP(CA$5,Coords[],3,FALSE))^2+(VLOOKUP($G21,Coords[],4,FALSE)-VLOOKUP(CA$5,Coords[],4,FALSE))^2)))</f>
        <v>1000</v>
      </c>
      <c r="CB21" s="10">
        <f>IF($G21=CB$5,1000,IF(CB$4=0,1000,SQRT((VLOOKUP($G21,Coords[],3,FALSE)-VLOOKUP(CB$5,Coords[],3,FALSE))^2+(VLOOKUP($G21,Coords[],4,FALSE)-VLOOKUP(CB$5,Coords[],4,FALSE))^2)))</f>
        <v>1000</v>
      </c>
      <c r="CC21" s="10">
        <f>IF($G21=CC$5,1000,IF(CC$4=0,1000,SQRT((VLOOKUP($G21,Coords[],3,FALSE)-VLOOKUP(CC$5,Coords[],3,FALSE))^2+(VLOOKUP($G21,Coords[],4,FALSE)-VLOOKUP(CC$5,Coords[],4,FALSE))^2)))</f>
        <v>1000</v>
      </c>
      <c r="CD21" s="10">
        <f>IF($G21=CD$5,1000,IF(CD$4=0,1000,SQRT((VLOOKUP($G21,Coords[],3,FALSE)-VLOOKUP(CD$5,Coords[],3,FALSE))^2+(VLOOKUP($G21,Coords[],4,FALSE)-VLOOKUP(CD$5,Coords[],4,FALSE))^2)))</f>
        <v>1000</v>
      </c>
      <c r="CE21" s="10">
        <f>IF($G21=CE$5,1000,IF(CE$4=0,1000,SQRT((VLOOKUP($G21,Coords[],3,FALSE)-VLOOKUP(CE$5,Coords[],3,FALSE))^2+(VLOOKUP($G21,Coords[],4,FALSE)-VLOOKUP(CE$5,Coords[],4,FALSE))^2)))</f>
        <v>1000</v>
      </c>
      <c r="CF21" s="4">
        <v>16</v>
      </c>
      <c r="CH21" s="5">
        <f>IF(E21=1,0,VLOOKUP($G21,$G$6:$CE$82,HLOOKUP(MIN(H21:CE21),$H21:$CE$82,((COUNT($G$6:$G$81)+2)-$G21),FALSE)+1,FALSE)*B21)</f>
        <v>0</v>
      </c>
      <c r="CI21" s="9">
        <f>VLOOKUP($G21,$G$6:$CE$82,HLOOKUP(MIN(H21:CE21),$H21:$CE$82,((COUNT($G$6:$G$81)+2)-$G21),FALSE)+1,FALSE)</f>
        <v>1000</v>
      </c>
      <c r="CJ21" s="7">
        <f>HLOOKUP(MIN(H21:CE21),$H21:$CE$82,((COUNT($G$6:$G$81)+2)-$G21),FALSE)</f>
        <v>1</v>
      </c>
      <c r="CK21">
        <f>CI21*Coords[[#This Row],[Demand]]</f>
        <v>0</v>
      </c>
    </row>
    <row r="22" spans="1:89" x14ac:dyDescent="0.25">
      <c r="A22" s="8">
        <v>17</v>
      </c>
      <c r="B22" s="3"/>
      <c r="C22" s="3"/>
      <c r="D22" s="3"/>
      <c r="E22" s="3"/>
      <c r="G22" s="4">
        <v>17</v>
      </c>
      <c r="H22" s="10">
        <f>IF($G22=H$5,1000,IF(H$4=0,1000,SQRT((VLOOKUP($G22,Coords[],3,FALSE)-VLOOKUP(H$5,Coords[],3,FALSE))^2+(VLOOKUP($G22,Coords[],4,FALSE)-VLOOKUP(H$5,Coords[],4,FALSE))^2)))</f>
        <v>1000</v>
      </c>
      <c r="I22" s="10">
        <f>IF($G22=I$5,1000,IF(I$4=0,1000,SQRT((VLOOKUP($G22,Coords[],3,FALSE)-VLOOKUP(I$5,Coords[],3,FALSE))^2+(VLOOKUP($G22,Coords[],4,FALSE)-VLOOKUP(I$5,Coords[],4,FALSE))^2)))</f>
        <v>1000</v>
      </c>
      <c r="J22" s="10">
        <f>IF($G22=J$5,1000,IF(J$4=0,1000,SQRT((VLOOKUP($G22,Coords[],3,FALSE)-VLOOKUP(J$5,Coords[],3,FALSE))^2+(VLOOKUP($G22,Coords[],4,FALSE)-VLOOKUP(J$5,Coords[],4,FALSE))^2)))</f>
        <v>1000</v>
      </c>
      <c r="K22" s="10">
        <f>IF($G22=K$5,1000,IF(K$4=0,1000,SQRT((VLOOKUP($G22,Coords[],3,FALSE)-VLOOKUP(K$5,Coords[],3,FALSE))^2+(VLOOKUP($G22,Coords[],4,FALSE)-VLOOKUP(K$5,Coords[],4,FALSE))^2)))</f>
        <v>1000</v>
      </c>
      <c r="L22" s="10">
        <f>IF($G22=L$5,1000,IF(L$4=0,1000,SQRT((VLOOKUP($G22,Coords[],3,FALSE)-VLOOKUP(L$5,Coords[],3,FALSE))^2+(VLOOKUP($G22,Coords[],4,FALSE)-VLOOKUP(L$5,Coords[],4,FALSE))^2)))</f>
        <v>1000</v>
      </c>
      <c r="M22" s="10">
        <f>IF($G22=M$5,1000,IF(M$4=0,1000,SQRT((VLOOKUP($G22,Coords[],3,FALSE)-VLOOKUP(M$5,Coords[],3,FALSE))^2+(VLOOKUP($G22,Coords[],4,FALSE)-VLOOKUP(M$5,Coords[],4,FALSE))^2)))</f>
        <v>1000</v>
      </c>
      <c r="N22" s="10">
        <f>IF($G22=N$5,1000,IF(N$4=0,1000,SQRT((VLOOKUP($G22,Coords[],3,FALSE)-VLOOKUP(N$5,Coords[],3,FALSE))^2+(VLOOKUP($G22,Coords[],4,FALSE)-VLOOKUP(N$5,Coords[],4,FALSE))^2)))</f>
        <v>1000</v>
      </c>
      <c r="O22" s="10">
        <f>IF($G22=O$5,1000,IF(O$4=0,1000,SQRT((VLOOKUP($G22,Coords[],3,FALSE)-VLOOKUP(O$5,Coords[],3,FALSE))^2+(VLOOKUP($G22,Coords[],4,FALSE)-VLOOKUP(O$5,Coords[],4,FALSE))^2)))</f>
        <v>1000</v>
      </c>
      <c r="P22" s="10">
        <f>IF($G22=P$5,1000,IF(P$4=0,1000,SQRT((VLOOKUP($G22,Coords[],3,FALSE)-VLOOKUP(P$5,Coords[],3,FALSE))^2+(VLOOKUP($G22,Coords[],4,FALSE)-VLOOKUP(P$5,Coords[],4,FALSE))^2)))</f>
        <v>1000</v>
      </c>
      <c r="Q22" s="10">
        <f>IF($G22=Q$5,1000,IF(Q$4=0,1000,SQRT((VLOOKUP($G22,Coords[],3,FALSE)-VLOOKUP(Q$5,Coords[],3,FALSE))^2+(VLOOKUP($G22,Coords[],4,FALSE)-VLOOKUP(Q$5,Coords[],4,FALSE))^2)))</f>
        <v>1000</v>
      </c>
      <c r="R22" s="10">
        <f>IF($G22=R$5,1000,IF(R$4=0,1000,SQRT((VLOOKUP($G22,Coords[],3,FALSE)-VLOOKUP(R$5,Coords[],3,FALSE))^2+(VLOOKUP($G22,Coords[],4,FALSE)-VLOOKUP(R$5,Coords[],4,FALSE))^2)))</f>
        <v>1000</v>
      </c>
      <c r="S22" s="10">
        <f>IF($G22=S$5,1000,IF(S$4=0,1000,SQRT((VLOOKUP($G22,Coords[],3,FALSE)-VLOOKUP(S$5,Coords[],3,FALSE))^2+(VLOOKUP($G22,Coords[],4,FALSE)-VLOOKUP(S$5,Coords[],4,FALSE))^2)))</f>
        <v>1000</v>
      </c>
      <c r="T22" s="10">
        <f>IF($G22=T$5,1000,IF(T$4=0,1000,SQRT((VLOOKUP($G22,Coords[],3,FALSE)-VLOOKUP(T$5,Coords[],3,FALSE))^2+(VLOOKUP($G22,Coords[],4,FALSE)-VLOOKUP(T$5,Coords[],4,FALSE))^2)))</f>
        <v>1000</v>
      </c>
      <c r="U22" s="10">
        <f>IF($G22=U$5,1000,IF(U$4=0,1000,SQRT((VLOOKUP($G22,Coords[],3,FALSE)-VLOOKUP(U$5,Coords[],3,FALSE))^2+(VLOOKUP($G22,Coords[],4,FALSE)-VLOOKUP(U$5,Coords[],4,FALSE))^2)))</f>
        <v>1000</v>
      </c>
      <c r="V22" s="10">
        <f>IF($G22=V$5,1000,IF(V$4=0,1000,SQRT((VLOOKUP($G22,Coords[],3,FALSE)-VLOOKUP(V$5,Coords[],3,FALSE))^2+(VLOOKUP($G22,Coords[],4,FALSE)-VLOOKUP(V$5,Coords[],4,FALSE))^2)))</f>
        <v>1000</v>
      </c>
      <c r="W22" s="10">
        <f>IF($G22=W$5,1000,IF(W$4=0,1000,SQRT((VLOOKUP($G22,Coords[],3,FALSE)-VLOOKUP(W$5,Coords[],3,FALSE))^2+(VLOOKUP($G22,Coords[],4,FALSE)-VLOOKUP(W$5,Coords[],4,FALSE))^2)))</f>
        <v>1000</v>
      </c>
      <c r="X22" s="10">
        <f>IF($G22=X$5,1000,IF(X$4=0,1000,SQRT((VLOOKUP($G22,Coords[],3,FALSE)-VLOOKUP(X$5,Coords[],3,FALSE))^2+(VLOOKUP($G22,Coords[],4,FALSE)-VLOOKUP(X$5,Coords[],4,FALSE))^2)))</f>
        <v>1000</v>
      </c>
      <c r="Y22" s="10">
        <f>IF($G22=Y$5,1000,IF(Y$4=0,1000,SQRT((VLOOKUP($G22,Coords[],3,FALSE)-VLOOKUP(Y$5,Coords[],3,FALSE))^2+(VLOOKUP($G22,Coords[],4,FALSE)-VLOOKUP(Y$5,Coords[],4,FALSE))^2)))</f>
        <v>1000</v>
      </c>
      <c r="Z22" s="10">
        <f>IF($G22=Z$5,1000,IF(Z$4=0,1000,SQRT((VLOOKUP($G22,Coords[],3,FALSE)-VLOOKUP(Z$5,Coords[],3,FALSE))^2+(VLOOKUP($G22,Coords[],4,FALSE)-VLOOKUP(Z$5,Coords[],4,FALSE))^2)))</f>
        <v>1000</v>
      </c>
      <c r="AA22" s="10">
        <f>IF($G22=AA$5,1000,IF(AA$4=0,1000,SQRT((VLOOKUP($G22,Coords[],3,FALSE)-VLOOKUP(AA$5,Coords[],3,FALSE))^2+(VLOOKUP($G22,Coords[],4,FALSE)-VLOOKUP(AA$5,Coords[],4,FALSE))^2)))</f>
        <v>1000</v>
      </c>
      <c r="AB22" s="10">
        <f>IF($G22=AB$5,1000,IF(AB$4=0,1000,SQRT((VLOOKUP($G22,Coords[],3,FALSE)-VLOOKUP(AB$5,Coords[],3,FALSE))^2+(VLOOKUP($G22,Coords[],4,FALSE)-VLOOKUP(AB$5,Coords[],4,FALSE))^2)))</f>
        <v>1000</v>
      </c>
      <c r="AC22" s="10">
        <f>IF($G22=AC$5,1000,IF(AC$4=0,1000,SQRT((VLOOKUP($G22,Coords[],3,FALSE)-VLOOKUP(AC$5,Coords[],3,FALSE))^2+(VLOOKUP($G22,Coords[],4,FALSE)-VLOOKUP(AC$5,Coords[],4,FALSE))^2)))</f>
        <v>1000</v>
      </c>
      <c r="AD22" s="10">
        <f>IF($G22=AD$5,1000,IF(AD$4=0,1000,SQRT((VLOOKUP($G22,Coords[],3,FALSE)-VLOOKUP(AD$5,Coords[],3,FALSE))^2+(VLOOKUP($G22,Coords[],4,FALSE)-VLOOKUP(AD$5,Coords[],4,FALSE))^2)))</f>
        <v>1000</v>
      </c>
      <c r="AE22" s="10">
        <f>IF($G22=AE$5,1000,IF(AE$4=0,1000,SQRT((VLOOKUP($G22,Coords[],3,FALSE)-VLOOKUP(AE$5,Coords[],3,FALSE))^2+(VLOOKUP($G22,Coords[],4,FALSE)-VLOOKUP(AE$5,Coords[],4,FALSE))^2)))</f>
        <v>1000</v>
      </c>
      <c r="AF22" s="10">
        <f>IF($G22=AF$5,1000,IF(AF$4=0,1000,SQRT((VLOOKUP($G22,Coords[],3,FALSE)-VLOOKUP(AF$5,Coords[],3,FALSE))^2+(VLOOKUP($G22,Coords[],4,FALSE)-VLOOKUP(AF$5,Coords[],4,FALSE))^2)))</f>
        <v>1000</v>
      </c>
      <c r="AG22" s="10">
        <f>IF($G22=AG$5,1000,IF(AG$4=0,1000,SQRT((VLOOKUP($G22,Coords[],3,FALSE)-VLOOKUP(AG$5,Coords[],3,FALSE))^2+(VLOOKUP($G22,Coords[],4,FALSE)-VLOOKUP(AG$5,Coords[],4,FALSE))^2)))</f>
        <v>1000</v>
      </c>
      <c r="AH22" s="10">
        <f>IF($G22=AH$5,1000,IF(AH$4=0,1000,SQRT((VLOOKUP($G22,Coords[],3,FALSE)-VLOOKUP(AH$5,Coords[],3,FALSE))^2+(VLOOKUP($G22,Coords[],4,FALSE)-VLOOKUP(AH$5,Coords[],4,FALSE))^2)))</f>
        <v>1000</v>
      </c>
      <c r="AI22" s="10">
        <f>IF($G22=AI$5,1000,IF(AI$4=0,1000,SQRT((VLOOKUP($G22,Coords[],3,FALSE)-VLOOKUP(AI$5,Coords[],3,FALSE))^2+(VLOOKUP($G22,Coords[],4,FALSE)-VLOOKUP(AI$5,Coords[],4,FALSE))^2)))</f>
        <v>1000</v>
      </c>
      <c r="AJ22" s="10">
        <f>IF($G22=AJ$5,1000,IF(AJ$4=0,1000,SQRT((VLOOKUP($G22,Coords[],3,FALSE)-VLOOKUP(AJ$5,Coords[],3,FALSE))^2+(VLOOKUP($G22,Coords[],4,FALSE)-VLOOKUP(AJ$5,Coords[],4,FALSE))^2)))</f>
        <v>1000</v>
      </c>
      <c r="AK22" s="10">
        <f>IF($G22=AK$5,1000,IF(AK$4=0,1000,SQRT((VLOOKUP($G22,Coords[],3,FALSE)-VLOOKUP(AK$5,Coords[],3,FALSE))^2+(VLOOKUP($G22,Coords[],4,FALSE)-VLOOKUP(AK$5,Coords[],4,FALSE))^2)))</f>
        <v>1000</v>
      </c>
      <c r="AL22" s="10">
        <f>IF($G22=AL$5,1000,IF(AL$4=0,1000,SQRT((VLOOKUP($G22,Coords[],3,FALSE)-VLOOKUP(AL$5,Coords[],3,FALSE))^2+(VLOOKUP($G22,Coords[],4,FALSE)-VLOOKUP(AL$5,Coords[],4,FALSE))^2)))</f>
        <v>1000</v>
      </c>
      <c r="AM22" s="10">
        <f>IF($G22=AM$5,1000,IF(AM$4=0,1000,SQRT((VLOOKUP($G22,Coords[],3,FALSE)-VLOOKUP(AM$5,Coords[],3,FALSE))^2+(VLOOKUP($G22,Coords[],4,FALSE)-VLOOKUP(AM$5,Coords[],4,FALSE))^2)))</f>
        <v>1000</v>
      </c>
      <c r="AN22" s="10">
        <f>IF($G22=AN$5,1000,IF(AN$4=0,1000,SQRT((VLOOKUP($G22,Coords[],3,FALSE)-VLOOKUP(AN$5,Coords[],3,FALSE))^2+(VLOOKUP($G22,Coords[],4,FALSE)-VLOOKUP(AN$5,Coords[],4,FALSE))^2)))</f>
        <v>1000</v>
      </c>
      <c r="AO22" s="10">
        <f>IF($G22=AO$5,1000,IF(AO$4=0,1000,SQRT((VLOOKUP($G22,Coords[],3,FALSE)-VLOOKUP(AO$5,Coords[],3,FALSE))^2+(VLOOKUP($G22,Coords[],4,FALSE)-VLOOKUP(AO$5,Coords[],4,FALSE))^2)))</f>
        <v>1000</v>
      </c>
      <c r="AP22" s="10">
        <f>IF($G22=AP$5,1000,IF(AP$4=0,1000,SQRT((VLOOKUP($G22,Coords[],3,FALSE)-VLOOKUP(AP$5,Coords[],3,FALSE))^2+(VLOOKUP($G22,Coords[],4,FALSE)-VLOOKUP(AP$5,Coords[],4,FALSE))^2)))</f>
        <v>1000</v>
      </c>
      <c r="AQ22" s="10">
        <f>IF($G22=AQ$5,1000,IF(AQ$4=0,1000,SQRT((VLOOKUP($G22,Coords[],3,FALSE)-VLOOKUP(AQ$5,Coords[],3,FALSE))^2+(VLOOKUP($G22,Coords[],4,FALSE)-VLOOKUP(AQ$5,Coords[],4,FALSE))^2)))</f>
        <v>1000</v>
      </c>
      <c r="AR22" s="10">
        <f>IF($G22=AR$5,1000,IF(AR$4=0,1000,SQRT((VLOOKUP($G22,Coords[],3,FALSE)-VLOOKUP(AR$5,Coords[],3,FALSE))^2+(VLOOKUP($G22,Coords[],4,FALSE)-VLOOKUP(AR$5,Coords[],4,FALSE))^2)))</f>
        <v>1000</v>
      </c>
      <c r="AS22" s="10">
        <f>IF($G22=AS$5,1000,IF(AS$4=0,1000,SQRT((VLOOKUP($G22,Coords[],3,FALSE)-VLOOKUP(AS$5,Coords[],3,FALSE))^2+(VLOOKUP($G22,Coords[],4,FALSE)-VLOOKUP(AS$5,Coords[],4,FALSE))^2)))</f>
        <v>1000</v>
      </c>
      <c r="AT22" s="10">
        <f>IF($G22=AT$5,1000,IF(AT$4=0,1000,SQRT((VLOOKUP($G22,Coords[],3,FALSE)-VLOOKUP(AT$5,Coords[],3,FALSE))^2+(VLOOKUP($G22,Coords[],4,FALSE)-VLOOKUP(AT$5,Coords[],4,FALSE))^2)))</f>
        <v>1000</v>
      </c>
      <c r="AU22" s="10">
        <f>IF($G22=AU$5,1000,IF(AU$4=0,1000,SQRT((VLOOKUP($G22,Coords[],3,FALSE)-VLOOKUP(AU$5,Coords[],3,FALSE))^2+(VLOOKUP($G22,Coords[],4,FALSE)-VLOOKUP(AU$5,Coords[],4,FALSE))^2)))</f>
        <v>1000</v>
      </c>
      <c r="AV22" s="10">
        <f>IF($G22=AV$5,1000,IF(AV$4=0,1000,SQRT((VLOOKUP($G22,Coords[],3,FALSE)-VLOOKUP(AV$5,Coords[],3,FALSE))^2+(VLOOKUP($G22,Coords[],4,FALSE)-VLOOKUP(AV$5,Coords[],4,FALSE))^2)))</f>
        <v>1000</v>
      </c>
      <c r="AW22" s="10">
        <f>IF($G22=AW$5,1000,IF(AW$4=0,1000,SQRT((VLOOKUP($G22,Coords[],3,FALSE)-VLOOKUP(AW$5,Coords[],3,FALSE))^2+(VLOOKUP($G22,Coords[],4,FALSE)-VLOOKUP(AW$5,Coords[],4,FALSE))^2)))</f>
        <v>1000</v>
      </c>
      <c r="AX22" s="10">
        <f>IF($G22=AX$5,1000,IF(AX$4=0,1000,SQRT((VLOOKUP($G22,Coords[],3,FALSE)-VLOOKUP(AX$5,Coords[],3,FALSE))^2+(VLOOKUP($G22,Coords[],4,FALSE)-VLOOKUP(AX$5,Coords[],4,FALSE))^2)))</f>
        <v>1000</v>
      </c>
      <c r="AY22" s="10">
        <f>IF($G22=AY$5,1000,IF(AY$4=0,1000,SQRT((VLOOKUP($G22,Coords[],3,FALSE)-VLOOKUP(AY$5,Coords[],3,FALSE))^2+(VLOOKUP($G22,Coords[],4,FALSE)-VLOOKUP(AY$5,Coords[],4,FALSE))^2)))</f>
        <v>1000</v>
      </c>
      <c r="AZ22" s="10">
        <f>IF($G22=AZ$5,1000,IF(AZ$4=0,1000,SQRT((VLOOKUP($G22,Coords[],3,FALSE)-VLOOKUP(AZ$5,Coords[],3,FALSE))^2+(VLOOKUP($G22,Coords[],4,FALSE)-VLOOKUP(AZ$5,Coords[],4,FALSE))^2)))</f>
        <v>1000</v>
      </c>
      <c r="BA22" s="10">
        <f>IF($G22=BA$5,1000,IF(BA$4=0,1000,SQRT((VLOOKUP($G22,Coords[],3,FALSE)-VLOOKUP(BA$5,Coords[],3,FALSE))^2+(VLOOKUP($G22,Coords[],4,FALSE)-VLOOKUP(BA$5,Coords[],4,FALSE))^2)))</f>
        <v>1000</v>
      </c>
      <c r="BB22" s="10">
        <f>IF($G22=BB$5,1000,IF(BB$4=0,1000,SQRT((VLOOKUP($G22,Coords[],3,FALSE)-VLOOKUP(BB$5,Coords[],3,FALSE))^2+(VLOOKUP($G22,Coords[],4,FALSE)-VLOOKUP(BB$5,Coords[],4,FALSE))^2)))</f>
        <v>1000</v>
      </c>
      <c r="BC22" s="10">
        <f>IF($G22=BC$5,1000,IF(BC$4=0,1000,SQRT((VLOOKUP($G22,Coords[],3,FALSE)-VLOOKUP(BC$5,Coords[],3,FALSE))^2+(VLOOKUP($G22,Coords[],4,FALSE)-VLOOKUP(BC$5,Coords[],4,FALSE))^2)))</f>
        <v>1000</v>
      </c>
      <c r="BD22" s="10">
        <f>IF($G22=BD$5,1000,IF(BD$4=0,1000,SQRT((VLOOKUP($G22,Coords[],3,FALSE)-VLOOKUP(BD$5,Coords[],3,FALSE))^2+(VLOOKUP($G22,Coords[],4,FALSE)-VLOOKUP(BD$5,Coords[],4,FALSE))^2)))</f>
        <v>1000</v>
      </c>
      <c r="BE22" s="10">
        <f>IF($G22=BE$5,1000,IF(BE$4=0,1000,SQRT((VLOOKUP($G22,Coords[],3,FALSE)-VLOOKUP(BE$5,Coords[],3,FALSE))^2+(VLOOKUP($G22,Coords[],4,FALSE)-VLOOKUP(BE$5,Coords[],4,FALSE))^2)))</f>
        <v>1000</v>
      </c>
      <c r="BF22" s="10">
        <f>IF($G22=BF$5,1000,IF(BF$4=0,1000,SQRT((VLOOKUP($G22,Coords[],3,FALSE)-VLOOKUP(BF$5,Coords[],3,FALSE))^2+(VLOOKUP($G22,Coords[],4,FALSE)-VLOOKUP(BF$5,Coords[],4,FALSE))^2)))</f>
        <v>1000</v>
      </c>
      <c r="BG22" s="10">
        <f>IF($G22=BG$5,1000,IF(BG$4=0,1000,SQRT((VLOOKUP($G22,Coords[],3,FALSE)-VLOOKUP(BG$5,Coords[],3,FALSE))^2+(VLOOKUP($G22,Coords[],4,FALSE)-VLOOKUP(BG$5,Coords[],4,FALSE))^2)))</f>
        <v>1000</v>
      </c>
      <c r="BH22" s="10">
        <f>IF($G22=BH$5,1000,IF(BH$4=0,1000,SQRT((VLOOKUP($G22,Coords[],3,FALSE)-VLOOKUP(BH$5,Coords[],3,FALSE))^2+(VLOOKUP($G22,Coords[],4,FALSE)-VLOOKUP(BH$5,Coords[],4,FALSE))^2)))</f>
        <v>1000</v>
      </c>
      <c r="BI22" s="10">
        <f>IF($G22=BI$5,1000,IF(BI$4=0,1000,SQRT((VLOOKUP($G22,Coords[],3,FALSE)-VLOOKUP(BI$5,Coords[],3,FALSE))^2+(VLOOKUP($G22,Coords[],4,FALSE)-VLOOKUP(BI$5,Coords[],4,FALSE))^2)))</f>
        <v>1000</v>
      </c>
      <c r="BJ22" s="10">
        <f>IF($G22=BJ$5,1000,IF(BJ$4=0,1000,SQRT((VLOOKUP($G22,Coords[],3,FALSE)-VLOOKUP(BJ$5,Coords[],3,FALSE))^2+(VLOOKUP($G22,Coords[],4,FALSE)-VLOOKUP(BJ$5,Coords[],4,FALSE))^2)))</f>
        <v>1000</v>
      </c>
      <c r="BK22" s="10">
        <f>IF($G22=BK$5,1000,IF(BK$4=0,1000,SQRT((VLOOKUP($G22,Coords[],3,FALSE)-VLOOKUP(BK$5,Coords[],3,FALSE))^2+(VLOOKUP($G22,Coords[],4,FALSE)-VLOOKUP(BK$5,Coords[],4,FALSE))^2)))</f>
        <v>1000</v>
      </c>
      <c r="BL22" s="10">
        <f>IF($G22=BL$5,1000,IF(BL$4=0,1000,SQRT((VLOOKUP($G22,Coords[],3,FALSE)-VLOOKUP(BL$5,Coords[],3,FALSE))^2+(VLOOKUP($G22,Coords[],4,FALSE)-VLOOKUP(BL$5,Coords[],4,FALSE))^2)))</f>
        <v>1000</v>
      </c>
      <c r="BM22" s="10">
        <f>IF($G22=BM$5,1000,IF(BM$4=0,1000,SQRT((VLOOKUP($G22,Coords[],3,FALSE)-VLOOKUP(BM$5,Coords[],3,FALSE))^2+(VLOOKUP($G22,Coords[],4,FALSE)-VLOOKUP(BM$5,Coords[],4,FALSE))^2)))</f>
        <v>1000</v>
      </c>
      <c r="BN22" s="10">
        <f>IF($G22=BN$5,1000,IF(BN$4=0,1000,SQRT((VLOOKUP($G22,Coords[],3,FALSE)-VLOOKUP(BN$5,Coords[],3,FALSE))^2+(VLOOKUP($G22,Coords[],4,FALSE)-VLOOKUP(BN$5,Coords[],4,FALSE))^2)))</f>
        <v>1000</v>
      </c>
      <c r="BO22" s="10">
        <f>IF($G22=BO$5,1000,IF(BO$4=0,1000,SQRT((VLOOKUP($G22,Coords[],3,FALSE)-VLOOKUP(BO$5,Coords[],3,FALSE))^2+(VLOOKUP($G22,Coords[],4,FALSE)-VLOOKUP(BO$5,Coords[],4,FALSE))^2)))</f>
        <v>1000</v>
      </c>
      <c r="BP22" s="10">
        <f>IF($G22=BP$5,1000,IF(BP$4=0,1000,SQRT((VLOOKUP($G22,Coords[],3,FALSE)-VLOOKUP(BP$5,Coords[],3,FALSE))^2+(VLOOKUP($G22,Coords[],4,FALSE)-VLOOKUP(BP$5,Coords[],4,FALSE))^2)))</f>
        <v>1000</v>
      </c>
      <c r="BQ22" s="10">
        <f>IF($G22=BQ$5,1000,IF(BQ$4=0,1000,SQRT((VLOOKUP($G22,Coords[],3,FALSE)-VLOOKUP(BQ$5,Coords[],3,FALSE))^2+(VLOOKUP($G22,Coords[],4,FALSE)-VLOOKUP(BQ$5,Coords[],4,FALSE))^2)))</f>
        <v>1000</v>
      </c>
      <c r="BR22" s="10">
        <f>IF($G22=BR$5,1000,IF(BR$4=0,1000,SQRT((VLOOKUP($G22,Coords[],3,FALSE)-VLOOKUP(BR$5,Coords[],3,FALSE))^2+(VLOOKUP($G22,Coords[],4,FALSE)-VLOOKUP(BR$5,Coords[],4,FALSE))^2)))</f>
        <v>1000</v>
      </c>
      <c r="BS22" s="10">
        <f>IF($G22=BS$5,1000,IF(BS$4=0,1000,SQRT((VLOOKUP($G22,Coords[],3,FALSE)-VLOOKUP(BS$5,Coords[],3,FALSE))^2+(VLOOKUP($G22,Coords[],4,FALSE)-VLOOKUP(BS$5,Coords[],4,FALSE))^2)))</f>
        <v>1000</v>
      </c>
      <c r="BT22" s="10">
        <f>IF($G22=BT$5,1000,IF(BT$4=0,1000,SQRT((VLOOKUP($G22,Coords[],3,FALSE)-VLOOKUP(BT$5,Coords[],3,FALSE))^2+(VLOOKUP($G22,Coords[],4,FALSE)-VLOOKUP(BT$5,Coords[],4,FALSE))^2)))</f>
        <v>1000</v>
      </c>
      <c r="BU22" s="10">
        <f>IF($G22=BU$5,1000,IF(BU$4=0,1000,SQRT((VLOOKUP($G22,Coords[],3,FALSE)-VLOOKUP(BU$5,Coords[],3,FALSE))^2+(VLOOKUP($G22,Coords[],4,FALSE)-VLOOKUP(BU$5,Coords[],4,FALSE))^2)))</f>
        <v>1000</v>
      </c>
      <c r="BV22" s="10">
        <f>IF($G22=BV$5,1000,IF(BV$4=0,1000,SQRT((VLOOKUP($G22,Coords[],3,FALSE)-VLOOKUP(BV$5,Coords[],3,FALSE))^2+(VLOOKUP($G22,Coords[],4,FALSE)-VLOOKUP(BV$5,Coords[],4,FALSE))^2)))</f>
        <v>1000</v>
      </c>
      <c r="BW22" s="10">
        <f>IF($G22=BW$5,1000,IF(BW$4=0,1000,SQRT((VLOOKUP($G22,Coords[],3,FALSE)-VLOOKUP(BW$5,Coords[],3,FALSE))^2+(VLOOKUP($G22,Coords[],4,FALSE)-VLOOKUP(BW$5,Coords[],4,FALSE))^2)))</f>
        <v>1000</v>
      </c>
      <c r="BX22" s="10">
        <f>IF($G22=BX$5,1000,IF(BX$4=0,1000,SQRT((VLOOKUP($G22,Coords[],3,FALSE)-VLOOKUP(BX$5,Coords[],3,FALSE))^2+(VLOOKUP($G22,Coords[],4,FALSE)-VLOOKUP(BX$5,Coords[],4,FALSE))^2)))</f>
        <v>1000</v>
      </c>
      <c r="BY22" s="10">
        <f>IF($G22=BY$5,1000,IF(BY$4=0,1000,SQRT((VLOOKUP($G22,Coords[],3,FALSE)-VLOOKUP(BY$5,Coords[],3,FALSE))^2+(VLOOKUP($G22,Coords[],4,FALSE)-VLOOKUP(BY$5,Coords[],4,FALSE))^2)))</f>
        <v>1000</v>
      </c>
      <c r="BZ22" s="10">
        <f>IF($G22=BZ$5,1000,IF(BZ$4=0,1000,SQRT((VLOOKUP($G22,Coords[],3,FALSE)-VLOOKUP(BZ$5,Coords[],3,FALSE))^2+(VLOOKUP($G22,Coords[],4,FALSE)-VLOOKUP(BZ$5,Coords[],4,FALSE))^2)))</f>
        <v>1000</v>
      </c>
      <c r="CA22" s="10">
        <f>IF($G22=CA$5,1000,IF(CA$4=0,1000,SQRT((VLOOKUP($G22,Coords[],3,FALSE)-VLOOKUP(CA$5,Coords[],3,FALSE))^2+(VLOOKUP($G22,Coords[],4,FALSE)-VLOOKUP(CA$5,Coords[],4,FALSE))^2)))</f>
        <v>1000</v>
      </c>
      <c r="CB22" s="10">
        <f>IF($G22=CB$5,1000,IF(CB$4=0,1000,SQRT((VLOOKUP($G22,Coords[],3,FALSE)-VLOOKUP(CB$5,Coords[],3,FALSE))^2+(VLOOKUP($G22,Coords[],4,FALSE)-VLOOKUP(CB$5,Coords[],4,FALSE))^2)))</f>
        <v>1000</v>
      </c>
      <c r="CC22" s="10">
        <f>IF($G22=CC$5,1000,IF(CC$4=0,1000,SQRT((VLOOKUP($G22,Coords[],3,FALSE)-VLOOKUP(CC$5,Coords[],3,FALSE))^2+(VLOOKUP($G22,Coords[],4,FALSE)-VLOOKUP(CC$5,Coords[],4,FALSE))^2)))</f>
        <v>1000</v>
      </c>
      <c r="CD22" s="10">
        <f>IF($G22=CD$5,1000,IF(CD$4=0,1000,SQRT((VLOOKUP($G22,Coords[],3,FALSE)-VLOOKUP(CD$5,Coords[],3,FALSE))^2+(VLOOKUP($G22,Coords[],4,FALSE)-VLOOKUP(CD$5,Coords[],4,FALSE))^2)))</f>
        <v>1000</v>
      </c>
      <c r="CE22" s="10">
        <f>IF($G22=CE$5,1000,IF(CE$4=0,1000,SQRT((VLOOKUP($G22,Coords[],3,FALSE)-VLOOKUP(CE$5,Coords[],3,FALSE))^2+(VLOOKUP($G22,Coords[],4,FALSE)-VLOOKUP(CE$5,Coords[],4,FALSE))^2)))</f>
        <v>1000</v>
      </c>
      <c r="CF22" s="4">
        <v>17</v>
      </c>
      <c r="CH22" s="5">
        <f>IF(E22=1,0,VLOOKUP($G22,$G$6:$CE$82,HLOOKUP(MIN(H22:CE22),$H22:$CE$82,((COUNT($G$6:$G$81)+2)-$G22),FALSE)+1,FALSE)*B22)</f>
        <v>0</v>
      </c>
      <c r="CI22" s="9">
        <f>VLOOKUP($G22,$G$6:$CE$82,HLOOKUP(MIN(H22:CE22),$H22:$CE$82,((COUNT($G$6:$G$81)+2)-$G22),FALSE)+1,FALSE)</f>
        <v>1000</v>
      </c>
      <c r="CJ22" s="7">
        <f>HLOOKUP(MIN(H22:CE22),$H22:$CE$82,((COUNT($G$6:$G$81)+2)-$G22),FALSE)</f>
        <v>1</v>
      </c>
      <c r="CK22">
        <f>CI22*Coords[[#This Row],[Demand]]</f>
        <v>0</v>
      </c>
    </row>
    <row r="23" spans="1:89" x14ac:dyDescent="0.25">
      <c r="A23" s="8">
        <v>18</v>
      </c>
      <c r="B23" s="3"/>
      <c r="C23" s="3"/>
      <c r="D23" s="3"/>
      <c r="E23" s="3"/>
      <c r="G23" s="4">
        <v>18</v>
      </c>
      <c r="H23" s="10">
        <f>IF($G23=H$5,1000,IF(H$4=0,1000,SQRT((VLOOKUP($G23,Coords[],3,FALSE)-VLOOKUP(H$5,Coords[],3,FALSE))^2+(VLOOKUP($G23,Coords[],4,FALSE)-VLOOKUP(H$5,Coords[],4,FALSE))^2)))</f>
        <v>1000</v>
      </c>
      <c r="I23" s="10">
        <f>IF($G23=I$5,1000,IF(I$4=0,1000,SQRT((VLOOKUP($G23,Coords[],3,FALSE)-VLOOKUP(I$5,Coords[],3,FALSE))^2+(VLOOKUP($G23,Coords[],4,FALSE)-VLOOKUP(I$5,Coords[],4,FALSE))^2)))</f>
        <v>1000</v>
      </c>
      <c r="J23" s="10">
        <f>IF($G23=J$5,1000,IF(J$4=0,1000,SQRT((VLOOKUP($G23,Coords[],3,FALSE)-VLOOKUP(J$5,Coords[],3,FALSE))^2+(VLOOKUP($G23,Coords[],4,FALSE)-VLOOKUP(J$5,Coords[],4,FALSE))^2)))</f>
        <v>1000</v>
      </c>
      <c r="K23" s="10">
        <f>IF($G23=K$5,1000,IF(K$4=0,1000,SQRT((VLOOKUP($G23,Coords[],3,FALSE)-VLOOKUP(K$5,Coords[],3,FALSE))^2+(VLOOKUP($G23,Coords[],4,FALSE)-VLOOKUP(K$5,Coords[],4,FALSE))^2)))</f>
        <v>1000</v>
      </c>
      <c r="L23" s="10">
        <f>IF($G23=L$5,1000,IF(L$4=0,1000,SQRT((VLOOKUP($G23,Coords[],3,FALSE)-VLOOKUP(L$5,Coords[],3,FALSE))^2+(VLOOKUP($G23,Coords[],4,FALSE)-VLOOKUP(L$5,Coords[],4,FALSE))^2)))</f>
        <v>1000</v>
      </c>
      <c r="M23" s="10">
        <f>IF($G23=M$5,1000,IF(M$4=0,1000,SQRT((VLOOKUP($G23,Coords[],3,FALSE)-VLOOKUP(M$5,Coords[],3,FALSE))^2+(VLOOKUP($G23,Coords[],4,FALSE)-VLOOKUP(M$5,Coords[],4,FALSE))^2)))</f>
        <v>1000</v>
      </c>
      <c r="N23" s="10">
        <f>IF($G23=N$5,1000,IF(N$4=0,1000,SQRT((VLOOKUP($G23,Coords[],3,FALSE)-VLOOKUP(N$5,Coords[],3,FALSE))^2+(VLOOKUP($G23,Coords[],4,FALSE)-VLOOKUP(N$5,Coords[],4,FALSE))^2)))</f>
        <v>1000</v>
      </c>
      <c r="O23" s="10">
        <f>IF($G23=O$5,1000,IF(O$4=0,1000,SQRT((VLOOKUP($G23,Coords[],3,FALSE)-VLOOKUP(O$5,Coords[],3,FALSE))^2+(VLOOKUP($G23,Coords[],4,FALSE)-VLOOKUP(O$5,Coords[],4,FALSE))^2)))</f>
        <v>1000</v>
      </c>
      <c r="P23" s="10">
        <f>IF($G23=P$5,1000,IF(P$4=0,1000,SQRT((VLOOKUP($G23,Coords[],3,FALSE)-VLOOKUP(P$5,Coords[],3,FALSE))^2+(VLOOKUP($G23,Coords[],4,FALSE)-VLOOKUP(P$5,Coords[],4,FALSE))^2)))</f>
        <v>1000</v>
      </c>
      <c r="Q23" s="10">
        <f>IF($G23=Q$5,1000,IF(Q$4=0,1000,SQRT((VLOOKUP($G23,Coords[],3,FALSE)-VLOOKUP(Q$5,Coords[],3,FALSE))^2+(VLOOKUP($G23,Coords[],4,FALSE)-VLOOKUP(Q$5,Coords[],4,FALSE))^2)))</f>
        <v>1000</v>
      </c>
      <c r="R23" s="10">
        <f>IF($G23=R$5,1000,IF(R$4=0,1000,SQRT((VLOOKUP($G23,Coords[],3,FALSE)-VLOOKUP(R$5,Coords[],3,FALSE))^2+(VLOOKUP($G23,Coords[],4,FALSE)-VLOOKUP(R$5,Coords[],4,FALSE))^2)))</f>
        <v>1000</v>
      </c>
      <c r="S23" s="10">
        <f>IF($G23=S$5,1000,IF(S$4=0,1000,SQRT((VLOOKUP($G23,Coords[],3,FALSE)-VLOOKUP(S$5,Coords[],3,FALSE))^2+(VLOOKUP($G23,Coords[],4,FALSE)-VLOOKUP(S$5,Coords[],4,FALSE))^2)))</f>
        <v>1000</v>
      </c>
      <c r="T23" s="10">
        <f>IF($G23=T$5,1000,IF(T$4=0,1000,SQRT((VLOOKUP($G23,Coords[],3,FALSE)-VLOOKUP(T$5,Coords[],3,FALSE))^2+(VLOOKUP($G23,Coords[],4,FALSE)-VLOOKUP(T$5,Coords[],4,FALSE))^2)))</f>
        <v>1000</v>
      </c>
      <c r="U23" s="10">
        <f>IF($G23=U$5,1000,IF(U$4=0,1000,SQRT((VLOOKUP($G23,Coords[],3,FALSE)-VLOOKUP(U$5,Coords[],3,FALSE))^2+(VLOOKUP($G23,Coords[],4,FALSE)-VLOOKUP(U$5,Coords[],4,FALSE))^2)))</f>
        <v>1000</v>
      </c>
      <c r="V23" s="10">
        <f>IF($G23=V$5,1000,IF(V$4=0,1000,SQRT((VLOOKUP($G23,Coords[],3,FALSE)-VLOOKUP(V$5,Coords[],3,FALSE))^2+(VLOOKUP($G23,Coords[],4,FALSE)-VLOOKUP(V$5,Coords[],4,FALSE))^2)))</f>
        <v>1000</v>
      </c>
      <c r="W23" s="10">
        <f>IF($G23=W$5,1000,IF(W$4=0,1000,SQRT((VLOOKUP($G23,Coords[],3,FALSE)-VLOOKUP(W$5,Coords[],3,FALSE))^2+(VLOOKUP($G23,Coords[],4,FALSE)-VLOOKUP(W$5,Coords[],4,FALSE))^2)))</f>
        <v>1000</v>
      </c>
      <c r="X23" s="10">
        <f>IF($G23=X$5,1000,IF(X$4=0,1000,SQRT((VLOOKUP($G23,Coords[],3,FALSE)-VLOOKUP(X$5,Coords[],3,FALSE))^2+(VLOOKUP($G23,Coords[],4,FALSE)-VLOOKUP(X$5,Coords[],4,FALSE))^2)))</f>
        <v>1000</v>
      </c>
      <c r="Y23" s="10">
        <f>IF($G23=Y$5,1000,IF(Y$4=0,1000,SQRT((VLOOKUP($G23,Coords[],3,FALSE)-VLOOKUP(Y$5,Coords[],3,FALSE))^2+(VLOOKUP($G23,Coords[],4,FALSE)-VLOOKUP(Y$5,Coords[],4,FALSE))^2)))</f>
        <v>1000</v>
      </c>
      <c r="Z23" s="10">
        <f>IF($G23=Z$5,1000,IF(Z$4=0,1000,SQRT((VLOOKUP($G23,Coords[],3,FALSE)-VLOOKUP(Z$5,Coords[],3,FALSE))^2+(VLOOKUP($G23,Coords[],4,FALSE)-VLOOKUP(Z$5,Coords[],4,FALSE))^2)))</f>
        <v>1000</v>
      </c>
      <c r="AA23" s="10">
        <f>IF($G23=AA$5,1000,IF(AA$4=0,1000,SQRT((VLOOKUP($G23,Coords[],3,FALSE)-VLOOKUP(AA$5,Coords[],3,FALSE))^2+(VLOOKUP($G23,Coords[],4,FALSE)-VLOOKUP(AA$5,Coords[],4,FALSE))^2)))</f>
        <v>1000</v>
      </c>
      <c r="AB23" s="10">
        <f>IF($G23=AB$5,1000,IF(AB$4=0,1000,SQRT((VLOOKUP($G23,Coords[],3,FALSE)-VLOOKUP(AB$5,Coords[],3,FALSE))^2+(VLOOKUP($G23,Coords[],4,FALSE)-VLOOKUP(AB$5,Coords[],4,FALSE))^2)))</f>
        <v>1000</v>
      </c>
      <c r="AC23" s="10">
        <f>IF($G23=AC$5,1000,IF(AC$4=0,1000,SQRT((VLOOKUP($G23,Coords[],3,FALSE)-VLOOKUP(AC$5,Coords[],3,FALSE))^2+(VLOOKUP($G23,Coords[],4,FALSE)-VLOOKUP(AC$5,Coords[],4,FALSE))^2)))</f>
        <v>1000</v>
      </c>
      <c r="AD23" s="10">
        <f>IF($G23=AD$5,1000,IF(AD$4=0,1000,SQRT((VLOOKUP($G23,Coords[],3,FALSE)-VLOOKUP(AD$5,Coords[],3,FALSE))^2+(VLOOKUP($G23,Coords[],4,FALSE)-VLOOKUP(AD$5,Coords[],4,FALSE))^2)))</f>
        <v>1000</v>
      </c>
      <c r="AE23" s="10">
        <f>IF($G23=AE$5,1000,IF(AE$4=0,1000,SQRT((VLOOKUP($G23,Coords[],3,FALSE)-VLOOKUP(AE$5,Coords[],3,FALSE))^2+(VLOOKUP($G23,Coords[],4,FALSE)-VLOOKUP(AE$5,Coords[],4,FALSE))^2)))</f>
        <v>1000</v>
      </c>
      <c r="AF23" s="10">
        <f>IF($G23=AF$5,1000,IF(AF$4=0,1000,SQRT((VLOOKUP($G23,Coords[],3,FALSE)-VLOOKUP(AF$5,Coords[],3,FALSE))^2+(VLOOKUP($G23,Coords[],4,FALSE)-VLOOKUP(AF$5,Coords[],4,FALSE))^2)))</f>
        <v>1000</v>
      </c>
      <c r="AG23" s="10">
        <f>IF($G23=AG$5,1000,IF(AG$4=0,1000,SQRT((VLOOKUP($G23,Coords[],3,FALSE)-VLOOKUP(AG$5,Coords[],3,FALSE))^2+(VLOOKUP($G23,Coords[],4,FALSE)-VLOOKUP(AG$5,Coords[],4,FALSE))^2)))</f>
        <v>1000</v>
      </c>
      <c r="AH23" s="10">
        <f>IF($G23=AH$5,1000,IF(AH$4=0,1000,SQRT((VLOOKUP($G23,Coords[],3,FALSE)-VLOOKUP(AH$5,Coords[],3,FALSE))^2+(VLOOKUP($G23,Coords[],4,FALSE)-VLOOKUP(AH$5,Coords[],4,FALSE))^2)))</f>
        <v>1000</v>
      </c>
      <c r="AI23" s="10">
        <f>IF($G23=AI$5,1000,IF(AI$4=0,1000,SQRT((VLOOKUP($G23,Coords[],3,FALSE)-VLOOKUP(AI$5,Coords[],3,FALSE))^2+(VLOOKUP($G23,Coords[],4,FALSE)-VLOOKUP(AI$5,Coords[],4,FALSE))^2)))</f>
        <v>1000</v>
      </c>
      <c r="AJ23" s="10">
        <f>IF($G23=AJ$5,1000,IF(AJ$4=0,1000,SQRT((VLOOKUP($G23,Coords[],3,FALSE)-VLOOKUP(AJ$5,Coords[],3,FALSE))^2+(VLOOKUP($G23,Coords[],4,FALSE)-VLOOKUP(AJ$5,Coords[],4,FALSE))^2)))</f>
        <v>1000</v>
      </c>
      <c r="AK23" s="10">
        <f>IF($G23=AK$5,1000,IF(AK$4=0,1000,SQRT((VLOOKUP($G23,Coords[],3,FALSE)-VLOOKUP(AK$5,Coords[],3,FALSE))^2+(VLOOKUP($G23,Coords[],4,FALSE)-VLOOKUP(AK$5,Coords[],4,FALSE))^2)))</f>
        <v>1000</v>
      </c>
      <c r="AL23" s="10">
        <f>IF($G23=AL$5,1000,IF(AL$4=0,1000,SQRT((VLOOKUP($G23,Coords[],3,FALSE)-VLOOKUP(AL$5,Coords[],3,FALSE))^2+(VLOOKUP($G23,Coords[],4,FALSE)-VLOOKUP(AL$5,Coords[],4,FALSE))^2)))</f>
        <v>1000</v>
      </c>
      <c r="AM23" s="10">
        <f>IF($G23=AM$5,1000,IF(AM$4=0,1000,SQRT((VLOOKUP($G23,Coords[],3,FALSE)-VLOOKUP(AM$5,Coords[],3,FALSE))^2+(VLOOKUP($G23,Coords[],4,FALSE)-VLOOKUP(AM$5,Coords[],4,FALSE))^2)))</f>
        <v>1000</v>
      </c>
      <c r="AN23" s="10">
        <f>IF($G23=AN$5,1000,IF(AN$4=0,1000,SQRT((VLOOKUP($G23,Coords[],3,FALSE)-VLOOKUP(AN$5,Coords[],3,FALSE))^2+(VLOOKUP($G23,Coords[],4,FALSE)-VLOOKUP(AN$5,Coords[],4,FALSE))^2)))</f>
        <v>1000</v>
      </c>
      <c r="AO23" s="10">
        <f>IF($G23=AO$5,1000,IF(AO$4=0,1000,SQRT((VLOOKUP($G23,Coords[],3,FALSE)-VLOOKUP(AO$5,Coords[],3,FALSE))^2+(VLOOKUP($G23,Coords[],4,FALSE)-VLOOKUP(AO$5,Coords[],4,FALSE))^2)))</f>
        <v>1000</v>
      </c>
      <c r="AP23" s="10">
        <f>IF($G23=AP$5,1000,IF(AP$4=0,1000,SQRT((VLOOKUP($G23,Coords[],3,FALSE)-VLOOKUP(AP$5,Coords[],3,FALSE))^2+(VLOOKUP($G23,Coords[],4,FALSE)-VLOOKUP(AP$5,Coords[],4,FALSE))^2)))</f>
        <v>1000</v>
      </c>
      <c r="AQ23" s="10">
        <f>IF($G23=AQ$5,1000,IF(AQ$4=0,1000,SQRT((VLOOKUP($G23,Coords[],3,FALSE)-VLOOKUP(AQ$5,Coords[],3,FALSE))^2+(VLOOKUP($G23,Coords[],4,FALSE)-VLOOKUP(AQ$5,Coords[],4,FALSE))^2)))</f>
        <v>1000</v>
      </c>
      <c r="AR23" s="10">
        <f>IF($G23=AR$5,1000,IF(AR$4=0,1000,SQRT((VLOOKUP($G23,Coords[],3,FALSE)-VLOOKUP(AR$5,Coords[],3,FALSE))^2+(VLOOKUP($G23,Coords[],4,FALSE)-VLOOKUP(AR$5,Coords[],4,FALSE))^2)))</f>
        <v>1000</v>
      </c>
      <c r="AS23" s="10">
        <f>IF($G23=AS$5,1000,IF(AS$4=0,1000,SQRT((VLOOKUP($G23,Coords[],3,FALSE)-VLOOKUP(AS$5,Coords[],3,FALSE))^2+(VLOOKUP($G23,Coords[],4,FALSE)-VLOOKUP(AS$5,Coords[],4,FALSE))^2)))</f>
        <v>1000</v>
      </c>
      <c r="AT23" s="10">
        <f>IF($G23=AT$5,1000,IF(AT$4=0,1000,SQRT((VLOOKUP($G23,Coords[],3,FALSE)-VLOOKUP(AT$5,Coords[],3,FALSE))^2+(VLOOKUP($G23,Coords[],4,FALSE)-VLOOKUP(AT$5,Coords[],4,FALSE))^2)))</f>
        <v>1000</v>
      </c>
      <c r="AU23" s="10">
        <f>IF($G23=AU$5,1000,IF(AU$4=0,1000,SQRT((VLOOKUP($G23,Coords[],3,FALSE)-VLOOKUP(AU$5,Coords[],3,FALSE))^2+(VLOOKUP($G23,Coords[],4,FALSE)-VLOOKUP(AU$5,Coords[],4,FALSE))^2)))</f>
        <v>1000</v>
      </c>
      <c r="AV23" s="10">
        <f>IF($G23=AV$5,1000,IF(AV$4=0,1000,SQRT((VLOOKUP($G23,Coords[],3,FALSE)-VLOOKUP(AV$5,Coords[],3,FALSE))^2+(VLOOKUP($G23,Coords[],4,FALSE)-VLOOKUP(AV$5,Coords[],4,FALSE))^2)))</f>
        <v>1000</v>
      </c>
      <c r="AW23" s="10">
        <f>IF($G23=AW$5,1000,IF(AW$4=0,1000,SQRT((VLOOKUP($G23,Coords[],3,FALSE)-VLOOKUP(AW$5,Coords[],3,FALSE))^2+(VLOOKUP($G23,Coords[],4,FALSE)-VLOOKUP(AW$5,Coords[],4,FALSE))^2)))</f>
        <v>1000</v>
      </c>
      <c r="AX23" s="10">
        <f>IF($G23=AX$5,1000,IF(AX$4=0,1000,SQRT((VLOOKUP($G23,Coords[],3,FALSE)-VLOOKUP(AX$5,Coords[],3,FALSE))^2+(VLOOKUP($G23,Coords[],4,FALSE)-VLOOKUP(AX$5,Coords[],4,FALSE))^2)))</f>
        <v>1000</v>
      </c>
      <c r="AY23" s="10">
        <f>IF($G23=AY$5,1000,IF(AY$4=0,1000,SQRT((VLOOKUP($G23,Coords[],3,FALSE)-VLOOKUP(AY$5,Coords[],3,FALSE))^2+(VLOOKUP($G23,Coords[],4,FALSE)-VLOOKUP(AY$5,Coords[],4,FALSE))^2)))</f>
        <v>1000</v>
      </c>
      <c r="AZ23" s="10">
        <f>IF($G23=AZ$5,1000,IF(AZ$4=0,1000,SQRT((VLOOKUP($G23,Coords[],3,FALSE)-VLOOKUP(AZ$5,Coords[],3,FALSE))^2+(VLOOKUP($G23,Coords[],4,FALSE)-VLOOKUP(AZ$5,Coords[],4,FALSE))^2)))</f>
        <v>1000</v>
      </c>
      <c r="BA23" s="10">
        <f>IF($G23=BA$5,1000,IF(BA$4=0,1000,SQRT((VLOOKUP($G23,Coords[],3,FALSE)-VLOOKUP(BA$5,Coords[],3,FALSE))^2+(VLOOKUP($G23,Coords[],4,FALSE)-VLOOKUP(BA$5,Coords[],4,FALSE))^2)))</f>
        <v>1000</v>
      </c>
      <c r="BB23" s="10">
        <f>IF($G23=BB$5,1000,IF(BB$4=0,1000,SQRT((VLOOKUP($G23,Coords[],3,FALSE)-VLOOKUP(BB$5,Coords[],3,FALSE))^2+(VLOOKUP($G23,Coords[],4,FALSE)-VLOOKUP(BB$5,Coords[],4,FALSE))^2)))</f>
        <v>1000</v>
      </c>
      <c r="BC23" s="10">
        <f>IF($G23=BC$5,1000,IF(BC$4=0,1000,SQRT((VLOOKUP($G23,Coords[],3,FALSE)-VLOOKUP(BC$5,Coords[],3,FALSE))^2+(VLOOKUP($G23,Coords[],4,FALSE)-VLOOKUP(BC$5,Coords[],4,FALSE))^2)))</f>
        <v>1000</v>
      </c>
      <c r="BD23" s="10">
        <f>IF($G23=BD$5,1000,IF(BD$4=0,1000,SQRT((VLOOKUP($G23,Coords[],3,FALSE)-VLOOKUP(BD$5,Coords[],3,FALSE))^2+(VLOOKUP($G23,Coords[],4,FALSE)-VLOOKUP(BD$5,Coords[],4,FALSE))^2)))</f>
        <v>1000</v>
      </c>
      <c r="BE23" s="10">
        <f>IF($G23=BE$5,1000,IF(BE$4=0,1000,SQRT((VLOOKUP($G23,Coords[],3,FALSE)-VLOOKUP(BE$5,Coords[],3,FALSE))^2+(VLOOKUP($G23,Coords[],4,FALSE)-VLOOKUP(BE$5,Coords[],4,FALSE))^2)))</f>
        <v>1000</v>
      </c>
      <c r="BF23" s="10">
        <f>IF($G23=BF$5,1000,IF(BF$4=0,1000,SQRT((VLOOKUP($G23,Coords[],3,FALSE)-VLOOKUP(BF$5,Coords[],3,FALSE))^2+(VLOOKUP($G23,Coords[],4,FALSE)-VLOOKUP(BF$5,Coords[],4,FALSE))^2)))</f>
        <v>1000</v>
      </c>
      <c r="BG23" s="10">
        <f>IF($G23=BG$5,1000,IF(BG$4=0,1000,SQRT((VLOOKUP($G23,Coords[],3,FALSE)-VLOOKUP(BG$5,Coords[],3,FALSE))^2+(VLOOKUP($G23,Coords[],4,FALSE)-VLOOKUP(BG$5,Coords[],4,FALSE))^2)))</f>
        <v>1000</v>
      </c>
      <c r="BH23" s="10">
        <f>IF($G23=BH$5,1000,IF(BH$4=0,1000,SQRT((VLOOKUP($G23,Coords[],3,FALSE)-VLOOKUP(BH$5,Coords[],3,FALSE))^2+(VLOOKUP($G23,Coords[],4,FALSE)-VLOOKUP(BH$5,Coords[],4,FALSE))^2)))</f>
        <v>1000</v>
      </c>
      <c r="BI23" s="10">
        <f>IF($G23=BI$5,1000,IF(BI$4=0,1000,SQRT((VLOOKUP($G23,Coords[],3,FALSE)-VLOOKUP(BI$5,Coords[],3,FALSE))^2+(VLOOKUP($G23,Coords[],4,FALSE)-VLOOKUP(BI$5,Coords[],4,FALSE))^2)))</f>
        <v>1000</v>
      </c>
      <c r="BJ23" s="10">
        <f>IF($G23=BJ$5,1000,IF(BJ$4=0,1000,SQRT((VLOOKUP($G23,Coords[],3,FALSE)-VLOOKUP(BJ$5,Coords[],3,FALSE))^2+(VLOOKUP($G23,Coords[],4,FALSE)-VLOOKUP(BJ$5,Coords[],4,FALSE))^2)))</f>
        <v>1000</v>
      </c>
      <c r="BK23" s="10">
        <f>IF($G23=BK$5,1000,IF(BK$4=0,1000,SQRT((VLOOKUP($G23,Coords[],3,FALSE)-VLOOKUP(BK$5,Coords[],3,FALSE))^2+(VLOOKUP($G23,Coords[],4,FALSE)-VLOOKUP(BK$5,Coords[],4,FALSE))^2)))</f>
        <v>1000</v>
      </c>
      <c r="BL23" s="10">
        <f>IF($G23=BL$5,1000,IF(BL$4=0,1000,SQRT((VLOOKUP($G23,Coords[],3,FALSE)-VLOOKUP(BL$5,Coords[],3,FALSE))^2+(VLOOKUP($G23,Coords[],4,FALSE)-VLOOKUP(BL$5,Coords[],4,FALSE))^2)))</f>
        <v>1000</v>
      </c>
      <c r="BM23" s="10">
        <f>IF($G23=BM$5,1000,IF(BM$4=0,1000,SQRT((VLOOKUP($G23,Coords[],3,FALSE)-VLOOKUP(BM$5,Coords[],3,FALSE))^2+(VLOOKUP($G23,Coords[],4,FALSE)-VLOOKUP(BM$5,Coords[],4,FALSE))^2)))</f>
        <v>1000</v>
      </c>
      <c r="BN23" s="10">
        <f>IF($G23=BN$5,1000,IF(BN$4=0,1000,SQRT((VLOOKUP($G23,Coords[],3,FALSE)-VLOOKUP(BN$5,Coords[],3,FALSE))^2+(VLOOKUP($G23,Coords[],4,FALSE)-VLOOKUP(BN$5,Coords[],4,FALSE))^2)))</f>
        <v>1000</v>
      </c>
      <c r="BO23" s="10">
        <f>IF($G23=BO$5,1000,IF(BO$4=0,1000,SQRT((VLOOKUP($G23,Coords[],3,FALSE)-VLOOKUP(BO$5,Coords[],3,FALSE))^2+(VLOOKUP($G23,Coords[],4,FALSE)-VLOOKUP(BO$5,Coords[],4,FALSE))^2)))</f>
        <v>1000</v>
      </c>
      <c r="BP23" s="10">
        <f>IF($G23=BP$5,1000,IF(BP$4=0,1000,SQRT((VLOOKUP($G23,Coords[],3,FALSE)-VLOOKUP(BP$5,Coords[],3,FALSE))^2+(VLOOKUP($G23,Coords[],4,FALSE)-VLOOKUP(BP$5,Coords[],4,FALSE))^2)))</f>
        <v>1000</v>
      </c>
      <c r="BQ23" s="10">
        <f>IF($G23=BQ$5,1000,IF(BQ$4=0,1000,SQRT((VLOOKUP($G23,Coords[],3,FALSE)-VLOOKUP(BQ$5,Coords[],3,FALSE))^2+(VLOOKUP($G23,Coords[],4,FALSE)-VLOOKUP(BQ$5,Coords[],4,FALSE))^2)))</f>
        <v>1000</v>
      </c>
      <c r="BR23" s="10">
        <f>IF($G23=BR$5,1000,IF(BR$4=0,1000,SQRT((VLOOKUP($G23,Coords[],3,FALSE)-VLOOKUP(BR$5,Coords[],3,FALSE))^2+(VLOOKUP($G23,Coords[],4,FALSE)-VLOOKUP(BR$5,Coords[],4,FALSE))^2)))</f>
        <v>1000</v>
      </c>
      <c r="BS23" s="10">
        <f>IF($G23=BS$5,1000,IF(BS$4=0,1000,SQRT((VLOOKUP($G23,Coords[],3,FALSE)-VLOOKUP(BS$5,Coords[],3,FALSE))^2+(VLOOKUP($G23,Coords[],4,FALSE)-VLOOKUP(BS$5,Coords[],4,FALSE))^2)))</f>
        <v>1000</v>
      </c>
      <c r="BT23" s="10">
        <f>IF($G23=BT$5,1000,IF(BT$4=0,1000,SQRT((VLOOKUP($G23,Coords[],3,FALSE)-VLOOKUP(BT$5,Coords[],3,FALSE))^2+(VLOOKUP($G23,Coords[],4,FALSE)-VLOOKUP(BT$5,Coords[],4,FALSE))^2)))</f>
        <v>1000</v>
      </c>
      <c r="BU23" s="10">
        <f>IF($G23=BU$5,1000,IF(BU$4=0,1000,SQRT((VLOOKUP($G23,Coords[],3,FALSE)-VLOOKUP(BU$5,Coords[],3,FALSE))^2+(VLOOKUP($G23,Coords[],4,FALSE)-VLOOKUP(BU$5,Coords[],4,FALSE))^2)))</f>
        <v>1000</v>
      </c>
      <c r="BV23" s="10">
        <f>IF($G23=BV$5,1000,IF(BV$4=0,1000,SQRT((VLOOKUP($G23,Coords[],3,FALSE)-VLOOKUP(BV$5,Coords[],3,FALSE))^2+(VLOOKUP($G23,Coords[],4,FALSE)-VLOOKUP(BV$5,Coords[],4,FALSE))^2)))</f>
        <v>1000</v>
      </c>
      <c r="BW23" s="10">
        <f>IF($G23=BW$5,1000,IF(BW$4=0,1000,SQRT((VLOOKUP($G23,Coords[],3,FALSE)-VLOOKUP(BW$5,Coords[],3,FALSE))^2+(VLOOKUP($G23,Coords[],4,FALSE)-VLOOKUP(BW$5,Coords[],4,FALSE))^2)))</f>
        <v>1000</v>
      </c>
      <c r="BX23" s="10">
        <f>IF($G23=BX$5,1000,IF(BX$4=0,1000,SQRT((VLOOKUP($G23,Coords[],3,FALSE)-VLOOKUP(BX$5,Coords[],3,FALSE))^2+(VLOOKUP($G23,Coords[],4,FALSE)-VLOOKUP(BX$5,Coords[],4,FALSE))^2)))</f>
        <v>1000</v>
      </c>
      <c r="BY23" s="10">
        <f>IF($G23=BY$5,1000,IF(BY$4=0,1000,SQRT((VLOOKUP($G23,Coords[],3,FALSE)-VLOOKUP(BY$5,Coords[],3,FALSE))^2+(VLOOKUP($G23,Coords[],4,FALSE)-VLOOKUP(BY$5,Coords[],4,FALSE))^2)))</f>
        <v>1000</v>
      </c>
      <c r="BZ23" s="10">
        <f>IF($G23=BZ$5,1000,IF(BZ$4=0,1000,SQRT((VLOOKUP($G23,Coords[],3,FALSE)-VLOOKUP(BZ$5,Coords[],3,FALSE))^2+(VLOOKUP($G23,Coords[],4,FALSE)-VLOOKUP(BZ$5,Coords[],4,FALSE))^2)))</f>
        <v>1000</v>
      </c>
      <c r="CA23" s="10">
        <f>IF($G23=CA$5,1000,IF(CA$4=0,1000,SQRT((VLOOKUP($G23,Coords[],3,FALSE)-VLOOKUP(CA$5,Coords[],3,FALSE))^2+(VLOOKUP($G23,Coords[],4,FALSE)-VLOOKUP(CA$5,Coords[],4,FALSE))^2)))</f>
        <v>1000</v>
      </c>
      <c r="CB23" s="10">
        <f>IF($G23=CB$5,1000,IF(CB$4=0,1000,SQRT((VLOOKUP($G23,Coords[],3,FALSE)-VLOOKUP(CB$5,Coords[],3,FALSE))^2+(VLOOKUP($G23,Coords[],4,FALSE)-VLOOKUP(CB$5,Coords[],4,FALSE))^2)))</f>
        <v>1000</v>
      </c>
      <c r="CC23" s="10">
        <f>IF($G23=CC$5,1000,IF(CC$4=0,1000,SQRT((VLOOKUP($G23,Coords[],3,FALSE)-VLOOKUP(CC$5,Coords[],3,FALSE))^2+(VLOOKUP($G23,Coords[],4,FALSE)-VLOOKUP(CC$5,Coords[],4,FALSE))^2)))</f>
        <v>1000</v>
      </c>
      <c r="CD23" s="10">
        <f>IF($G23=CD$5,1000,IF(CD$4=0,1000,SQRT((VLOOKUP($G23,Coords[],3,FALSE)-VLOOKUP(CD$5,Coords[],3,FALSE))^2+(VLOOKUP($G23,Coords[],4,FALSE)-VLOOKUP(CD$5,Coords[],4,FALSE))^2)))</f>
        <v>1000</v>
      </c>
      <c r="CE23" s="10">
        <f>IF($G23=CE$5,1000,IF(CE$4=0,1000,SQRT((VLOOKUP($G23,Coords[],3,FALSE)-VLOOKUP(CE$5,Coords[],3,FALSE))^2+(VLOOKUP($G23,Coords[],4,FALSE)-VLOOKUP(CE$5,Coords[],4,FALSE))^2)))</f>
        <v>1000</v>
      </c>
      <c r="CF23" s="4">
        <v>18</v>
      </c>
      <c r="CH23" s="5">
        <f>IF(E23=1,0,VLOOKUP($G23,$G$6:$CE$82,HLOOKUP(MIN(H23:CE23),$H23:$CE$82,((COUNT($G$6:$G$81)+2)-$G23),FALSE)+1,FALSE)*B23)</f>
        <v>0</v>
      </c>
      <c r="CI23" s="9">
        <f>VLOOKUP($G23,$G$6:$CE$82,HLOOKUP(MIN(H23:CE23),$H23:$CE$82,((COUNT($G$6:$G$81)+2)-$G23),FALSE)+1,FALSE)</f>
        <v>1000</v>
      </c>
      <c r="CJ23" s="7">
        <f>HLOOKUP(MIN(H23:CE23),$H23:$CE$82,((COUNT($G$6:$G$81)+2)-$G23),FALSE)</f>
        <v>1</v>
      </c>
      <c r="CK23">
        <f>CI23*Coords[[#This Row],[Demand]]</f>
        <v>0</v>
      </c>
    </row>
    <row r="24" spans="1:89" x14ac:dyDescent="0.25">
      <c r="A24" s="8">
        <v>19</v>
      </c>
      <c r="B24" s="3"/>
      <c r="C24" s="3"/>
      <c r="D24" s="3"/>
      <c r="E24" s="3"/>
      <c r="G24" s="4">
        <v>19</v>
      </c>
      <c r="H24" s="10">
        <f>IF($G24=H$5,1000,IF(H$4=0,1000,SQRT((VLOOKUP($G24,Coords[],3,FALSE)-VLOOKUP(H$5,Coords[],3,FALSE))^2+(VLOOKUP($G24,Coords[],4,FALSE)-VLOOKUP(H$5,Coords[],4,FALSE))^2)))</f>
        <v>1000</v>
      </c>
      <c r="I24" s="10">
        <f>IF($G24=I$5,1000,IF(I$4=0,1000,SQRT((VLOOKUP($G24,Coords[],3,FALSE)-VLOOKUP(I$5,Coords[],3,FALSE))^2+(VLOOKUP($G24,Coords[],4,FALSE)-VLOOKUP(I$5,Coords[],4,FALSE))^2)))</f>
        <v>1000</v>
      </c>
      <c r="J24" s="10">
        <f>IF($G24=J$5,1000,IF(J$4=0,1000,SQRT((VLOOKUP($G24,Coords[],3,FALSE)-VLOOKUP(J$5,Coords[],3,FALSE))^2+(VLOOKUP($G24,Coords[],4,FALSE)-VLOOKUP(J$5,Coords[],4,FALSE))^2)))</f>
        <v>1000</v>
      </c>
      <c r="K24" s="10">
        <f>IF($G24=K$5,1000,IF(K$4=0,1000,SQRT((VLOOKUP($G24,Coords[],3,FALSE)-VLOOKUP(K$5,Coords[],3,FALSE))^2+(VLOOKUP($G24,Coords[],4,FALSE)-VLOOKUP(K$5,Coords[],4,FALSE))^2)))</f>
        <v>1000</v>
      </c>
      <c r="L24" s="10">
        <f>IF($G24=L$5,1000,IF(L$4=0,1000,SQRT((VLOOKUP($G24,Coords[],3,FALSE)-VLOOKUP(L$5,Coords[],3,FALSE))^2+(VLOOKUP($G24,Coords[],4,FALSE)-VLOOKUP(L$5,Coords[],4,FALSE))^2)))</f>
        <v>1000</v>
      </c>
      <c r="M24" s="10">
        <f>IF($G24=M$5,1000,IF(M$4=0,1000,SQRT((VLOOKUP($G24,Coords[],3,FALSE)-VLOOKUP(M$5,Coords[],3,FALSE))^2+(VLOOKUP($G24,Coords[],4,FALSE)-VLOOKUP(M$5,Coords[],4,FALSE))^2)))</f>
        <v>1000</v>
      </c>
      <c r="N24" s="10">
        <f>IF($G24=N$5,1000,IF(N$4=0,1000,SQRT((VLOOKUP($G24,Coords[],3,FALSE)-VLOOKUP(N$5,Coords[],3,FALSE))^2+(VLOOKUP($G24,Coords[],4,FALSE)-VLOOKUP(N$5,Coords[],4,FALSE))^2)))</f>
        <v>1000</v>
      </c>
      <c r="O24" s="10">
        <f>IF($G24=O$5,1000,IF(O$4=0,1000,SQRT((VLOOKUP($G24,Coords[],3,FALSE)-VLOOKUP(O$5,Coords[],3,FALSE))^2+(VLOOKUP($G24,Coords[],4,FALSE)-VLOOKUP(O$5,Coords[],4,FALSE))^2)))</f>
        <v>1000</v>
      </c>
      <c r="P24" s="10">
        <f>IF($G24=P$5,1000,IF(P$4=0,1000,SQRT((VLOOKUP($G24,Coords[],3,FALSE)-VLOOKUP(P$5,Coords[],3,FALSE))^2+(VLOOKUP($G24,Coords[],4,FALSE)-VLOOKUP(P$5,Coords[],4,FALSE))^2)))</f>
        <v>1000</v>
      </c>
      <c r="Q24" s="10">
        <f>IF($G24=Q$5,1000,IF(Q$4=0,1000,SQRT((VLOOKUP($G24,Coords[],3,FALSE)-VLOOKUP(Q$5,Coords[],3,FALSE))^2+(VLOOKUP($G24,Coords[],4,FALSE)-VLOOKUP(Q$5,Coords[],4,FALSE))^2)))</f>
        <v>1000</v>
      </c>
      <c r="R24" s="10">
        <f>IF($G24=R$5,1000,IF(R$4=0,1000,SQRT((VLOOKUP($G24,Coords[],3,FALSE)-VLOOKUP(R$5,Coords[],3,FALSE))^2+(VLOOKUP($G24,Coords[],4,FALSE)-VLOOKUP(R$5,Coords[],4,FALSE))^2)))</f>
        <v>1000</v>
      </c>
      <c r="S24" s="10">
        <f>IF($G24=S$5,1000,IF(S$4=0,1000,SQRT((VLOOKUP($G24,Coords[],3,FALSE)-VLOOKUP(S$5,Coords[],3,FALSE))^2+(VLOOKUP($G24,Coords[],4,FALSE)-VLOOKUP(S$5,Coords[],4,FALSE))^2)))</f>
        <v>1000</v>
      </c>
      <c r="T24" s="10">
        <f>IF($G24=T$5,1000,IF(T$4=0,1000,SQRT((VLOOKUP($G24,Coords[],3,FALSE)-VLOOKUP(T$5,Coords[],3,FALSE))^2+(VLOOKUP($G24,Coords[],4,FALSE)-VLOOKUP(T$5,Coords[],4,FALSE))^2)))</f>
        <v>1000</v>
      </c>
      <c r="U24" s="10">
        <f>IF($G24=U$5,1000,IF(U$4=0,1000,SQRT((VLOOKUP($G24,Coords[],3,FALSE)-VLOOKUP(U$5,Coords[],3,FALSE))^2+(VLOOKUP($G24,Coords[],4,FALSE)-VLOOKUP(U$5,Coords[],4,FALSE))^2)))</f>
        <v>1000</v>
      </c>
      <c r="V24" s="10">
        <f>IF($G24=V$5,1000,IF(V$4=0,1000,SQRT((VLOOKUP($G24,Coords[],3,FALSE)-VLOOKUP(V$5,Coords[],3,FALSE))^2+(VLOOKUP($G24,Coords[],4,FALSE)-VLOOKUP(V$5,Coords[],4,FALSE))^2)))</f>
        <v>1000</v>
      </c>
      <c r="W24" s="10">
        <f>IF($G24=W$5,1000,IF(W$4=0,1000,SQRT((VLOOKUP($G24,Coords[],3,FALSE)-VLOOKUP(W$5,Coords[],3,FALSE))^2+(VLOOKUP($G24,Coords[],4,FALSE)-VLOOKUP(W$5,Coords[],4,FALSE))^2)))</f>
        <v>1000</v>
      </c>
      <c r="X24" s="10">
        <f>IF($G24=X$5,1000,IF(X$4=0,1000,SQRT((VLOOKUP($G24,Coords[],3,FALSE)-VLOOKUP(X$5,Coords[],3,FALSE))^2+(VLOOKUP($G24,Coords[],4,FALSE)-VLOOKUP(X$5,Coords[],4,FALSE))^2)))</f>
        <v>1000</v>
      </c>
      <c r="Y24" s="10">
        <f>IF($G24=Y$5,1000,IF(Y$4=0,1000,SQRT((VLOOKUP($G24,Coords[],3,FALSE)-VLOOKUP(Y$5,Coords[],3,FALSE))^2+(VLOOKUP($G24,Coords[],4,FALSE)-VLOOKUP(Y$5,Coords[],4,FALSE))^2)))</f>
        <v>1000</v>
      </c>
      <c r="Z24" s="10">
        <f>IF($G24=Z$5,1000,IF(Z$4=0,1000,SQRT((VLOOKUP($G24,Coords[],3,FALSE)-VLOOKUP(Z$5,Coords[],3,FALSE))^2+(VLOOKUP($G24,Coords[],4,FALSE)-VLOOKUP(Z$5,Coords[],4,FALSE))^2)))</f>
        <v>1000</v>
      </c>
      <c r="AA24" s="10">
        <f>IF($G24=AA$5,1000,IF(AA$4=0,1000,SQRT((VLOOKUP($G24,Coords[],3,FALSE)-VLOOKUP(AA$5,Coords[],3,FALSE))^2+(VLOOKUP($G24,Coords[],4,FALSE)-VLOOKUP(AA$5,Coords[],4,FALSE))^2)))</f>
        <v>1000</v>
      </c>
      <c r="AB24" s="10">
        <f>IF($G24=AB$5,1000,IF(AB$4=0,1000,SQRT((VLOOKUP($G24,Coords[],3,FALSE)-VLOOKUP(AB$5,Coords[],3,FALSE))^2+(VLOOKUP($G24,Coords[],4,FALSE)-VLOOKUP(AB$5,Coords[],4,FALSE))^2)))</f>
        <v>1000</v>
      </c>
      <c r="AC24" s="10">
        <f>IF($G24=AC$5,1000,IF(AC$4=0,1000,SQRT((VLOOKUP($G24,Coords[],3,FALSE)-VLOOKUP(AC$5,Coords[],3,FALSE))^2+(VLOOKUP($G24,Coords[],4,FALSE)-VLOOKUP(AC$5,Coords[],4,FALSE))^2)))</f>
        <v>1000</v>
      </c>
      <c r="AD24" s="10">
        <f>IF($G24=AD$5,1000,IF(AD$4=0,1000,SQRT((VLOOKUP($G24,Coords[],3,FALSE)-VLOOKUP(AD$5,Coords[],3,FALSE))^2+(VLOOKUP($G24,Coords[],4,FALSE)-VLOOKUP(AD$5,Coords[],4,FALSE))^2)))</f>
        <v>1000</v>
      </c>
      <c r="AE24" s="10">
        <f>IF($G24=AE$5,1000,IF(AE$4=0,1000,SQRT((VLOOKUP($G24,Coords[],3,FALSE)-VLOOKUP(AE$5,Coords[],3,FALSE))^2+(VLOOKUP($G24,Coords[],4,FALSE)-VLOOKUP(AE$5,Coords[],4,FALSE))^2)))</f>
        <v>1000</v>
      </c>
      <c r="AF24" s="10">
        <f>IF($G24=AF$5,1000,IF(AF$4=0,1000,SQRT((VLOOKUP($G24,Coords[],3,FALSE)-VLOOKUP(AF$5,Coords[],3,FALSE))^2+(VLOOKUP($G24,Coords[],4,FALSE)-VLOOKUP(AF$5,Coords[],4,FALSE))^2)))</f>
        <v>1000</v>
      </c>
      <c r="AG24" s="10">
        <f>IF($G24=AG$5,1000,IF(AG$4=0,1000,SQRT((VLOOKUP($G24,Coords[],3,FALSE)-VLOOKUP(AG$5,Coords[],3,FALSE))^2+(VLOOKUP($G24,Coords[],4,FALSE)-VLOOKUP(AG$5,Coords[],4,FALSE))^2)))</f>
        <v>1000</v>
      </c>
      <c r="AH24" s="10">
        <f>IF($G24=AH$5,1000,IF(AH$4=0,1000,SQRT((VLOOKUP($G24,Coords[],3,FALSE)-VLOOKUP(AH$5,Coords[],3,FALSE))^2+(VLOOKUP($G24,Coords[],4,FALSE)-VLOOKUP(AH$5,Coords[],4,FALSE))^2)))</f>
        <v>1000</v>
      </c>
      <c r="AI24" s="10">
        <f>IF($G24=AI$5,1000,IF(AI$4=0,1000,SQRT((VLOOKUP($G24,Coords[],3,FALSE)-VLOOKUP(AI$5,Coords[],3,FALSE))^2+(VLOOKUP($G24,Coords[],4,FALSE)-VLOOKUP(AI$5,Coords[],4,FALSE))^2)))</f>
        <v>1000</v>
      </c>
      <c r="AJ24" s="10">
        <f>IF($G24=AJ$5,1000,IF(AJ$4=0,1000,SQRT((VLOOKUP($G24,Coords[],3,FALSE)-VLOOKUP(AJ$5,Coords[],3,FALSE))^2+(VLOOKUP($G24,Coords[],4,FALSE)-VLOOKUP(AJ$5,Coords[],4,FALSE))^2)))</f>
        <v>1000</v>
      </c>
      <c r="AK24" s="10">
        <f>IF($G24=AK$5,1000,IF(AK$4=0,1000,SQRT((VLOOKUP($G24,Coords[],3,FALSE)-VLOOKUP(AK$5,Coords[],3,FALSE))^2+(VLOOKUP($G24,Coords[],4,FALSE)-VLOOKUP(AK$5,Coords[],4,FALSE))^2)))</f>
        <v>1000</v>
      </c>
      <c r="AL24" s="10">
        <f>IF($G24=AL$5,1000,IF(AL$4=0,1000,SQRT((VLOOKUP($G24,Coords[],3,FALSE)-VLOOKUP(AL$5,Coords[],3,FALSE))^2+(VLOOKUP($G24,Coords[],4,FALSE)-VLOOKUP(AL$5,Coords[],4,FALSE))^2)))</f>
        <v>1000</v>
      </c>
      <c r="AM24" s="10">
        <f>IF($G24=AM$5,1000,IF(AM$4=0,1000,SQRT((VLOOKUP($G24,Coords[],3,FALSE)-VLOOKUP(AM$5,Coords[],3,FALSE))^2+(VLOOKUP($G24,Coords[],4,FALSE)-VLOOKUP(AM$5,Coords[],4,FALSE))^2)))</f>
        <v>1000</v>
      </c>
      <c r="AN24" s="10">
        <f>IF($G24=AN$5,1000,IF(AN$4=0,1000,SQRT((VLOOKUP($G24,Coords[],3,FALSE)-VLOOKUP(AN$5,Coords[],3,FALSE))^2+(VLOOKUP($G24,Coords[],4,FALSE)-VLOOKUP(AN$5,Coords[],4,FALSE))^2)))</f>
        <v>1000</v>
      </c>
      <c r="AO24" s="10">
        <f>IF($G24=AO$5,1000,IF(AO$4=0,1000,SQRT((VLOOKUP($G24,Coords[],3,FALSE)-VLOOKUP(AO$5,Coords[],3,FALSE))^2+(VLOOKUP($G24,Coords[],4,FALSE)-VLOOKUP(AO$5,Coords[],4,FALSE))^2)))</f>
        <v>1000</v>
      </c>
      <c r="AP24" s="10">
        <f>IF($G24=AP$5,1000,IF(AP$4=0,1000,SQRT((VLOOKUP($G24,Coords[],3,FALSE)-VLOOKUP(AP$5,Coords[],3,FALSE))^2+(VLOOKUP($G24,Coords[],4,FALSE)-VLOOKUP(AP$5,Coords[],4,FALSE))^2)))</f>
        <v>1000</v>
      </c>
      <c r="AQ24" s="10">
        <f>IF($G24=AQ$5,1000,IF(AQ$4=0,1000,SQRT((VLOOKUP($G24,Coords[],3,FALSE)-VLOOKUP(AQ$5,Coords[],3,FALSE))^2+(VLOOKUP($G24,Coords[],4,FALSE)-VLOOKUP(AQ$5,Coords[],4,FALSE))^2)))</f>
        <v>1000</v>
      </c>
      <c r="AR24" s="10">
        <f>IF($G24=AR$5,1000,IF(AR$4=0,1000,SQRT((VLOOKUP($G24,Coords[],3,FALSE)-VLOOKUP(AR$5,Coords[],3,FALSE))^2+(VLOOKUP($G24,Coords[],4,FALSE)-VLOOKUP(AR$5,Coords[],4,FALSE))^2)))</f>
        <v>1000</v>
      </c>
      <c r="AS24" s="10">
        <f>IF($G24=AS$5,1000,IF(AS$4=0,1000,SQRT((VLOOKUP($G24,Coords[],3,FALSE)-VLOOKUP(AS$5,Coords[],3,FALSE))^2+(VLOOKUP($G24,Coords[],4,FALSE)-VLOOKUP(AS$5,Coords[],4,FALSE))^2)))</f>
        <v>1000</v>
      </c>
      <c r="AT24" s="10">
        <f>IF($G24=AT$5,1000,IF(AT$4=0,1000,SQRT((VLOOKUP($G24,Coords[],3,FALSE)-VLOOKUP(AT$5,Coords[],3,FALSE))^2+(VLOOKUP($G24,Coords[],4,FALSE)-VLOOKUP(AT$5,Coords[],4,FALSE))^2)))</f>
        <v>1000</v>
      </c>
      <c r="AU24" s="10">
        <f>IF($G24=AU$5,1000,IF(AU$4=0,1000,SQRT((VLOOKUP($G24,Coords[],3,FALSE)-VLOOKUP(AU$5,Coords[],3,FALSE))^2+(VLOOKUP($G24,Coords[],4,FALSE)-VLOOKUP(AU$5,Coords[],4,FALSE))^2)))</f>
        <v>1000</v>
      </c>
      <c r="AV24" s="10">
        <f>IF($G24=AV$5,1000,IF(AV$4=0,1000,SQRT((VLOOKUP($G24,Coords[],3,FALSE)-VLOOKUP(AV$5,Coords[],3,FALSE))^2+(VLOOKUP($G24,Coords[],4,FALSE)-VLOOKUP(AV$5,Coords[],4,FALSE))^2)))</f>
        <v>1000</v>
      </c>
      <c r="AW24" s="10">
        <f>IF($G24=AW$5,1000,IF(AW$4=0,1000,SQRT((VLOOKUP($G24,Coords[],3,FALSE)-VLOOKUP(AW$5,Coords[],3,FALSE))^2+(VLOOKUP($G24,Coords[],4,FALSE)-VLOOKUP(AW$5,Coords[],4,FALSE))^2)))</f>
        <v>1000</v>
      </c>
      <c r="AX24" s="10">
        <f>IF($G24=AX$5,1000,IF(AX$4=0,1000,SQRT((VLOOKUP($G24,Coords[],3,FALSE)-VLOOKUP(AX$5,Coords[],3,FALSE))^2+(VLOOKUP($G24,Coords[],4,FALSE)-VLOOKUP(AX$5,Coords[],4,FALSE))^2)))</f>
        <v>1000</v>
      </c>
      <c r="AY24" s="10">
        <f>IF($G24=AY$5,1000,IF(AY$4=0,1000,SQRT((VLOOKUP($G24,Coords[],3,FALSE)-VLOOKUP(AY$5,Coords[],3,FALSE))^2+(VLOOKUP($G24,Coords[],4,FALSE)-VLOOKUP(AY$5,Coords[],4,FALSE))^2)))</f>
        <v>1000</v>
      </c>
      <c r="AZ24" s="10">
        <f>IF($G24=AZ$5,1000,IF(AZ$4=0,1000,SQRT((VLOOKUP($G24,Coords[],3,FALSE)-VLOOKUP(AZ$5,Coords[],3,FALSE))^2+(VLOOKUP($G24,Coords[],4,FALSE)-VLOOKUP(AZ$5,Coords[],4,FALSE))^2)))</f>
        <v>1000</v>
      </c>
      <c r="BA24" s="10">
        <f>IF($G24=BA$5,1000,IF(BA$4=0,1000,SQRT((VLOOKUP($G24,Coords[],3,FALSE)-VLOOKUP(BA$5,Coords[],3,FALSE))^2+(VLOOKUP($G24,Coords[],4,FALSE)-VLOOKUP(BA$5,Coords[],4,FALSE))^2)))</f>
        <v>1000</v>
      </c>
      <c r="BB24" s="10">
        <f>IF($G24=BB$5,1000,IF(BB$4=0,1000,SQRT((VLOOKUP($G24,Coords[],3,FALSE)-VLOOKUP(BB$5,Coords[],3,FALSE))^2+(VLOOKUP($G24,Coords[],4,FALSE)-VLOOKUP(BB$5,Coords[],4,FALSE))^2)))</f>
        <v>1000</v>
      </c>
      <c r="BC24" s="10">
        <f>IF($G24=BC$5,1000,IF(BC$4=0,1000,SQRT((VLOOKUP($G24,Coords[],3,FALSE)-VLOOKUP(BC$5,Coords[],3,FALSE))^2+(VLOOKUP($G24,Coords[],4,FALSE)-VLOOKUP(BC$5,Coords[],4,FALSE))^2)))</f>
        <v>1000</v>
      </c>
      <c r="BD24" s="10">
        <f>IF($G24=BD$5,1000,IF(BD$4=0,1000,SQRT((VLOOKUP($G24,Coords[],3,FALSE)-VLOOKUP(BD$5,Coords[],3,FALSE))^2+(VLOOKUP($G24,Coords[],4,FALSE)-VLOOKUP(BD$5,Coords[],4,FALSE))^2)))</f>
        <v>1000</v>
      </c>
      <c r="BE24" s="10">
        <f>IF($G24=BE$5,1000,IF(BE$4=0,1000,SQRT((VLOOKUP($G24,Coords[],3,FALSE)-VLOOKUP(BE$5,Coords[],3,FALSE))^2+(VLOOKUP($G24,Coords[],4,FALSE)-VLOOKUP(BE$5,Coords[],4,FALSE))^2)))</f>
        <v>1000</v>
      </c>
      <c r="BF24" s="10">
        <f>IF($G24=BF$5,1000,IF(BF$4=0,1000,SQRT((VLOOKUP($G24,Coords[],3,FALSE)-VLOOKUP(BF$5,Coords[],3,FALSE))^2+(VLOOKUP($G24,Coords[],4,FALSE)-VLOOKUP(BF$5,Coords[],4,FALSE))^2)))</f>
        <v>1000</v>
      </c>
      <c r="BG24" s="10">
        <f>IF($G24=BG$5,1000,IF(BG$4=0,1000,SQRT((VLOOKUP($G24,Coords[],3,FALSE)-VLOOKUP(BG$5,Coords[],3,FALSE))^2+(VLOOKUP($G24,Coords[],4,FALSE)-VLOOKUP(BG$5,Coords[],4,FALSE))^2)))</f>
        <v>1000</v>
      </c>
      <c r="BH24" s="10">
        <f>IF($G24=BH$5,1000,IF(BH$4=0,1000,SQRT((VLOOKUP($G24,Coords[],3,FALSE)-VLOOKUP(BH$5,Coords[],3,FALSE))^2+(VLOOKUP($G24,Coords[],4,FALSE)-VLOOKUP(BH$5,Coords[],4,FALSE))^2)))</f>
        <v>1000</v>
      </c>
      <c r="BI24" s="10">
        <f>IF($G24=BI$5,1000,IF(BI$4=0,1000,SQRT((VLOOKUP($G24,Coords[],3,FALSE)-VLOOKUP(BI$5,Coords[],3,FALSE))^2+(VLOOKUP($G24,Coords[],4,FALSE)-VLOOKUP(BI$5,Coords[],4,FALSE))^2)))</f>
        <v>1000</v>
      </c>
      <c r="BJ24" s="10">
        <f>IF($G24=BJ$5,1000,IF(BJ$4=0,1000,SQRT((VLOOKUP($G24,Coords[],3,FALSE)-VLOOKUP(BJ$5,Coords[],3,FALSE))^2+(VLOOKUP($G24,Coords[],4,FALSE)-VLOOKUP(BJ$5,Coords[],4,FALSE))^2)))</f>
        <v>1000</v>
      </c>
      <c r="BK24" s="10">
        <f>IF($G24=BK$5,1000,IF(BK$4=0,1000,SQRT((VLOOKUP($G24,Coords[],3,FALSE)-VLOOKUP(BK$5,Coords[],3,FALSE))^2+(VLOOKUP($G24,Coords[],4,FALSE)-VLOOKUP(BK$5,Coords[],4,FALSE))^2)))</f>
        <v>1000</v>
      </c>
      <c r="BL24" s="10">
        <f>IF($G24=BL$5,1000,IF(BL$4=0,1000,SQRT((VLOOKUP($G24,Coords[],3,FALSE)-VLOOKUP(BL$5,Coords[],3,FALSE))^2+(VLOOKUP($G24,Coords[],4,FALSE)-VLOOKUP(BL$5,Coords[],4,FALSE))^2)))</f>
        <v>1000</v>
      </c>
      <c r="BM24" s="10">
        <f>IF($G24=BM$5,1000,IF(BM$4=0,1000,SQRT((VLOOKUP($G24,Coords[],3,FALSE)-VLOOKUP(BM$5,Coords[],3,FALSE))^2+(VLOOKUP($G24,Coords[],4,FALSE)-VLOOKUP(BM$5,Coords[],4,FALSE))^2)))</f>
        <v>1000</v>
      </c>
      <c r="BN24" s="10">
        <f>IF($G24=BN$5,1000,IF(BN$4=0,1000,SQRT((VLOOKUP($G24,Coords[],3,FALSE)-VLOOKUP(BN$5,Coords[],3,FALSE))^2+(VLOOKUP($G24,Coords[],4,FALSE)-VLOOKUP(BN$5,Coords[],4,FALSE))^2)))</f>
        <v>1000</v>
      </c>
      <c r="BO24" s="10">
        <f>IF($G24=BO$5,1000,IF(BO$4=0,1000,SQRT((VLOOKUP($G24,Coords[],3,FALSE)-VLOOKUP(BO$5,Coords[],3,FALSE))^2+(VLOOKUP($G24,Coords[],4,FALSE)-VLOOKUP(BO$5,Coords[],4,FALSE))^2)))</f>
        <v>1000</v>
      </c>
      <c r="BP24" s="10">
        <f>IF($G24=BP$5,1000,IF(BP$4=0,1000,SQRT((VLOOKUP($G24,Coords[],3,FALSE)-VLOOKUP(BP$5,Coords[],3,FALSE))^2+(VLOOKUP($G24,Coords[],4,FALSE)-VLOOKUP(BP$5,Coords[],4,FALSE))^2)))</f>
        <v>1000</v>
      </c>
      <c r="BQ24" s="10">
        <f>IF($G24=BQ$5,1000,IF(BQ$4=0,1000,SQRT((VLOOKUP($G24,Coords[],3,FALSE)-VLOOKUP(BQ$5,Coords[],3,FALSE))^2+(VLOOKUP($G24,Coords[],4,FALSE)-VLOOKUP(BQ$5,Coords[],4,FALSE))^2)))</f>
        <v>1000</v>
      </c>
      <c r="BR24" s="10">
        <f>IF($G24=BR$5,1000,IF(BR$4=0,1000,SQRT((VLOOKUP($G24,Coords[],3,FALSE)-VLOOKUP(BR$5,Coords[],3,FALSE))^2+(VLOOKUP($G24,Coords[],4,FALSE)-VLOOKUP(BR$5,Coords[],4,FALSE))^2)))</f>
        <v>1000</v>
      </c>
      <c r="BS24" s="10">
        <f>IF($G24=BS$5,1000,IF(BS$4=0,1000,SQRT((VLOOKUP($G24,Coords[],3,FALSE)-VLOOKUP(BS$5,Coords[],3,FALSE))^2+(VLOOKUP($G24,Coords[],4,FALSE)-VLOOKUP(BS$5,Coords[],4,FALSE))^2)))</f>
        <v>1000</v>
      </c>
      <c r="BT24" s="10">
        <f>IF($G24=BT$5,1000,IF(BT$4=0,1000,SQRT((VLOOKUP($G24,Coords[],3,FALSE)-VLOOKUP(BT$5,Coords[],3,FALSE))^2+(VLOOKUP($G24,Coords[],4,FALSE)-VLOOKUP(BT$5,Coords[],4,FALSE))^2)))</f>
        <v>1000</v>
      </c>
      <c r="BU24" s="10">
        <f>IF($G24=BU$5,1000,IF(BU$4=0,1000,SQRT((VLOOKUP($G24,Coords[],3,FALSE)-VLOOKUP(BU$5,Coords[],3,FALSE))^2+(VLOOKUP($G24,Coords[],4,FALSE)-VLOOKUP(BU$5,Coords[],4,FALSE))^2)))</f>
        <v>1000</v>
      </c>
      <c r="BV24" s="10">
        <f>IF($G24=BV$5,1000,IF(BV$4=0,1000,SQRT((VLOOKUP($G24,Coords[],3,FALSE)-VLOOKUP(BV$5,Coords[],3,FALSE))^2+(VLOOKUP($G24,Coords[],4,FALSE)-VLOOKUP(BV$5,Coords[],4,FALSE))^2)))</f>
        <v>1000</v>
      </c>
      <c r="BW24" s="10">
        <f>IF($G24=BW$5,1000,IF(BW$4=0,1000,SQRT((VLOOKUP($G24,Coords[],3,FALSE)-VLOOKUP(BW$5,Coords[],3,FALSE))^2+(VLOOKUP($G24,Coords[],4,FALSE)-VLOOKUP(BW$5,Coords[],4,FALSE))^2)))</f>
        <v>1000</v>
      </c>
      <c r="BX24" s="10">
        <f>IF($G24=BX$5,1000,IF(BX$4=0,1000,SQRT((VLOOKUP($G24,Coords[],3,FALSE)-VLOOKUP(BX$5,Coords[],3,FALSE))^2+(VLOOKUP($G24,Coords[],4,FALSE)-VLOOKUP(BX$5,Coords[],4,FALSE))^2)))</f>
        <v>1000</v>
      </c>
      <c r="BY24" s="10">
        <f>IF($G24=BY$5,1000,IF(BY$4=0,1000,SQRT((VLOOKUP($G24,Coords[],3,FALSE)-VLOOKUP(BY$5,Coords[],3,FALSE))^2+(VLOOKUP($G24,Coords[],4,FALSE)-VLOOKUP(BY$5,Coords[],4,FALSE))^2)))</f>
        <v>1000</v>
      </c>
      <c r="BZ24" s="10">
        <f>IF($G24=BZ$5,1000,IF(BZ$4=0,1000,SQRT((VLOOKUP($G24,Coords[],3,FALSE)-VLOOKUP(BZ$5,Coords[],3,FALSE))^2+(VLOOKUP($G24,Coords[],4,FALSE)-VLOOKUP(BZ$5,Coords[],4,FALSE))^2)))</f>
        <v>1000</v>
      </c>
      <c r="CA24" s="10">
        <f>IF($G24=CA$5,1000,IF(CA$4=0,1000,SQRT((VLOOKUP($G24,Coords[],3,FALSE)-VLOOKUP(CA$5,Coords[],3,FALSE))^2+(VLOOKUP($G24,Coords[],4,FALSE)-VLOOKUP(CA$5,Coords[],4,FALSE))^2)))</f>
        <v>1000</v>
      </c>
      <c r="CB24" s="10">
        <f>IF($G24=CB$5,1000,IF(CB$4=0,1000,SQRT((VLOOKUP($G24,Coords[],3,FALSE)-VLOOKUP(CB$5,Coords[],3,FALSE))^2+(VLOOKUP($G24,Coords[],4,FALSE)-VLOOKUP(CB$5,Coords[],4,FALSE))^2)))</f>
        <v>1000</v>
      </c>
      <c r="CC24" s="10">
        <f>IF($G24=CC$5,1000,IF(CC$4=0,1000,SQRT((VLOOKUP($G24,Coords[],3,FALSE)-VLOOKUP(CC$5,Coords[],3,FALSE))^2+(VLOOKUP($G24,Coords[],4,FALSE)-VLOOKUP(CC$5,Coords[],4,FALSE))^2)))</f>
        <v>1000</v>
      </c>
      <c r="CD24" s="10">
        <f>IF($G24=CD$5,1000,IF(CD$4=0,1000,SQRT((VLOOKUP($G24,Coords[],3,FALSE)-VLOOKUP(CD$5,Coords[],3,FALSE))^2+(VLOOKUP($G24,Coords[],4,FALSE)-VLOOKUP(CD$5,Coords[],4,FALSE))^2)))</f>
        <v>1000</v>
      </c>
      <c r="CE24" s="10">
        <f>IF($G24=CE$5,1000,IF(CE$4=0,1000,SQRT((VLOOKUP($G24,Coords[],3,FALSE)-VLOOKUP(CE$5,Coords[],3,FALSE))^2+(VLOOKUP($G24,Coords[],4,FALSE)-VLOOKUP(CE$5,Coords[],4,FALSE))^2)))</f>
        <v>1000</v>
      </c>
      <c r="CF24" s="4">
        <v>19</v>
      </c>
      <c r="CH24" s="5">
        <f>IF(E24=1,0,VLOOKUP($G24,$G$6:$CE$82,HLOOKUP(MIN(H24:CE24),$H24:$CE$82,((COUNT($G$6:$G$81)+2)-$G24),FALSE)+1,FALSE)*B24)</f>
        <v>0</v>
      </c>
      <c r="CI24" s="9">
        <f>VLOOKUP($G24,$G$6:$CE$82,HLOOKUP(MIN(H24:CE24),$H24:$CE$82,((COUNT($G$6:$G$81)+2)-$G24),FALSE)+1,FALSE)</f>
        <v>1000</v>
      </c>
      <c r="CJ24" s="7">
        <f>HLOOKUP(MIN(H24:CE24),$H24:$CE$82,((COUNT($G$6:$G$81)+2)-$G24),FALSE)</f>
        <v>1</v>
      </c>
      <c r="CK24">
        <f>CI24*Coords[[#This Row],[Demand]]</f>
        <v>0</v>
      </c>
    </row>
    <row r="25" spans="1:89" x14ac:dyDescent="0.25">
      <c r="A25" s="8">
        <v>20</v>
      </c>
      <c r="B25" s="3"/>
      <c r="C25" s="3"/>
      <c r="D25" s="3"/>
      <c r="E25" s="3"/>
      <c r="G25" s="4">
        <v>20</v>
      </c>
      <c r="H25" s="10">
        <f>IF($G25=H$5,1000,IF(H$4=0,1000,SQRT((VLOOKUP($G25,Coords[],3,FALSE)-VLOOKUP(H$5,Coords[],3,FALSE))^2+(VLOOKUP($G25,Coords[],4,FALSE)-VLOOKUP(H$5,Coords[],4,FALSE))^2)))</f>
        <v>1000</v>
      </c>
      <c r="I25" s="10">
        <f>IF($G25=I$5,1000,IF(I$4=0,1000,SQRT((VLOOKUP($G25,Coords[],3,FALSE)-VLOOKUP(I$5,Coords[],3,FALSE))^2+(VLOOKUP($G25,Coords[],4,FALSE)-VLOOKUP(I$5,Coords[],4,FALSE))^2)))</f>
        <v>1000</v>
      </c>
      <c r="J25" s="10">
        <f>IF($G25=J$5,1000,IF(J$4=0,1000,SQRT((VLOOKUP($G25,Coords[],3,FALSE)-VLOOKUP(J$5,Coords[],3,FALSE))^2+(VLOOKUP($G25,Coords[],4,FALSE)-VLOOKUP(J$5,Coords[],4,FALSE))^2)))</f>
        <v>1000</v>
      </c>
      <c r="K25" s="10">
        <f>IF($G25=K$5,1000,IF(K$4=0,1000,SQRT((VLOOKUP($G25,Coords[],3,FALSE)-VLOOKUP(K$5,Coords[],3,FALSE))^2+(VLOOKUP($G25,Coords[],4,FALSE)-VLOOKUP(K$5,Coords[],4,FALSE))^2)))</f>
        <v>1000</v>
      </c>
      <c r="L25" s="10">
        <f>IF($G25=L$5,1000,IF(L$4=0,1000,SQRT((VLOOKUP($G25,Coords[],3,FALSE)-VLOOKUP(L$5,Coords[],3,FALSE))^2+(VLOOKUP($G25,Coords[],4,FALSE)-VLOOKUP(L$5,Coords[],4,FALSE))^2)))</f>
        <v>1000</v>
      </c>
      <c r="M25" s="10">
        <f>IF($G25=M$5,1000,IF(M$4=0,1000,SQRT((VLOOKUP($G25,Coords[],3,FALSE)-VLOOKUP(M$5,Coords[],3,FALSE))^2+(VLOOKUP($G25,Coords[],4,FALSE)-VLOOKUP(M$5,Coords[],4,FALSE))^2)))</f>
        <v>1000</v>
      </c>
      <c r="N25" s="10">
        <f>IF($G25=N$5,1000,IF(N$4=0,1000,SQRT((VLOOKUP($G25,Coords[],3,FALSE)-VLOOKUP(N$5,Coords[],3,FALSE))^2+(VLOOKUP($G25,Coords[],4,FALSE)-VLOOKUP(N$5,Coords[],4,FALSE))^2)))</f>
        <v>1000</v>
      </c>
      <c r="O25" s="10">
        <f>IF($G25=O$5,1000,IF(O$4=0,1000,SQRT((VLOOKUP($G25,Coords[],3,FALSE)-VLOOKUP(O$5,Coords[],3,FALSE))^2+(VLOOKUP($G25,Coords[],4,FALSE)-VLOOKUP(O$5,Coords[],4,FALSE))^2)))</f>
        <v>1000</v>
      </c>
      <c r="P25" s="10">
        <f>IF($G25=P$5,1000,IF(P$4=0,1000,SQRT((VLOOKUP($G25,Coords[],3,FALSE)-VLOOKUP(P$5,Coords[],3,FALSE))^2+(VLOOKUP($G25,Coords[],4,FALSE)-VLOOKUP(P$5,Coords[],4,FALSE))^2)))</f>
        <v>1000</v>
      </c>
      <c r="Q25" s="10">
        <f>IF($G25=Q$5,1000,IF(Q$4=0,1000,SQRT((VLOOKUP($G25,Coords[],3,FALSE)-VLOOKUP(Q$5,Coords[],3,FALSE))^2+(VLOOKUP($G25,Coords[],4,FALSE)-VLOOKUP(Q$5,Coords[],4,FALSE))^2)))</f>
        <v>1000</v>
      </c>
      <c r="R25" s="10">
        <f>IF($G25=R$5,1000,IF(R$4=0,1000,SQRT((VLOOKUP($G25,Coords[],3,FALSE)-VLOOKUP(R$5,Coords[],3,FALSE))^2+(VLOOKUP($G25,Coords[],4,FALSE)-VLOOKUP(R$5,Coords[],4,FALSE))^2)))</f>
        <v>1000</v>
      </c>
      <c r="S25" s="10">
        <f>IF($G25=S$5,1000,IF(S$4=0,1000,SQRT((VLOOKUP($G25,Coords[],3,FALSE)-VLOOKUP(S$5,Coords[],3,FALSE))^2+(VLOOKUP($G25,Coords[],4,FALSE)-VLOOKUP(S$5,Coords[],4,FALSE))^2)))</f>
        <v>1000</v>
      </c>
      <c r="T25" s="10">
        <f>IF($G25=T$5,1000,IF(T$4=0,1000,SQRT((VLOOKUP($G25,Coords[],3,FALSE)-VLOOKUP(T$5,Coords[],3,FALSE))^2+(VLOOKUP($G25,Coords[],4,FALSE)-VLOOKUP(T$5,Coords[],4,FALSE))^2)))</f>
        <v>1000</v>
      </c>
      <c r="U25" s="10">
        <f>IF($G25=U$5,1000,IF(U$4=0,1000,SQRT((VLOOKUP($G25,Coords[],3,FALSE)-VLOOKUP(U$5,Coords[],3,FALSE))^2+(VLOOKUP($G25,Coords[],4,FALSE)-VLOOKUP(U$5,Coords[],4,FALSE))^2)))</f>
        <v>1000</v>
      </c>
      <c r="V25" s="10">
        <f>IF($G25=V$5,1000,IF(V$4=0,1000,SQRT((VLOOKUP($G25,Coords[],3,FALSE)-VLOOKUP(V$5,Coords[],3,FALSE))^2+(VLOOKUP($G25,Coords[],4,FALSE)-VLOOKUP(V$5,Coords[],4,FALSE))^2)))</f>
        <v>1000</v>
      </c>
      <c r="W25" s="10">
        <f>IF($G25=W$5,1000,IF(W$4=0,1000,SQRT((VLOOKUP($G25,Coords[],3,FALSE)-VLOOKUP(W$5,Coords[],3,FALSE))^2+(VLOOKUP($G25,Coords[],4,FALSE)-VLOOKUP(W$5,Coords[],4,FALSE))^2)))</f>
        <v>1000</v>
      </c>
      <c r="X25" s="10">
        <f>IF($G25=X$5,1000,IF(X$4=0,1000,SQRT((VLOOKUP($G25,Coords[],3,FALSE)-VLOOKUP(X$5,Coords[],3,FALSE))^2+(VLOOKUP($G25,Coords[],4,FALSE)-VLOOKUP(X$5,Coords[],4,FALSE))^2)))</f>
        <v>1000</v>
      </c>
      <c r="Y25" s="10">
        <f>IF($G25=Y$5,1000,IF(Y$4=0,1000,SQRT((VLOOKUP($G25,Coords[],3,FALSE)-VLOOKUP(Y$5,Coords[],3,FALSE))^2+(VLOOKUP($G25,Coords[],4,FALSE)-VLOOKUP(Y$5,Coords[],4,FALSE))^2)))</f>
        <v>1000</v>
      </c>
      <c r="Z25" s="10">
        <f>IF($G25=Z$5,1000,IF(Z$4=0,1000,SQRT((VLOOKUP($G25,Coords[],3,FALSE)-VLOOKUP(Z$5,Coords[],3,FALSE))^2+(VLOOKUP($G25,Coords[],4,FALSE)-VLOOKUP(Z$5,Coords[],4,FALSE))^2)))</f>
        <v>1000</v>
      </c>
      <c r="AA25" s="10">
        <f>IF($G25=AA$5,1000,IF(AA$4=0,1000,SQRT((VLOOKUP($G25,Coords[],3,FALSE)-VLOOKUP(AA$5,Coords[],3,FALSE))^2+(VLOOKUP($G25,Coords[],4,FALSE)-VLOOKUP(AA$5,Coords[],4,FALSE))^2)))</f>
        <v>1000</v>
      </c>
      <c r="AB25" s="10">
        <f>IF($G25=AB$5,1000,IF(AB$4=0,1000,SQRT((VLOOKUP($G25,Coords[],3,FALSE)-VLOOKUP(AB$5,Coords[],3,FALSE))^2+(VLOOKUP($G25,Coords[],4,FALSE)-VLOOKUP(AB$5,Coords[],4,FALSE))^2)))</f>
        <v>1000</v>
      </c>
      <c r="AC25" s="10">
        <f>IF($G25=AC$5,1000,IF(AC$4=0,1000,SQRT((VLOOKUP($G25,Coords[],3,FALSE)-VLOOKUP(AC$5,Coords[],3,FALSE))^2+(VLOOKUP($G25,Coords[],4,FALSE)-VLOOKUP(AC$5,Coords[],4,FALSE))^2)))</f>
        <v>1000</v>
      </c>
      <c r="AD25" s="10">
        <f>IF($G25=AD$5,1000,IF(AD$4=0,1000,SQRT((VLOOKUP($G25,Coords[],3,FALSE)-VLOOKUP(AD$5,Coords[],3,FALSE))^2+(VLOOKUP($G25,Coords[],4,FALSE)-VLOOKUP(AD$5,Coords[],4,FALSE))^2)))</f>
        <v>1000</v>
      </c>
      <c r="AE25" s="10">
        <f>IF($G25=AE$5,1000,IF(AE$4=0,1000,SQRT((VLOOKUP($G25,Coords[],3,FALSE)-VLOOKUP(AE$5,Coords[],3,FALSE))^2+(VLOOKUP($G25,Coords[],4,FALSE)-VLOOKUP(AE$5,Coords[],4,FALSE))^2)))</f>
        <v>1000</v>
      </c>
      <c r="AF25" s="10">
        <f>IF($G25=AF$5,1000,IF(AF$4=0,1000,SQRT((VLOOKUP($G25,Coords[],3,FALSE)-VLOOKUP(AF$5,Coords[],3,FALSE))^2+(VLOOKUP($G25,Coords[],4,FALSE)-VLOOKUP(AF$5,Coords[],4,FALSE))^2)))</f>
        <v>1000</v>
      </c>
      <c r="AG25" s="10">
        <f>IF($G25=AG$5,1000,IF(AG$4=0,1000,SQRT((VLOOKUP($G25,Coords[],3,FALSE)-VLOOKUP(AG$5,Coords[],3,FALSE))^2+(VLOOKUP($G25,Coords[],4,FALSE)-VLOOKUP(AG$5,Coords[],4,FALSE))^2)))</f>
        <v>1000</v>
      </c>
      <c r="AH25" s="10">
        <f>IF($G25=AH$5,1000,IF(AH$4=0,1000,SQRT((VLOOKUP($G25,Coords[],3,FALSE)-VLOOKUP(AH$5,Coords[],3,FALSE))^2+(VLOOKUP($G25,Coords[],4,FALSE)-VLOOKUP(AH$5,Coords[],4,FALSE))^2)))</f>
        <v>1000</v>
      </c>
      <c r="AI25" s="10">
        <f>IF($G25=AI$5,1000,IF(AI$4=0,1000,SQRT((VLOOKUP($G25,Coords[],3,FALSE)-VLOOKUP(AI$5,Coords[],3,FALSE))^2+(VLOOKUP($G25,Coords[],4,FALSE)-VLOOKUP(AI$5,Coords[],4,FALSE))^2)))</f>
        <v>1000</v>
      </c>
      <c r="AJ25" s="10">
        <f>IF($G25=AJ$5,1000,IF(AJ$4=0,1000,SQRT((VLOOKUP($G25,Coords[],3,FALSE)-VLOOKUP(AJ$5,Coords[],3,FALSE))^2+(VLOOKUP($G25,Coords[],4,FALSE)-VLOOKUP(AJ$5,Coords[],4,FALSE))^2)))</f>
        <v>1000</v>
      </c>
      <c r="AK25" s="10">
        <f>IF($G25=AK$5,1000,IF(AK$4=0,1000,SQRT((VLOOKUP($G25,Coords[],3,FALSE)-VLOOKUP(AK$5,Coords[],3,FALSE))^2+(VLOOKUP($G25,Coords[],4,FALSE)-VLOOKUP(AK$5,Coords[],4,FALSE))^2)))</f>
        <v>1000</v>
      </c>
      <c r="AL25" s="10">
        <f>IF($G25=AL$5,1000,IF(AL$4=0,1000,SQRT((VLOOKUP($G25,Coords[],3,FALSE)-VLOOKUP(AL$5,Coords[],3,FALSE))^2+(VLOOKUP($G25,Coords[],4,FALSE)-VLOOKUP(AL$5,Coords[],4,FALSE))^2)))</f>
        <v>1000</v>
      </c>
      <c r="AM25" s="10">
        <f>IF($G25=AM$5,1000,IF(AM$4=0,1000,SQRT((VLOOKUP($G25,Coords[],3,FALSE)-VLOOKUP(AM$5,Coords[],3,FALSE))^2+(VLOOKUP($G25,Coords[],4,FALSE)-VLOOKUP(AM$5,Coords[],4,FALSE))^2)))</f>
        <v>1000</v>
      </c>
      <c r="AN25" s="10">
        <f>IF($G25=AN$5,1000,IF(AN$4=0,1000,SQRT((VLOOKUP($G25,Coords[],3,FALSE)-VLOOKUP(AN$5,Coords[],3,FALSE))^2+(VLOOKUP($G25,Coords[],4,FALSE)-VLOOKUP(AN$5,Coords[],4,FALSE))^2)))</f>
        <v>1000</v>
      </c>
      <c r="AO25" s="10">
        <f>IF($G25=AO$5,1000,IF(AO$4=0,1000,SQRT((VLOOKUP($G25,Coords[],3,FALSE)-VLOOKUP(AO$5,Coords[],3,FALSE))^2+(VLOOKUP($G25,Coords[],4,FALSE)-VLOOKUP(AO$5,Coords[],4,FALSE))^2)))</f>
        <v>1000</v>
      </c>
      <c r="AP25" s="10">
        <f>IF($G25=AP$5,1000,IF(AP$4=0,1000,SQRT((VLOOKUP($G25,Coords[],3,FALSE)-VLOOKUP(AP$5,Coords[],3,FALSE))^2+(VLOOKUP($G25,Coords[],4,FALSE)-VLOOKUP(AP$5,Coords[],4,FALSE))^2)))</f>
        <v>1000</v>
      </c>
      <c r="AQ25" s="10">
        <f>IF($G25=AQ$5,1000,IF(AQ$4=0,1000,SQRT((VLOOKUP($G25,Coords[],3,FALSE)-VLOOKUP(AQ$5,Coords[],3,FALSE))^2+(VLOOKUP($G25,Coords[],4,FALSE)-VLOOKUP(AQ$5,Coords[],4,FALSE))^2)))</f>
        <v>1000</v>
      </c>
      <c r="AR25" s="10">
        <f>IF($G25=AR$5,1000,IF(AR$4=0,1000,SQRT((VLOOKUP($G25,Coords[],3,FALSE)-VLOOKUP(AR$5,Coords[],3,FALSE))^2+(VLOOKUP($G25,Coords[],4,FALSE)-VLOOKUP(AR$5,Coords[],4,FALSE))^2)))</f>
        <v>1000</v>
      </c>
      <c r="AS25" s="10">
        <f>IF($G25=AS$5,1000,IF(AS$4=0,1000,SQRT((VLOOKUP($G25,Coords[],3,FALSE)-VLOOKUP(AS$5,Coords[],3,FALSE))^2+(VLOOKUP($G25,Coords[],4,FALSE)-VLOOKUP(AS$5,Coords[],4,FALSE))^2)))</f>
        <v>1000</v>
      </c>
      <c r="AT25" s="10">
        <f>IF($G25=AT$5,1000,IF(AT$4=0,1000,SQRT((VLOOKUP($G25,Coords[],3,FALSE)-VLOOKUP(AT$5,Coords[],3,FALSE))^2+(VLOOKUP($G25,Coords[],4,FALSE)-VLOOKUP(AT$5,Coords[],4,FALSE))^2)))</f>
        <v>1000</v>
      </c>
      <c r="AU25" s="10">
        <f>IF($G25=AU$5,1000,IF(AU$4=0,1000,SQRT((VLOOKUP($G25,Coords[],3,FALSE)-VLOOKUP(AU$5,Coords[],3,FALSE))^2+(VLOOKUP($G25,Coords[],4,FALSE)-VLOOKUP(AU$5,Coords[],4,FALSE))^2)))</f>
        <v>1000</v>
      </c>
      <c r="AV25" s="10">
        <f>IF($G25=AV$5,1000,IF(AV$4=0,1000,SQRT((VLOOKUP($G25,Coords[],3,FALSE)-VLOOKUP(AV$5,Coords[],3,FALSE))^2+(VLOOKUP($G25,Coords[],4,FALSE)-VLOOKUP(AV$5,Coords[],4,FALSE))^2)))</f>
        <v>1000</v>
      </c>
      <c r="AW25" s="10">
        <f>IF($G25=AW$5,1000,IF(AW$4=0,1000,SQRT((VLOOKUP($G25,Coords[],3,FALSE)-VLOOKUP(AW$5,Coords[],3,FALSE))^2+(VLOOKUP($G25,Coords[],4,FALSE)-VLOOKUP(AW$5,Coords[],4,FALSE))^2)))</f>
        <v>1000</v>
      </c>
      <c r="AX25" s="10">
        <f>IF($G25=AX$5,1000,IF(AX$4=0,1000,SQRT((VLOOKUP($G25,Coords[],3,FALSE)-VLOOKUP(AX$5,Coords[],3,FALSE))^2+(VLOOKUP($G25,Coords[],4,FALSE)-VLOOKUP(AX$5,Coords[],4,FALSE))^2)))</f>
        <v>1000</v>
      </c>
      <c r="AY25" s="10">
        <f>IF($G25=AY$5,1000,IF(AY$4=0,1000,SQRT((VLOOKUP($G25,Coords[],3,FALSE)-VLOOKUP(AY$5,Coords[],3,FALSE))^2+(VLOOKUP($G25,Coords[],4,FALSE)-VLOOKUP(AY$5,Coords[],4,FALSE))^2)))</f>
        <v>1000</v>
      </c>
      <c r="AZ25" s="10">
        <f>IF($G25=AZ$5,1000,IF(AZ$4=0,1000,SQRT((VLOOKUP($G25,Coords[],3,FALSE)-VLOOKUP(AZ$5,Coords[],3,FALSE))^2+(VLOOKUP($G25,Coords[],4,FALSE)-VLOOKUP(AZ$5,Coords[],4,FALSE))^2)))</f>
        <v>1000</v>
      </c>
      <c r="BA25" s="10">
        <f>IF($G25=BA$5,1000,IF(BA$4=0,1000,SQRT((VLOOKUP($G25,Coords[],3,FALSE)-VLOOKUP(BA$5,Coords[],3,FALSE))^2+(VLOOKUP($G25,Coords[],4,FALSE)-VLOOKUP(BA$5,Coords[],4,FALSE))^2)))</f>
        <v>1000</v>
      </c>
      <c r="BB25" s="10">
        <f>IF($G25=BB$5,1000,IF(BB$4=0,1000,SQRT((VLOOKUP($G25,Coords[],3,FALSE)-VLOOKUP(BB$5,Coords[],3,FALSE))^2+(VLOOKUP($G25,Coords[],4,FALSE)-VLOOKUP(BB$5,Coords[],4,FALSE))^2)))</f>
        <v>1000</v>
      </c>
      <c r="BC25" s="10">
        <f>IF($G25=BC$5,1000,IF(BC$4=0,1000,SQRT((VLOOKUP($G25,Coords[],3,FALSE)-VLOOKUP(BC$5,Coords[],3,FALSE))^2+(VLOOKUP($G25,Coords[],4,FALSE)-VLOOKUP(BC$5,Coords[],4,FALSE))^2)))</f>
        <v>1000</v>
      </c>
      <c r="BD25" s="10">
        <f>IF($G25=BD$5,1000,IF(BD$4=0,1000,SQRT((VLOOKUP($G25,Coords[],3,FALSE)-VLOOKUP(BD$5,Coords[],3,FALSE))^2+(VLOOKUP($G25,Coords[],4,FALSE)-VLOOKUP(BD$5,Coords[],4,FALSE))^2)))</f>
        <v>1000</v>
      </c>
      <c r="BE25" s="10">
        <f>IF($G25=BE$5,1000,IF(BE$4=0,1000,SQRT((VLOOKUP($G25,Coords[],3,FALSE)-VLOOKUP(BE$5,Coords[],3,FALSE))^2+(VLOOKUP($G25,Coords[],4,FALSE)-VLOOKUP(BE$5,Coords[],4,FALSE))^2)))</f>
        <v>1000</v>
      </c>
      <c r="BF25" s="10">
        <f>IF($G25=BF$5,1000,IF(BF$4=0,1000,SQRT((VLOOKUP($G25,Coords[],3,FALSE)-VLOOKUP(BF$5,Coords[],3,FALSE))^2+(VLOOKUP($G25,Coords[],4,FALSE)-VLOOKUP(BF$5,Coords[],4,FALSE))^2)))</f>
        <v>1000</v>
      </c>
      <c r="BG25" s="10">
        <f>IF($G25=BG$5,1000,IF(BG$4=0,1000,SQRT((VLOOKUP($G25,Coords[],3,FALSE)-VLOOKUP(BG$5,Coords[],3,FALSE))^2+(VLOOKUP($G25,Coords[],4,FALSE)-VLOOKUP(BG$5,Coords[],4,FALSE))^2)))</f>
        <v>1000</v>
      </c>
      <c r="BH25" s="10">
        <f>IF($G25=BH$5,1000,IF(BH$4=0,1000,SQRT((VLOOKUP($G25,Coords[],3,FALSE)-VLOOKUP(BH$5,Coords[],3,FALSE))^2+(VLOOKUP($G25,Coords[],4,FALSE)-VLOOKUP(BH$5,Coords[],4,FALSE))^2)))</f>
        <v>1000</v>
      </c>
      <c r="BI25" s="10">
        <f>IF($G25=BI$5,1000,IF(BI$4=0,1000,SQRT((VLOOKUP($G25,Coords[],3,FALSE)-VLOOKUP(BI$5,Coords[],3,FALSE))^2+(VLOOKUP($G25,Coords[],4,FALSE)-VLOOKUP(BI$5,Coords[],4,FALSE))^2)))</f>
        <v>1000</v>
      </c>
      <c r="BJ25" s="10">
        <f>IF($G25=BJ$5,1000,IF(BJ$4=0,1000,SQRT((VLOOKUP($G25,Coords[],3,FALSE)-VLOOKUP(BJ$5,Coords[],3,FALSE))^2+(VLOOKUP($G25,Coords[],4,FALSE)-VLOOKUP(BJ$5,Coords[],4,FALSE))^2)))</f>
        <v>1000</v>
      </c>
      <c r="BK25" s="10">
        <f>IF($G25=BK$5,1000,IF(BK$4=0,1000,SQRT((VLOOKUP($G25,Coords[],3,FALSE)-VLOOKUP(BK$5,Coords[],3,FALSE))^2+(VLOOKUP($G25,Coords[],4,FALSE)-VLOOKUP(BK$5,Coords[],4,FALSE))^2)))</f>
        <v>1000</v>
      </c>
      <c r="BL25" s="10">
        <f>IF($G25=BL$5,1000,IF(BL$4=0,1000,SQRT((VLOOKUP($G25,Coords[],3,FALSE)-VLOOKUP(BL$5,Coords[],3,FALSE))^2+(VLOOKUP($G25,Coords[],4,FALSE)-VLOOKUP(BL$5,Coords[],4,FALSE))^2)))</f>
        <v>1000</v>
      </c>
      <c r="BM25" s="10">
        <f>IF($G25=BM$5,1000,IF(BM$4=0,1000,SQRT((VLOOKUP($G25,Coords[],3,FALSE)-VLOOKUP(BM$5,Coords[],3,FALSE))^2+(VLOOKUP($G25,Coords[],4,FALSE)-VLOOKUP(BM$5,Coords[],4,FALSE))^2)))</f>
        <v>1000</v>
      </c>
      <c r="BN25" s="10">
        <f>IF($G25=BN$5,1000,IF(BN$4=0,1000,SQRT((VLOOKUP($G25,Coords[],3,FALSE)-VLOOKUP(BN$5,Coords[],3,FALSE))^2+(VLOOKUP($G25,Coords[],4,FALSE)-VLOOKUP(BN$5,Coords[],4,FALSE))^2)))</f>
        <v>1000</v>
      </c>
      <c r="BO25" s="10">
        <f>IF($G25=BO$5,1000,IF(BO$4=0,1000,SQRT((VLOOKUP($G25,Coords[],3,FALSE)-VLOOKUP(BO$5,Coords[],3,FALSE))^2+(VLOOKUP($G25,Coords[],4,FALSE)-VLOOKUP(BO$5,Coords[],4,FALSE))^2)))</f>
        <v>1000</v>
      </c>
      <c r="BP25" s="10">
        <f>IF($G25=BP$5,1000,IF(BP$4=0,1000,SQRT((VLOOKUP($G25,Coords[],3,FALSE)-VLOOKUP(BP$5,Coords[],3,FALSE))^2+(VLOOKUP($G25,Coords[],4,FALSE)-VLOOKUP(BP$5,Coords[],4,FALSE))^2)))</f>
        <v>1000</v>
      </c>
      <c r="BQ25" s="10">
        <f>IF($G25=BQ$5,1000,IF(BQ$4=0,1000,SQRT((VLOOKUP($G25,Coords[],3,FALSE)-VLOOKUP(BQ$5,Coords[],3,FALSE))^2+(VLOOKUP($G25,Coords[],4,FALSE)-VLOOKUP(BQ$5,Coords[],4,FALSE))^2)))</f>
        <v>1000</v>
      </c>
      <c r="BR25" s="10">
        <f>IF($G25=BR$5,1000,IF(BR$4=0,1000,SQRT((VLOOKUP($G25,Coords[],3,FALSE)-VLOOKUP(BR$5,Coords[],3,FALSE))^2+(VLOOKUP($G25,Coords[],4,FALSE)-VLOOKUP(BR$5,Coords[],4,FALSE))^2)))</f>
        <v>1000</v>
      </c>
      <c r="BS25" s="10">
        <f>IF($G25=BS$5,1000,IF(BS$4=0,1000,SQRT((VLOOKUP($G25,Coords[],3,FALSE)-VLOOKUP(BS$5,Coords[],3,FALSE))^2+(VLOOKUP($G25,Coords[],4,FALSE)-VLOOKUP(BS$5,Coords[],4,FALSE))^2)))</f>
        <v>1000</v>
      </c>
      <c r="BT25" s="10">
        <f>IF($G25=BT$5,1000,IF(BT$4=0,1000,SQRT((VLOOKUP($G25,Coords[],3,FALSE)-VLOOKUP(BT$5,Coords[],3,FALSE))^2+(VLOOKUP($G25,Coords[],4,FALSE)-VLOOKUP(BT$5,Coords[],4,FALSE))^2)))</f>
        <v>1000</v>
      </c>
      <c r="BU25" s="10">
        <f>IF($G25=BU$5,1000,IF(BU$4=0,1000,SQRT((VLOOKUP($G25,Coords[],3,FALSE)-VLOOKUP(BU$5,Coords[],3,FALSE))^2+(VLOOKUP($G25,Coords[],4,FALSE)-VLOOKUP(BU$5,Coords[],4,FALSE))^2)))</f>
        <v>1000</v>
      </c>
      <c r="BV25" s="10">
        <f>IF($G25=BV$5,1000,IF(BV$4=0,1000,SQRT((VLOOKUP($G25,Coords[],3,FALSE)-VLOOKUP(BV$5,Coords[],3,FALSE))^2+(VLOOKUP($G25,Coords[],4,FALSE)-VLOOKUP(BV$5,Coords[],4,FALSE))^2)))</f>
        <v>1000</v>
      </c>
      <c r="BW25" s="10">
        <f>IF($G25=BW$5,1000,IF(BW$4=0,1000,SQRT((VLOOKUP($G25,Coords[],3,FALSE)-VLOOKUP(BW$5,Coords[],3,FALSE))^2+(VLOOKUP($G25,Coords[],4,FALSE)-VLOOKUP(BW$5,Coords[],4,FALSE))^2)))</f>
        <v>1000</v>
      </c>
      <c r="BX25" s="10">
        <f>IF($G25=BX$5,1000,IF(BX$4=0,1000,SQRT((VLOOKUP($G25,Coords[],3,FALSE)-VLOOKUP(BX$5,Coords[],3,FALSE))^2+(VLOOKUP($G25,Coords[],4,FALSE)-VLOOKUP(BX$5,Coords[],4,FALSE))^2)))</f>
        <v>1000</v>
      </c>
      <c r="BY25" s="10">
        <f>IF($G25=BY$5,1000,IF(BY$4=0,1000,SQRT((VLOOKUP($G25,Coords[],3,FALSE)-VLOOKUP(BY$5,Coords[],3,FALSE))^2+(VLOOKUP($G25,Coords[],4,FALSE)-VLOOKUP(BY$5,Coords[],4,FALSE))^2)))</f>
        <v>1000</v>
      </c>
      <c r="BZ25" s="10">
        <f>IF($G25=BZ$5,1000,IF(BZ$4=0,1000,SQRT((VLOOKUP($G25,Coords[],3,FALSE)-VLOOKUP(BZ$5,Coords[],3,FALSE))^2+(VLOOKUP($G25,Coords[],4,FALSE)-VLOOKUP(BZ$5,Coords[],4,FALSE))^2)))</f>
        <v>1000</v>
      </c>
      <c r="CA25" s="10">
        <f>IF($G25=CA$5,1000,IF(CA$4=0,1000,SQRT((VLOOKUP($G25,Coords[],3,FALSE)-VLOOKUP(CA$5,Coords[],3,FALSE))^2+(VLOOKUP($G25,Coords[],4,FALSE)-VLOOKUP(CA$5,Coords[],4,FALSE))^2)))</f>
        <v>1000</v>
      </c>
      <c r="CB25" s="10">
        <f>IF($G25=CB$5,1000,IF(CB$4=0,1000,SQRT((VLOOKUP($G25,Coords[],3,FALSE)-VLOOKUP(CB$5,Coords[],3,FALSE))^2+(VLOOKUP($G25,Coords[],4,FALSE)-VLOOKUP(CB$5,Coords[],4,FALSE))^2)))</f>
        <v>1000</v>
      </c>
      <c r="CC25" s="10">
        <f>IF($G25=CC$5,1000,IF(CC$4=0,1000,SQRT((VLOOKUP($G25,Coords[],3,FALSE)-VLOOKUP(CC$5,Coords[],3,FALSE))^2+(VLOOKUP($G25,Coords[],4,FALSE)-VLOOKUP(CC$5,Coords[],4,FALSE))^2)))</f>
        <v>1000</v>
      </c>
      <c r="CD25" s="10">
        <f>IF($G25=CD$5,1000,IF(CD$4=0,1000,SQRT((VLOOKUP($G25,Coords[],3,FALSE)-VLOOKUP(CD$5,Coords[],3,FALSE))^2+(VLOOKUP($G25,Coords[],4,FALSE)-VLOOKUP(CD$5,Coords[],4,FALSE))^2)))</f>
        <v>1000</v>
      </c>
      <c r="CE25" s="10">
        <f>IF($G25=CE$5,1000,IF(CE$4=0,1000,SQRT((VLOOKUP($G25,Coords[],3,FALSE)-VLOOKUP(CE$5,Coords[],3,FALSE))^2+(VLOOKUP($G25,Coords[],4,FALSE)-VLOOKUP(CE$5,Coords[],4,FALSE))^2)))</f>
        <v>1000</v>
      </c>
      <c r="CF25" s="4">
        <v>20</v>
      </c>
      <c r="CH25" s="5">
        <f>IF(E25=1,0,VLOOKUP($G25,$G$6:$CE$82,HLOOKUP(MIN(H25:CE25),$H25:$CE$82,((COUNT($G$6:$G$81)+2)-$G25),FALSE)+1,FALSE)*B25)</f>
        <v>0</v>
      </c>
      <c r="CI25" s="9">
        <f>VLOOKUP($G25,$G$6:$CE$82,HLOOKUP(MIN(H25:CE25),$H25:$CE$82,((COUNT($G$6:$G$81)+2)-$G25),FALSE)+1,FALSE)</f>
        <v>1000</v>
      </c>
      <c r="CJ25" s="7">
        <f>HLOOKUP(MIN(H25:CE25),$H25:$CE$82,((COUNT($G$6:$G$81)+2)-$G25),FALSE)</f>
        <v>1</v>
      </c>
      <c r="CK25">
        <f>CI25*Coords[[#This Row],[Demand]]</f>
        <v>0</v>
      </c>
    </row>
    <row r="26" spans="1:89" x14ac:dyDescent="0.25">
      <c r="A26" s="8">
        <v>21</v>
      </c>
      <c r="B26" s="3"/>
      <c r="C26" s="3"/>
      <c r="D26" s="3"/>
      <c r="E26" s="3"/>
      <c r="G26" s="4">
        <v>21</v>
      </c>
      <c r="H26" s="10">
        <f>IF($G26=H$5,1000,IF(H$4=0,1000,SQRT((VLOOKUP($G26,Coords[],3,FALSE)-VLOOKUP(H$5,Coords[],3,FALSE))^2+(VLOOKUP($G26,Coords[],4,FALSE)-VLOOKUP(H$5,Coords[],4,FALSE))^2)))</f>
        <v>1000</v>
      </c>
      <c r="I26" s="10">
        <f>IF($G26=I$5,1000,IF(I$4=0,1000,SQRT((VLOOKUP($G26,Coords[],3,FALSE)-VLOOKUP(I$5,Coords[],3,FALSE))^2+(VLOOKUP($G26,Coords[],4,FALSE)-VLOOKUP(I$5,Coords[],4,FALSE))^2)))</f>
        <v>1000</v>
      </c>
      <c r="J26" s="10">
        <f>IF($G26=J$5,1000,IF(J$4=0,1000,SQRT((VLOOKUP($G26,Coords[],3,FALSE)-VLOOKUP(J$5,Coords[],3,FALSE))^2+(VLOOKUP($G26,Coords[],4,FALSE)-VLOOKUP(J$5,Coords[],4,FALSE))^2)))</f>
        <v>1000</v>
      </c>
      <c r="K26" s="10">
        <f>IF($G26=K$5,1000,IF(K$4=0,1000,SQRT((VLOOKUP($G26,Coords[],3,FALSE)-VLOOKUP(K$5,Coords[],3,FALSE))^2+(VLOOKUP($G26,Coords[],4,FALSE)-VLOOKUP(K$5,Coords[],4,FALSE))^2)))</f>
        <v>1000</v>
      </c>
      <c r="L26" s="10">
        <f>IF($G26=L$5,1000,IF(L$4=0,1000,SQRT((VLOOKUP($G26,Coords[],3,FALSE)-VLOOKUP(L$5,Coords[],3,FALSE))^2+(VLOOKUP($G26,Coords[],4,FALSE)-VLOOKUP(L$5,Coords[],4,FALSE))^2)))</f>
        <v>1000</v>
      </c>
      <c r="M26" s="10">
        <f>IF($G26=M$5,1000,IF(M$4=0,1000,SQRT((VLOOKUP($G26,Coords[],3,FALSE)-VLOOKUP(M$5,Coords[],3,FALSE))^2+(VLOOKUP($G26,Coords[],4,FALSE)-VLOOKUP(M$5,Coords[],4,FALSE))^2)))</f>
        <v>1000</v>
      </c>
      <c r="N26" s="10">
        <f>IF($G26=N$5,1000,IF(N$4=0,1000,SQRT((VLOOKUP($G26,Coords[],3,FALSE)-VLOOKUP(N$5,Coords[],3,FALSE))^2+(VLOOKUP($G26,Coords[],4,FALSE)-VLOOKUP(N$5,Coords[],4,FALSE))^2)))</f>
        <v>1000</v>
      </c>
      <c r="O26" s="10">
        <f>IF($G26=O$5,1000,IF(O$4=0,1000,SQRT((VLOOKUP($G26,Coords[],3,FALSE)-VLOOKUP(O$5,Coords[],3,FALSE))^2+(VLOOKUP($G26,Coords[],4,FALSE)-VLOOKUP(O$5,Coords[],4,FALSE))^2)))</f>
        <v>1000</v>
      </c>
      <c r="P26" s="10">
        <f>IF($G26=P$5,1000,IF(P$4=0,1000,SQRT((VLOOKUP($G26,Coords[],3,FALSE)-VLOOKUP(P$5,Coords[],3,FALSE))^2+(VLOOKUP($G26,Coords[],4,FALSE)-VLOOKUP(P$5,Coords[],4,FALSE))^2)))</f>
        <v>1000</v>
      </c>
      <c r="Q26" s="10">
        <f>IF($G26=Q$5,1000,IF(Q$4=0,1000,SQRT((VLOOKUP($G26,Coords[],3,FALSE)-VLOOKUP(Q$5,Coords[],3,FALSE))^2+(VLOOKUP($G26,Coords[],4,FALSE)-VLOOKUP(Q$5,Coords[],4,FALSE))^2)))</f>
        <v>1000</v>
      </c>
      <c r="R26" s="10">
        <f>IF($G26=R$5,1000,IF(R$4=0,1000,SQRT((VLOOKUP($G26,Coords[],3,FALSE)-VLOOKUP(R$5,Coords[],3,FALSE))^2+(VLOOKUP($G26,Coords[],4,FALSE)-VLOOKUP(R$5,Coords[],4,FALSE))^2)))</f>
        <v>1000</v>
      </c>
      <c r="S26" s="10">
        <f>IF($G26=S$5,1000,IF(S$4=0,1000,SQRT((VLOOKUP($G26,Coords[],3,FALSE)-VLOOKUP(S$5,Coords[],3,FALSE))^2+(VLOOKUP($G26,Coords[],4,FALSE)-VLOOKUP(S$5,Coords[],4,FALSE))^2)))</f>
        <v>1000</v>
      </c>
      <c r="T26" s="10">
        <f>IF($G26=T$5,1000,IF(T$4=0,1000,SQRT((VLOOKUP($G26,Coords[],3,FALSE)-VLOOKUP(T$5,Coords[],3,FALSE))^2+(VLOOKUP($G26,Coords[],4,FALSE)-VLOOKUP(T$5,Coords[],4,FALSE))^2)))</f>
        <v>1000</v>
      </c>
      <c r="U26" s="10">
        <f>IF($G26=U$5,1000,IF(U$4=0,1000,SQRT((VLOOKUP($G26,Coords[],3,FALSE)-VLOOKUP(U$5,Coords[],3,FALSE))^2+(VLOOKUP($G26,Coords[],4,FALSE)-VLOOKUP(U$5,Coords[],4,FALSE))^2)))</f>
        <v>1000</v>
      </c>
      <c r="V26" s="10">
        <f>IF($G26=V$5,1000,IF(V$4=0,1000,SQRT((VLOOKUP($G26,Coords[],3,FALSE)-VLOOKUP(V$5,Coords[],3,FALSE))^2+(VLOOKUP($G26,Coords[],4,FALSE)-VLOOKUP(V$5,Coords[],4,FALSE))^2)))</f>
        <v>1000</v>
      </c>
      <c r="W26" s="10">
        <f>IF($G26=W$5,1000,IF(W$4=0,1000,SQRT((VLOOKUP($G26,Coords[],3,FALSE)-VLOOKUP(W$5,Coords[],3,FALSE))^2+(VLOOKUP($G26,Coords[],4,FALSE)-VLOOKUP(W$5,Coords[],4,FALSE))^2)))</f>
        <v>1000</v>
      </c>
      <c r="X26" s="10">
        <f>IF($G26=X$5,1000,IF(X$4=0,1000,SQRT((VLOOKUP($G26,Coords[],3,FALSE)-VLOOKUP(X$5,Coords[],3,FALSE))^2+(VLOOKUP($G26,Coords[],4,FALSE)-VLOOKUP(X$5,Coords[],4,FALSE))^2)))</f>
        <v>1000</v>
      </c>
      <c r="Y26" s="10">
        <f>IF($G26=Y$5,1000,IF(Y$4=0,1000,SQRT((VLOOKUP($G26,Coords[],3,FALSE)-VLOOKUP(Y$5,Coords[],3,FALSE))^2+(VLOOKUP($G26,Coords[],4,FALSE)-VLOOKUP(Y$5,Coords[],4,FALSE))^2)))</f>
        <v>1000</v>
      </c>
      <c r="Z26" s="10">
        <f>IF($G26=Z$5,1000,IF(Z$4=0,1000,SQRT((VLOOKUP($G26,Coords[],3,FALSE)-VLOOKUP(Z$5,Coords[],3,FALSE))^2+(VLOOKUP($G26,Coords[],4,FALSE)-VLOOKUP(Z$5,Coords[],4,FALSE))^2)))</f>
        <v>1000</v>
      </c>
      <c r="AA26" s="10">
        <f>IF($G26=AA$5,1000,IF(AA$4=0,1000,SQRT((VLOOKUP($G26,Coords[],3,FALSE)-VLOOKUP(AA$5,Coords[],3,FALSE))^2+(VLOOKUP($G26,Coords[],4,FALSE)-VLOOKUP(AA$5,Coords[],4,FALSE))^2)))</f>
        <v>1000</v>
      </c>
      <c r="AB26" s="10">
        <f>IF($G26=AB$5,1000,IF(AB$4=0,1000,SQRT((VLOOKUP($G26,Coords[],3,FALSE)-VLOOKUP(AB$5,Coords[],3,FALSE))^2+(VLOOKUP($G26,Coords[],4,FALSE)-VLOOKUP(AB$5,Coords[],4,FALSE))^2)))</f>
        <v>1000</v>
      </c>
      <c r="AC26" s="10">
        <f>IF($G26=AC$5,1000,IF(AC$4=0,1000,SQRT((VLOOKUP($G26,Coords[],3,FALSE)-VLOOKUP(AC$5,Coords[],3,FALSE))^2+(VLOOKUP($G26,Coords[],4,FALSE)-VLOOKUP(AC$5,Coords[],4,FALSE))^2)))</f>
        <v>1000</v>
      </c>
      <c r="AD26" s="10">
        <f>IF($G26=AD$5,1000,IF(AD$4=0,1000,SQRT((VLOOKUP($G26,Coords[],3,FALSE)-VLOOKUP(AD$5,Coords[],3,FALSE))^2+(VLOOKUP($G26,Coords[],4,FALSE)-VLOOKUP(AD$5,Coords[],4,FALSE))^2)))</f>
        <v>1000</v>
      </c>
      <c r="AE26" s="10">
        <f>IF($G26=AE$5,1000,IF(AE$4=0,1000,SQRT((VLOOKUP($G26,Coords[],3,FALSE)-VLOOKUP(AE$5,Coords[],3,FALSE))^2+(VLOOKUP($G26,Coords[],4,FALSE)-VLOOKUP(AE$5,Coords[],4,FALSE))^2)))</f>
        <v>1000</v>
      </c>
      <c r="AF26" s="10">
        <f>IF($G26=AF$5,1000,IF(AF$4=0,1000,SQRT((VLOOKUP($G26,Coords[],3,FALSE)-VLOOKUP(AF$5,Coords[],3,FALSE))^2+(VLOOKUP($G26,Coords[],4,FALSE)-VLOOKUP(AF$5,Coords[],4,FALSE))^2)))</f>
        <v>1000</v>
      </c>
      <c r="AG26" s="10">
        <f>IF($G26=AG$5,1000,IF(AG$4=0,1000,SQRT((VLOOKUP($G26,Coords[],3,FALSE)-VLOOKUP(AG$5,Coords[],3,FALSE))^2+(VLOOKUP($G26,Coords[],4,FALSE)-VLOOKUP(AG$5,Coords[],4,FALSE))^2)))</f>
        <v>1000</v>
      </c>
      <c r="AH26" s="10">
        <f>IF($G26=AH$5,1000,IF(AH$4=0,1000,SQRT((VLOOKUP($G26,Coords[],3,FALSE)-VLOOKUP(AH$5,Coords[],3,FALSE))^2+(VLOOKUP($G26,Coords[],4,FALSE)-VLOOKUP(AH$5,Coords[],4,FALSE))^2)))</f>
        <v>1000</v>
      </c>
      <c r="AI26" s="10">
        <f>IF($G26=AI$5,1000,IF(AI$4=0,1000,SQRT((VLOOKUP($G26,Coords[],3,FALSE)-VLOOKUP(AI$5,Coords[],3,FALSE))^2+(VLOOKUP($G26,Coords[],4,FALSE)-VLOOKUP(AI$5,Coords[],4,FALSE))^2)))</f>
        <v>1000</v>
      </c>
      <c r="AJ26" s="10">
        <f>IF($G26=AJ$5,1000,IF(AJ$4=0,1000,SQRT((VLOOKUP($G26,Coords[],3,FALSE)-VLOOKUP(AJ$5,Coords[],3,FALSE))^2+(VLOOKUP($G26,Coords[],4,FALSE)-VLOOKUP(AJ$5,Coords[],4,FALSE))^2)))</f>
        <v>1000</v>
      </c>
      <c r="AK26" s="10">
        <f>IF($G26=AK$5,1000,IF(AK$4=0,1000,SQRT((VLOOKUP($G26,Coords[],3,FALSE)-VLOOKUP(AK$5,Coords[],3,FALSE))^2+(VLOOKUP($G26,Coords[],4,FALSE)-VLOOKUP(AK$5,Coords[],4,FALSE))^2)))</f>
        <v>1000</v>
      </c>
      <c r="AL26" s="10">
        <f>IF($G26=AL$5,1000,IF(AL$4=0,1000,SQRT((VLOOKUP($G26,Coords[],3,FALSE)-VLOOKUP(AL$5,Coords[],3,FALSE))^2+(VLOOKUP($G26,Coords[],4,FALSE)-VLOOKUP(AL$5,Coords[],4,FALSE))^2)))</f>
        <v>1000</v>
      </c>
      <c r="AM26" s="10">
        <f>IF($G26=AM$5,1000,IF(AM$4=0,1000,SQRT((VLOOKUP($G26,Coords[],3,FALSE)-VLOOKUP(AM$5,Coords[],3,FALSE))^2+(VLOOKUP($G26,Coords[],4,FALSE)-VLOOKUP(AM$5,Coords[],4,FALSE))^2)))</f>
        <v>1000</v>
      </c>
      <c r="AN26" s="10">
        <f>IF($G26=AN$5,1000,IF(AN$4=0,1000,SQRT((VLOOKUP($G26,Coords[],3,FALSE)-VLOOKUP(AN$5,Coords[],3,FALSE))^2+(VLOOKUP($G26,Coords[],4,FALSE)-VLOOKUP(AN$5,Coords[],4,FALSE))^2)))</f>
        <v>1000</v>
      </c>
      <c r="AO26" s="10">
        <f>IF($G26=AO$5,1000,IF(AO$4=0,1000,SQRT((VLOOKUP($G26,Coords[],3,FALSE)-VLOOKUP(AO$5,Coords[],3,FALSE))^2+(VLOOKUP($G26,Coords[],4,FALSE)-VLOOKUP(AO$5,Coords[],4,FALSE))^2)))</f>
        <v>1000</v>
      </c>
      <c r="AP26" s="10">
        <f>IF($G26=AP$5,1000,IF(AP$4=0,1000,SQRT((VLOOKUP($G26,Coords[],3,FALSE)-VLOOKUP(AP$5,Coords[],3,FALSE))^2+(VLOOKUP($G26,Coords[],4,FALSE)-VLOOKUP(AP$5,Coords[],4,FALSE))^2)))</f>
        <v>1000</v>
      </c>
      <c r="AQ26" s="10">
        <f>IF($G26=AQ$5,1000,IF(AQ$4=0,1000,SQRT((VLOOKUP($G26,Coords[],3,FALSE)-VLOOKUP(AQ$5,Coords[],3,FALSE))^2+(VLOOKUP($G26,Coords[],4,FALSE)-VLOOKUP(AQ$5,Coords[],4,FALSE))^2)))</f>
        <v>1000</v>
      </c>
      <c r="AR26" s="10">
        <f>IF($G26=AR$5,1000,IF(AR$4=0,1000,SQRT((VLOOKUP($G26,Coords[],3,FALSE)-VLOOKUP(AR$5,Coords[],3,FALSE))^2+(VLOOKUP($G26,Coords[],4,FALSE)-VLOOKUP(AR$5,Coords[],4,FALSE))^2)))</f>
        <v>1000</v>
      </c>
      <c r="AS26" s="10">
        <f>IF($G26=AS$5,1000,IF(AS$4=0,1000,SQRT((VLOOKUP($G26,Coords[],3,FALSE)-VLOOKUP(AS$5,Coords[],3,FALSE))^2+(VLOOKUP($G26,Coords[],4,FALSE)-VLOOKUP(AS$5,Coords[],4,FALSE))^2)))</f>
        <v>1000</v>
      </c>
      <c r="AT26" s="10">
        <f>IF($G26=AT$5,1000,IF(AT$4=0,1000,SQRT((VLOOKUP($G26,Coords[],3,FALSE)-VLOOKUP(AT$5,Coords[],3,FALSE))^2+(VLOOKUP($G26,Coords[],4,FALSE)-VLOOKUP(AT$5,Coords[],4,FALSE))^2)))</f>
        <v>1000</v>
      </c>
      <c r="AU26" s="10">
        <f>IF($G26=AU$5,1000,IF(AU$4=0,1000,SQRT((VLOOKUP($G26,Coords[],3,FALSE)-VLOOKUP(AU$5,Coords[],3,FALSE))^2+(VLOOKUP($G26,Coords[],4,FALSE)-VLOOKUP(AU$5,Coords[],4,FALSE))^2)))</f>
        <v>1000</v>
      </c>
      <c r="AV26" s="10">
        <f>IF($G26=AV$5,1000,IF(AV$4=0,1000,SQRT((VLOOKUP($G26,Coords[],3,FALSE)-VLOOKUP(AV$5,Coords[],3,FALSE))^2+(VLOOKUP($G26,Coords[],4,FALSE)-VLOOKUP(AV$5,Coords[],4,FALSE))^2)))</f>
        <v>1000</v>
      </c>
      <c r="AW26" s="10">
        <f>IF($G26=AW$5,1000,IF(AW$4=0,1000,SQRT((VLOOKUP($G26,Coords[],3,FALSE)-VLOOKUP(AW$5,Coords[],3,FALSE))^2+(VLOOKUP($G26,Coords[],4,FALSE)-VLOOKUP(AW$5,Coords[],4,FALSE))^2)))</f>
        <v>1000</v>
      </c>
      <c r="AX26" s="10">
        <f>IF($G26=AX$5,1000,IF(AX$4=0,1000,SQRT((VLOOKUP($G26,Coords[],3,FALSE)-VLOOKUP(AX$5,Coords[],3,FALSE))^2+(VLOOKUP($G26,Coords[],4,FALSE)-VLOOKUP(AX$5,Coords[],4,FALSE))^2)))</f>
        <v>1000</v>
      </c>
      <c r="AY26" s="10">
        <f>IF($G26=AY$5,1000,IF(AY$4=0,1000,SQRT((VLOOKUP($G26,Coords[],3,FALSE)-VLOOKUP(AY$5,Coords[],3,FALSE))^2+(VLOOKUP($G26,Coords[],4,FALSE)-VLOOKUP(AY$5,Coords[],4,FALSE))^2)))</f>
        <v>1000</v>
      </c>
      <c r="AZ26" s="10">
        <f>IF($G26=AZ$5,1000,IF(AZ$4=0,1000,SQRT((VLOOKUP($G26,Coords[],3,FALSE)-VLOOKUP(AZ$5,Coords[],3,FALSE))^2+(VLOOKUP($G26,Coords[],4,FALSE)-VLOOKUP(AZ$5,Coords[],4,FALSE))^2)))</f>
        <v>1000</v>
      </c>
      <c r="BA26" s="10">
        <f>IF($G26=BA$5,1000,IF(BA$4=0,1000,SQRT((VLOOKUP($G26,Coords[],3,FALSE)-VLOOKUP(BA$5,Coords[],3,FALSE))^2+(VLOOKUP($G26,Coords[],4,FALSE)-VLOOKUP(BA$5,Coords[],4,FALSE))^2)))</f>
        <v>1000</v>
      </c>
      <c r="BB26" s="10">
        <f>IF($G26=BB$5,1000,IF(BB$4=0,1000,SQRT((VLOOKUP($G26,Coords[],3,FALSE)-VLOOKUP(BB$5,Coords[],3,FALSE))^2+(VLOOKUP($G26,Coords[],4,FALSE)-VLOOKUP(BB$5,Coords[],4,FALSE))^2)))</f>
        <v>1000</v>
      </c>
      <c r="BC26" s="10">
        <f>IF($G26=BC$5,1000,IF(BC$4=0,1000,SQRT((VLOOKUP($G26,Coords[],3,FALSE)-VLOOKUP(BC$5,Coords[],3,FALSE))^2+(VLOOKUP($G26,Coords[],4,FALSE)-VLOOKUP(BC$5,Coords[],4,FALSE))^2)))</f>
        <v>1000</v>
      </c>
      <c r="BD26" s="10">
        <f>IF($G26=BD$5,1000,IF(BD$4=0,1000,SQRT((VLOOKUP($G26,Coords[],3,FALSE)-VLOOKUP(BD$5,Coords[],3,FALSE))^2+(VLOOKUP($G26,Coords[],4,FALSE)-VLOOKUP(BD$5,Coords[],4,FALSE))^2)))</f>
        <v>1000</v>
      </c>
      <c r="BE26" s="10">
        <f>IF($G26=BE$5,1000,IF(BE$4=0,1000,SQRT((VLOOKUP($G26,Coords[],3,FALSE)-VLOOKUP(BE$5,Coords[],3,FALSE))^2+(VLOOKUP($G26,Coords[],4,FALSE)-VLOOKUP(BE$5,Coords[],4,FALSE))^2)))</f>
        <v>1000</v>
      </c>
      <c r="BF26" s="10">
        <f>IF($G26=BF$5,1000,IF(BF$4=0,1000,SQRT((VLOOKUP($G26,Coords[],3,FALSE)-VLOOKUP(BF$5,Coords[],3,FALSE))^2+(VLOOKUP($G26,Coords[],4,FALSE)-VLOOKUP(BF$5,Coords[],4,FALSE))^2)))</f>
        <v>1000</v>
      </c>
      <c r="BG26" s="10">
        <f>IF($G26=BG$5,1000,IF(BG$4=0,1000,SQRT((VLOOKUP($G26,Coords[],3,FALSE)-VLOOKUP(BG$5,Coords[],3,FALSE))^2+(VLOOKUP($G26,Coords[],4,FALSE)-VLOOKUP(BG$5,Coords[],4,FALSE))^2)))</f>
        <v>1000</v>
      </c>
      <c r="BH26" s="10">
        <f>IF($G26=BH$5,1000,IF(BH$4=0,1000,SQRT((VLOOKUP($G26,Coords[],3,FALSE)-VLOOKUP(BH$5,Coords[],3,FALSE))^2+(VLOOKUP($G26,Coords[],4,FALSE)-VLOOKUP(BH$5,Coords[],4,FALSE))^2)))</f>
        <v>1000</v>
      </c>
      <c r="BI26" s="10">
        <f>IF($G26=BI$5,1000,IF(BI$4=0,1000,SQRT((VLOOKUP($G26,Coords[],3,FALSE)-VLOOKUP(BI$5,Coords[],3,FALSE))^2+(VLOOKUP($G26,Coords[],4,FALSE)-VLOOKUP(BI$5,Coords[],4,FALSE))^2)))</f>
        <v>1000</v>
      </c>
      <c r="BJ26" s="10">
        <f>IF($G26=BJ$5,1000,IF(BJ$4=0,1000,SQRT((VLOOKUP($G26,Coords[],3,FALSE)-VLOOKUP(BJ$5,Coords[],3,FALSE))^2+(VLOOKUP($G26,Coords[],4,FALSE)-VLOOKUP(BJ$5,Coords[],4,FALSE))^2)))</f>
        <v>1000</v>
      </c>
      <c r="BK26" s="10">
        <f>IF($G26=BK$5,1000,IF(BK$4=0,1000,SQRT((VLOOKUP($G26,Coords[],3,FALSE)-VLOOKUP(BK$5,Coords[],3,FALSE))^2+(VLOOKUP($G26,Coords[],4,FALSE)-VLOOKUP(BK$5,Coords[],4,FALSE))^2)))</f>
        <v>1000</v>
      </c>
      <c r="BL26" s="10">
        <f>IF($G26=BL$5,1000,IF(BL$4=0,1000,SQRT((VLOOKUP($G26,Coords[],3,FALSE)-VLOOKUP(BL$5,Coords[],3,FALSE))^2+(VLOOKUP($G26,Coords[],4,FALSE)-VLOOKUP(BL$5,Coords[],4,FALSE))^2)))</f>
        <v>1000</v>
      </c>
      <c r="BM26" s="10">
        <f>IF($G26=BM$5,1000,IF(BM$4=0,1000,SQRT((VLOOKUP($G26,Coords[],3,FALSE)-VLOOKUP(BM$5,Coords[],3,FALSE))^2+(VLOOKUP($G26,Coords[],4,FALSE)-VLOOKUP(BM$5,Coords[],4,FALSE))^2)))</f>
        <v>1000</v>
      </c>
      <c r="BN26" s="10">
        <f>IF($G26=BN$5,1000,IF(BN$4=0,1000,SQRT((VLOOKUP($G26,Coords[],3,FALSE)-VLOOKUP(BN$5,Coords[],3,FALSE))^2+(VLOOKUP($G26,Coords[],4,FALSE)-VLOOKUP(BN$5,Coords[],4,FALSE))^2)))</f>
        <v>1000</v>
      </c>
      <c r="BO26" s="10">
        <f>IF($G26=BO$5,1000,IF(BO$4=0,1000,SQRT((VLOOKUP($G26,Coords[],3,FALSE)-VLOOKUP(BO$5,Coords[],3,FALSE))^2+(VLOOKUP($G26,Coords[],4,FALSE)-VLOOKUP(BO$5,Coords[],4,FALSE))^2)))</f>
        <v>1000</v>
      </c>
      <c r="BP26" s="10">
        <f>IF($G26=BP$5,1000,IF(BP$4=0,1000,SQRT((VLOOKUP($G26,Coords[],3,FALSE)-VLOOKUP(BP$5,Coords[],3,FALSE))^2+(VLOOKUP($G26,Coords[],4,FALSE)-VLOOKUP(BP$5,Coords[],4,FALSE))^2)))</f>
        <v>1000</v>
      </c>
      <c r="BQ26" s="10">
        <f>IF($G26=BQ$5,1000,IF(BQ$4=0,1000,SQRT((VLOOKUP($G26,Coords[],3,FALSE)-VLOOKUP(BQ$5,Coords[],3,FALSE))^2+(VLOOKUP($G26,Coords[],4,FALSE)-VLOOKUP(BQ$5,Coords[],4,FALSE))^2)))</f>
        <v>1000</v>
      </c>
      <c r="BR26" s="10">
        <f>IF($G26=BR$5,1000,IF(BR$4=0,1000,SQRT((VLOOKUP($G26,Coords[],3,FALSE)-VLOOKUP(BR$5,Coords[],3,FALSE))^2+(VLOOKUP($G26,Coords[],4,FALSE)-VLOOKUP(BR$5,Coords[],4,FALSE))^2)))</f>
        <v>1000</v>
      </c>
      <c r="BS26" s="10">
        <f>IF($G26=BS$5,1000,IF(BS$4=0,1000,SQRT((VLOOKUP($G26,Coords[],3,FALSE)-VLOOKUP(BS$5,Coords[],3,FALSE))^2+(VLOOKUP($G26,Coords[],4,FALSE)-VLOOKUP(BS$5,Coords[],4,FALSE))^2)))</f>
        <v>1000</v>
      </c>
      <c r="BT26" s="10">
        <f>IF($G26=BT$5,1000,IF(BT$4=0,1000,SQRT((VLOOKUP($G26,Coords[],3,FALSE)-VLOOKUP(BT$5,Coords[],3,FALSE))^2+(VLOOKUP($G26,Coords[],4,FALSE)-VLOOKUP(BT$5,Coords[],4,FALSE))^2)))</f>
        <v>1000</v>
      </c>
      <c r="BU26" s="10">
        <f>IF($G26=BU$5,1000,IF(BU$4=0,1000,SQRT((VLOOKUP($G26,Coords[],3,FALSE)-VLOOKUP(BU$5,Coords[],3,FALSE))^2+(VLOOKUP($G26,Coords[],4,FALSE)-VLOOKUP(BU$5,Coords[],4,FALSE))^2)))</f>
        <v>1000</v>
      </c>
      <c r="BV26" s="10">
        <f>IF($G26=BV$5,1000,IF(BV$4=0,1000,SQRT((VLOOKUP($G26,Coords[],3,FALSE)-VLOOKUP(BV$5,Coords[],3,FALSE))^2+(VLOOKUP($G26,Coords[],4,FALSE)-VLOOKUP(BV$5,Coords[],4,FALSE))^2)))</f>
        <v>1000</v>
      </c>
      <c r="BW26" s="10">
        <f>IF($G26=BW$5,1000,IF(BW$4=0,1000,SQRT((VLOOKUP($G26,Coords[],3,FALSE)-VLOOKUP(BW$5,Coords[],3,FALSE))^2+(VLOOKUP($G26,Coords[],4,FALSE)-VLOOKUP(BW$5,Coords[],4,FALSE))^2)))</f>
        <v>1000</v>
      </c>
      <c r="BX26" s="10">
        <f>IF($G26=BX$5,1000,IF(BX$4=0,1000,SQRT((VLOOKUP($G26,Coords[],3,FALSE)-VLOOKUP(BX$5,Coords[],3,FALSE))^2+(VLOOKUP($G26,Coords[],4,FALSE)-VLOOKUP(BX$5,Coords[],4,FALSE))^2)))</f>
        <v>1000</v>
      </c>
      <c r="BY26" s="10">
        <f>IF($G26=BY$5,1000,IF(BY$4=0,1000,SQRT((VLOOKUP($G26,Coords[],3,FALSE)-VLOOKUP(BY$5,Coords[],3,FALSE))^2+(VLOOKUP($G26,Coords[],4,FALSE)-VLOOKUP(BY$5,Coords[],4,FALSE))^2)))</f>
        <v>1000</v>
      </c>
      <c r="BZ26" s="10">
        <f>IF($G26=BZ$5,1000,IF(BZ$4=0,1000,SQRT((VLOOKUP($G26,Coords[],3,FALSE)-VLOOKUP(BZ$5,Coords[],3,FALSE))^2+(VLOOKUP($G26,Coords[],4,FALSE)-VLOOKUP(BZ$5,Coords[],4,FALSE))^2)))</f>
        <v>1000</v>
      </c>
      <c r="CA26" s="10">
        <f>IF($G26=CA$5,1000,IF(CA$4=0,1000,SQRT((VLOOKUP($G26,Coords[],3,FALSE)-VLOOKUP(CA$5,Coords[],3,FALSE))^2+(VLOOKUP($G26,Coords[],4,FALSE)-VLOOKUP(CA$5,Coords[],4,FALSE))^2)))</f>
        <v>1000</v>
      </c>
      <c r="CB26" s="10">
        <f>IF($G26=CB$5,1000,IF(CB$4=0,1000,SQRT((VLOOKUP($G26,Coords[],3,FALSE)-VLOOKUP(CB$5,Coords[],3,FALSE))^2+(VLOOKUP($G26,Coords[],4,FALSE)-VLOOKUP(CB$5,Coords[],4,FALSE))^2)))</f>
        <v>1000</v>
      </c>
      <c r="CC26" s="10">
        <f>IF($G26=CC$5,1000,IF(CC$4=0,1000,SQRT((VLOOKUP($G26,Coords[],3,FALSE)-VLOOKUP(CC$5,Coords[],3,FALSE))^2+(VLOOKUP($G26,Coords[],4,FALSE)-VLOOKUP(CC$5,Coords[],4,FALSE))^2)))</f>
        <v>1000</v>
      </c>
      <c r="CD26" s="10">
        <f>IF($G26=CD$5,1000,IF(CD$4=0,1000,SQRT((VLOOKUP($G26,Coords[],3,FALSE)-VLOOKUP(CD$5,Coords[],3,FALSE))^2+(VLOOKUP($G26,Coords[],4,FALSE)-VLOOKUP(CD$5,Coords[],4,FALSE))^2)))</f>
        <v>1000</v>
      </c>
      <c r="CE26" s="10">
        <f>IF($G26=CE$5,1000,IF(CE$4=0,1000,SQRT((VLOOKUP($G26,Coords[],3,FALSE)-VLOOKUP(CE$5,Coords[],3,FALSE))^2+(VLOOKUP($G26,Coords[],4,FALSE)-VLOOKUP(CE$5,Coords[],4,FALSE))^2)))</f>
        <v>1000</v>
      </c>
      <c r="CF26" s="4">
        <v>21</v>
      </c>
      <c r="CH26" s="5">
        <f>IF(E26=1,0,VLOOKUP($G26,$G$6:$CE$82,HLOOKUP(MIN(H26:CE26),$H26:$CE$82,((COUNT($G$6:$G$81)+2)-$G26),FALSE)+1,FALSE)*B26)</f>
        <v>0</v>
      </c>
      <c r="CI26" s="9">
        <f>VLOOKUP($G26,$G$6:$CE$82,HLOOKUP(MIN(H26:CE26),$H26:$CE$82,((COUNT($G$6:$G$81)+2)-$G26),FALSE)+1,FALSE)</f>
        <v>1000</v>
      </c>
      <c r="CJ26" s="7">
        <f>HLOOKUP(MIN(H26:CE26),$H26:$CE$82,((COUNT($G$6:$G$81)+2)-$G26),FALSE)</f>
        <v>1</v>
      </c>
      <c r="CK26">
        <f>CI26*Coords[[#This Row],[Demand]]</f>
        <v>0</v>
      </c>
    </row>
    <row r="27" spans="1:89" x14ac:dyDescent="0.25">
      <c r="A27" s="8">
        <v>22</v>
      </c>
      <c r="B27" s="3"/>
      <c r="C27" s="3"/>
      <c r="D27" s="3"/>
      <c r="E27" s="3"/>
      <c r="G27" s="4">
        <v>22</v>
      </c>
      <c r="H27" s="10">
        <f>IF($G27=H$5,1000,IF(H$4=0,1000,SQRT((VLOOKUP($G27,Coords[],3,FALSE)-VLOOKUP(H$5,Coords[],3,FALSE))^2+(VLOOKUP($G27,Coords[],4,FALSE)-VLOOKUP(H$5,Coords[],4,FALSE))^2)))</f>
        <v>1000</v>
      </c>
      <c r="I27" s="10">
        <f>IF($G27=I$5,1000,IF(I$4=0,1000,SQRT((VLOOKUP($G27,Coords[],3,FALSE)-VLOOKUP(I$5,Coords[],3,FALSE))^2+(VLOOKUP($G27,Coords[],4,FALSE)-VLOOKUP(I$5,Coords[],4,FALSE))^2)))</f>
        <v>1000</v>
      </c>
      <c r="J27" s="10">
        <f>IF($G27=J$5,1000,IF(J$4=0,1000,SQRT((VLOOKUP($G27,Coords[],3,FALSE)-VLOOKUP(J$5,Coords[],3,FALSE))^2+(VLOOKUP($G27,Coords[],4,FALSE)-VLOOKUP(J$5,Coords[],4,FALSE))^2)))</f>
        <v>1000</v>
      </c>
      <c r="K27" s="10">
        <f>IF($G27=K$5,1000,IF(K$4=0,1000,SQRT((VLOOKUP($G27,Coords[],3,FALSE)-VLOOKUP(K$5,Coords[],3,FALSE))^2+(VLOOKUP($G27,Coords[],4,FALSE)-VLOOKUP(K$5,Coords[],4,FALSE))^2)))</f>
        <v>1000</v>
      </c>
      <c r="L27" s="10">
        <f>IF($G27=L$5,1000,IF(L$4=0,1000,SQRT((VLOOKUP($G27,Coords[],3,FALSE)-VLOOKUP(L$5,Coords[],3,FALSE))^2+(VLOOKUP($G27,Coords[],4,FALSE)-VLOOKUP(L$5,Coords[],4,FALSE))^2)))</f>
        <v>1000</v>
      </c>
      <c r="M27" s="10">
        <f>IF($G27=M$5,1000,IF(M$4=0,1000,SQRT((VLOOKUP($G27,Coords[],3,FALSE)-VLOOKUP(M$5,Coords[],3,FALSE))^2+(VLOOKUP($G27,Coords[],4,FALSE)-VLOOKUP(M$5,Coords[],4,FALSE))^2)))</f>
        <v>1000</v>
      </c>
      <c r="N27" s="10">
        <f>IF($G27=N$5,1000,IF(N$4=0,1000,SQRT((VLOOKUP($G27,Coords[],3,FALSE)-VLOOKUP(N$5,Coords[],3,FALSE))^2+(VLOOKUP($G27,Coords[],4,FALSE)-VLOOKUP(N$5,Coords[],4,FALSE))^2)))</f>
        <v>1000</v>
      </c>
      <c r="O27" s="10">
        <f>IF($G27=O$5,1000,IF(O$4=0,1000,SQRT((VLOOKUP($G27,Coords[],3,FALSE)-VLOOKUP(O$5,Coords[],3,FALSE))^2+(VLOOKUP($G27,Coords[],4,FALSE)-VLOOKUP(O$5,Coords[],4,FALSE))^2)))</f>
        <v>1000</v>
      </c>
      <c r="P27" s="10">
        <f>IF($G27=P$5,1000,IF(P$4=0,1000,SQRT((VLOOKUP($G27,Coords[],3,FALSE)-VLOOKUP(P$5,Coords[],3,FALSE))^2+(VLOOKUP($G27,Coords[],4,FALSE)-VLOOKUP(P$5,Coords[],4,FALSE))^2)))</f>
        <v>1000</v>
      </c>
      <c r="Q27" s="10">
        <f>IF($G27=Q$5,1000,IF(Q$4=0,1000,SQRT((VLOOKUP($G27,Coords[],3,FALSE)-VLOOKUP(Q$5,Coords[],3,FALSE))^2+(VLOOKUP($G27,Coords[],4,FALSE)-VLOOKUP(Q$5,Coords[],4,FALSE))^2)))</f>
        <v>1000</v>
      </c>
      <c r="R27" s="10">
        <f>IF($G27=R$5,1000,IF(R$4=0,1000,SQRT((VLOOKUP($G27,Coords[],3,FALSE)-VLOOKUP(R$5,Coords[],3,FALSE))^2+(VLOOKUP($G27,Coords[],4,FALSE)-VLOOKUP(R$5,Coords[],4,FALSE))^2)))</f>
        <v>1000</v>
      </c>
      <c r="S27" s="10">
        <f>IF($G27=S$5,1000,IF(S$4=0,1000,SQRT((VLOOKUP($G27,Coords[],3,FALSE)-VLOOKUP(S$5,Coords[],3,FALSE))^2+(VLOOKUP($G27,Coords[],4,FALSE)-VLOOKUP(S$5,Coords[],4,FALSE))^2)))</f>
        <v>1000</v>
      </c>
      <c r="T27" s="10">
        <f>IF($G27=T$5,1000,IF(T$4=0,1000,SQRT((VLOOKUP($G27,Coords[],3,FALSE)-VLOOKUP(T$5,Coords[],3,FALSE))^2+(VLOOKUP($G27,Coords[],4,FALSE)-VLOOKUP(T$5,Coords[],4,FALSE))^2)))</f>
        <v>1000</v>
      </c>
      <c r="U27" s="10">
        <f>IF($G27=U$5,1000,IF(U$4=0,1000,SQRT((VLOOKUP($G27,Coords[],3,FALSE)-VLOOKUP(U$5,Coords[],3,FALSE))^2+(VLOOKUP($G27,Coords[],4,FALSE)-VLOOKUP(U$5,Coords[],4,FALSE))^2)))</f>
        <v>1000</v>
      </c>
      <c r="V27" s="10">
        <f>IF($G27=V$5,1000,IF(V$4=0,1000,SQRT((VLOOKUP($G27,Coords[],3,FALSE)-VLOOKUP(V$5,Coords[],3,FALSE))^2+(VLOOKUP($G27,Coords[],4,FALSE)-VLOOKUP(V$5,Coords[],4,FALSE))^2)))</f>
        <v>1000</v>
      </c>
      <c r="W27" s="10">
        <f>IF($G27=W$5,1000,IF(W$4=0,1000,SQRT((VLOOKUP($G27,Coords[],3,FALSE)-VLOOKUP(W$5,Coords[],3,FALSE))^2+(VLOOKUP($G27,Coords[],4,FALSE)-VLOOKUP(W$5,Coords[],4,FALSE))^2)))</f>
        <v>1000</v>
      </c>
      <c r="X27" s="10">
        <f>IF($G27=X$5,1000,IF(X$4=0,1000,SQRT((VLOOKUP($G27,Coords[],3,FALSE)-VLOOKUP(X$5,Coords[],3,FALSE))^2+(VLOOKUP($G27,Coords[],4,FALSE)-VLOOKUP(X$5,Coords[],4,FALSE))^2)))</f>
        <v>1000</v>
      </c>
      <c r="Y27" s="10">
        <f>IF($G27=Y$5,1000,IF(Y$4=0,1000,SQRT((VLOOKUP($G27,Coords[],3,FALSE)-VLOOKUP(Y$5,Coords[],3,FALSE))^2+(VLOOKUP($G27,Coords[],4,FALSE)-VLOOKUP(Y$5,Coords[],4,FALSE))^2)))</f>
        <v>1000</v>
      </c>
      <c r="Z27" s="10">
        <f>IF($G27=Z$5,1000,IF(Z$4=0,1000,SQRT((VLOOKUP($G27,Coords[],3,FALSE)-VLOOKUP(Z$5,Coords[],3,FALSE))^2+(VLOOKUP($G27,Coords[],4,FALSE)-VLOOKUP(Z$5,Coords[],4,FALSE))^2)))</f>
        <v>1000</v>
      </c>
      <c r="AA27" s="10">
        <f>IF($G27=AA$5,1000,IF(AA$4=0,1000,SQRT((VLOOKUP($G27,Coords[],3,FALSE)-VLOOKUP(AA$5,Coords[],3,FALSE))^2+(VLOOKUP($G27,Coords[],4,FALSE)-VLOOKUP(AA$5,Coords[],4,FALSE))^2)))</f>
        <v>1000</v>
      </c>
      <c r="AB27" s="10">
        <f>IF($G27=AB$5,1000,IF(AB$4=0,1000,SQRT((VLOOKUP($G27,Coords[],3,FALSE)-VLOOKUP(AB$5,Coords[],3,FALSE))^2+(VLOOKUP($G27,Coords[],4,FALSE)-VLOOKUP(AB$5,Coords[],4,FALSE))^2)))</f>
        <v>1000</v>
      </c>
      <c r="AC27" s="10">
        <f>IF($G27=AC$5,1000,IF(AC$4=0,1000,SQRT((VLOOKUP($G27,Coords[],3,FALSE)-VLOOKUP(AC$5,Coords[],3,FALSE))^2+(VLOOKUP($G27,Coords[],4,FALSE)-VLOOKUP(AC$5,Coords[],4,FALSE))^2)))</f>
        <v>1000</v>
      </c>
      <c r="AD27" s="10">
        <f>IF($G27=AD$5,1000,IF(AD$4=0,1000,SQRT((VLOOKUP($G27,Coords[],3,FALSE)-VLOOKUP(AD$5,Coords[],3,FALSE))^2+(VLOOKUP($G27,Coords[],4,FALSE)-VLOOKUP(AD$5,Coords[],4,FALSE))^2)))</f>
        <v>1000</v>
      </c>
      <c r="AE27" s="10">
        <f>IF($G27=AE$5,1000,IF(AE$4=0,1000,SQRT((VLOOKUP($G27,Coords[],3,FALSE)-VLOOKUP(AE$5,Coords[],3,FALSE))^2+(VLOOKUP($G27,Coords[],4,FALSE)-VLOOKUP(AE$5,Coords[],4,FALSE))^2)))</f>
        <v>1000</v>
      </c>
      <c r="AF27" s="10">
        <f>IF($G27=AF$5,1000,IF(AF$4=0,1000,SQRT((VLOOKUP($G27,Coords[],3,FALSE)-VLOOKUP(AF$5,Coords[],3,FALSE))^2+(VLOOKUP($G27,Coords[],4,FALSE)-VLOOKUP(AF$5,Coords[],4,FALSE))^2)))</f>
        <v>1000</v>
      </c>
      <c r="AG27" s="10">
        <f>IF($G27=AG$5,1000,IF(AG$4=0,1000,SQRT((VLOOKUP($G27,Coords[],3,FALSE)-VLOOKUP(AG$5,Coords[],3,FALSE))^2+(VLOOKUP($G27,Coords[],4,FALSE)-VLOOKUP(AG$5,Coords[],4,FALSE))^2)))</f>
        <v>1000</v>
      </c>
      <c r="AH27" s="10">
        <f>IF($G27=AH$5,1000,IF(AH$4=0,1000,SQRT((VLOOKUP($G27,Coords[],3,FALSE)-VLOOKUP(AH$5,Coords[],3,FALSE))^2+(VLOOKUP($G27,Coords[],4,FALSE)-VLOOKUP(AH$5,Coords[],4,FALSE))^2)))</f>
        <v>1000</v>
      </c>
      <c r="AI27" s="10">
        <f>IF($G27=AI$5,1000,IF(AI$4=0,1000,SQRT((VLOOKUP($G27,Coords[],3,FALSE)-VLOOKUP(AI$5,Coords[],3,FALSE))^2+(VLOOKUP($G27,Coords[],4,FALSE)-VLOOKUP(AI$5,Coords[],4,FALSE))^2)))</f>
        <v>1000</v>
      </c>
      <c r="AJ27" s="10">
        <f>IF($G27=AJ$5,1000,IF(AJ$4=0,1000,SQRT((VLOOKUP($G27,Coords[],3,FALSE)-VLOOKUP(AJ$5,Coords[],3,FALSE))^2+(VLOOKUP($G27,Coords[],4,FALSE)-VLOOKUP(AJ$5,Coords[],4,FALSE))^2)))</f>
        <v>1000</v>
      </c>
      <c r="AK27" s="10">
        <f>IF($G27=AK$5,1000,IF(AK$4=0,1000,SQRT((VLOOKUP($G27,Coords[],3,FALSE)-VLOOKUP(AK$5,Coords[],3,FALSE))^2+(VLOOKUP($G27,Coords[],4,FALSE)-VLOOKUP(AK$5,Coords[],4,FALSE))^2)))</f>
        <v>1000</v>
      </c>
      <c r="AL27" s="10">
        <f>IF($G27=AL$5,1000,IF(AL$4=0,1000,SQRT((VLOOKUP($G27,Coords[],3,FALSE)-VLOOKUP(AL$5,Coords[],3,FALSE))^2+(VLOOKUP($G27,Coords[],4,FALSE)-VLOOKUP(AL$5,Coords[],4,FALSE))^2)))</f>
        <v>1000</v>
      </c>
      <c r="AM27" s="10">
        <f>IF($G27=AM$5,1000,IF(AM$4=0,1000,SQRT((VLOOKUP($G27,Coords[],3,FALSE)-VLOOKUP(AM$5,Coords[],3,FALSE))^2+(VLOOKUP($G27,Coords[],4,FALSE)-VLOOKUP(AM$5,Coords[],4,FALSE))^2)))</f>
        <v>1000</v>
      </c>
      <c r="AN27" s="10">
        <f>IF($G27=AN$5,1000,IF(AN$4=0,1000,SQRT((VLOOKUP($G27,Coords[],3,FALSE)-VLOOKUP(AN$5,Coords[],3,FALSE))^2+(VLOOKUP($G27,Coords[],4,FALSE)-VLOOKUP(AN$5,Coords[],4,FALSE))^2)))</f>
        <v>1000</v>
      </c>
      <c r="AO27" s="10">
        <f>IF($G27=AO$5,1000,IF(AO$4=0,1000,SQRT((VLOOKUP($G27,Coords[],3,FALSE)-VLOOKUP(AO$5,Coords[],3,FALSE))^2+(VLOOKUP($G27,Coords[],4,FALSE)-VLOOKUP(AO$5,Coords[],4,FALSE))^2)))</f>
        <v>1000</v>
      </c>
      <c r="AP27" s="10">
        <f>IF($G27=AP$5,1000,IF(AP$4=0,1000,SQRT((VLOOKUP($G27,Coords[],3,FALSE)-VLOOKUP(AP$5,Coords[],3,FALSE))^2+(VLOOKUP($G27,Coords[],4,FALSE)-VLOOKUP(AP$5,Coords[],4,FALSE))^2)))</f>
        <v>1000</v>
      </c>
      <c r="AQ27" s="10">
        <f>IF($G27=AQ$5,1000,IF(AQ$4=0,1000,SQRT((VLOOKUP($G27,Coords[],3,FALSE)-VLOOKUP(AQ$5,Coords[],3,FALSE))^2+(VLOOKUP($G27,Coords[],4,FALSE)-VLOOKUP(AQ$5,Coords[],4,FALSE))^2)))</f>
        <v>1000</v>
      </c>
      <c r="AR27" s="10">
        <f>IF($G27=AR$5,1000,IF(AR$4=0,1000,SQRT((VLOOKUP($G27,Coords[],3,FALSE)-VLOOKUP(AR$5,Coords[],3,FALSE))^2+(VLOOKUP($G27,Coords[],4,FALSE)-VLOOKUP(AR$5,Coords[],4,FALSE))^2)))</f>
        <v>1000</v>
      </c>
      <c r="AS27" s="10">
        <f>IF($G27=AS$5,1000,IF(AS$4=0,1000,SQRT((VLOOKUP($G27,Coords[],3,FALSE)-VLOOKUP(AS$5,Coords[],3,FALSE))^2+(VLOOKUP($G27,Coords[],4,FALSE)-VLOOKUP(AS$5,Coords[],4,FALSE))^2)))</f>
        <v>1000</v>
      </c>
      <c r="AT27" s="10">
        <f>IF($G27=AT$5,1000,IF(AT$4=0,1000,SQRT((VLOOKUP($G27,Coords[],3,FALSE)-VLOOKUP(AT$5,Coords[],3,FALSE))^2+(VLOOKUP($G27,Coords[],4,FALSE)-VLOOKUP(AT$5,Coords[],4,FALSE))^2)))</f>
        <v>1000</v>
      </c>
      <c r="AU27" s="10">
        <f>IF($G27=AU$5,1000,IF(AU$4=0,1000,SQRT((VLOOKUP($G27,Coords[],3,FALSE)-VLOOKUP(AU$5,Coords[],3,FALSE))^2+(VLOOKUP($G27,Coords[],4,FALSE)-VLOOKUP(AU$5,Coords[],4,FALSE))^2)))</f>
        <v>1000</v>
      </c>
      <c r="AV27" s="10">
        <f>IF($G27=AV$5,1000,IF(AV$4=0,1000,SQRT((VLOOKUP($G27,Coords[],3,FALSE)-VLOOKUP(AV$5,Coords[],3,FALSE))^2+(VLOOKUP($G27,Coords[],4,FALSE)-VLOOKUP(AV$5,Coords[],4,FALSE))^2)))</f>
        <v>1000</v>
      </c>
      <c r="AW27" s="10">
        <f>IF($G27=AW$5,1000,IF(AW$4=0,1000,SQRT((VLOOKUP($G27,Coords[],3,FALSE)-VLOOKUP(AW$5,Coords[],3,FALSE))^2+(VLOOKUP($G27,Coords[],4,FALSE)-VLOOKUP(AW$5,Coords[],4,FALSE))^2)))</f>
        <v>1000</v>
      </c>
      <c r="AX27" s="10">
        <f>IF($G27=AX$5,1000,IF(AX$4=0,1000,SQRT((VLOOKUP($G27,Coords[],3,FALSE)-VLOOKUP(AX$5,Coords[],3,FALSE))^2+(VLOOKUP($G27,Coords[],4,FALSE)-VLOOKUP(AX$5,Coords[],4,FALSE))^2)))</f>
        <v>1000</v>
      </c>
      <c r="AY27" s="10">
        <f>IF($G27=AY$5,1000,IF(AY$4=0,1000,SQRT((VLOOKUP($G27,Coords[],3,FALSE)-VLOOKUP(AY$5,Coords[],3,FALSE))^2+(VLOOKUP($G27,Coords[],4,FALSE)-VLOOKUP(AY$5,Coords[],4,FALSE))^2)))</f>
        <v>1000</v>
      </c>
      <c r="AZ27" s="10">
        <f>IF($G27=AZ$5,1000,IF(AZ$4=0,1000,SQRT((VLOOKUP($G27,Coords[],3,FALSE)-VLOOKUP(AZ$5,Coords[],3,FALSE))^2+(VLOOKUP($G27,Coords[],4,FALSE)-VLOOKUP(AZ$5,Coords[],4,FALSE))^2)))</f>
        <v>1000</v>
      </c>
      <c r="BA27" s="10">
        <f>IF($G27=BA$5,1000,IF(BA$4=0,1000,SQRT((VLOOKUP($G27,Coords[],3,FALSE)-VLOOKUP(BA$5,Coords[],3,FALSE))^2+(VLOOKUP($G27,Coords[],4,FALSE)-VLOOKUP(BA$5,Coords[],4,FALSE))^2)))</f>
        <v>1000</v>
      </c>
      <c r="BB27" s="10">
        <f>IF($G27=BB$5,1000,IF(BB$4=0,1000,SQRT((VLOOKUP($G27,Coords[],3,FALSE)-VLOOKUP(BB$5,Coords[],3,FALSE))^2+(VLOOKUP($G27,Coords[],4,FALSE)-VLOOKUP(BB$5,Coords[],4,FALSE))^2)))</f>
        <v>1000</v>
      </c>
      <c r="BC27" s="10">
        <f>IF($G27=BC$5,1000,IF(BC$4=0,1000,SQRT((VLOOKUP($G27,Coords[],3,FALSE)-VLOOKUP(BC$5,Coords[],3,FALSE))^2+(VLOOKUP($G27,Coords[],4,FALSE)-VLOOKUP(BC$5,Coords[],4,FALSE))^2)))</f>
        <v>1000</v>
      </c>
      <c r="BD27" s="10">
        <f>IF($G27=BD$5,1000,IF(BD$4=0,1000,SQRT((VLOOKUP($G27,Coords[],3,FALSE)-VLOOKUP(BD$5,Coords[],3,FALSE))^2+(VLOOKUP($G27,Coords[],4,FALSE)-VLOOKUP(BD$5,Coords[],4,FALSE))^2)))</f>
        <v>1000</v>
      </c>
      <c r="BE27" s="10">
        <f>IF($G27=BE$5,1000,IF(BE$4=0,1000,SQRT((VLOOKUP($G27,Coords[],3,FALSE)-VLOOKUP(BE$5,Coords[],3,FALSE))^2+(VLOOKUP($G27,Coords[],4,FALSE)-VLOOKUP(BE$5,Coords[],4,FALSE))^2)))</f>
        <v>1000</v>
      </c>
      <c r="BF27" s="10">
        <f>IF($G27=BF$5,1000,IF(BF$4=0,1000,SQRT((VLOOKUP($G27,Coords[],3,FALSE)-VLOOKUP(BF$5,Coords[],3,FALSE))^2+(VLOOKUP($G27,Coords[],4,FALSE)-VLOOKUP(BF$5,Coords[],4,FALSE))^2)))</f>
        <v>1000</v>
      </c>
      <c r="BG27" s="10">
        <f>IF($G27=BG$5,1000,IF(BG$4=0,1000,SQRT((VLOOKUP($G27,Coords[],3,FALSE)-VLOOKUP(BG$5,Coords[],3,FALSE))^2+(VLOOKUP($G27,Coords[],4,FALSE)-VLOOKUP(BG$5,Coords[],4,FALSE))^2)))</f>
        <v>1000</v>
      </c>
      <c r="BH27" s="10">
        <f>IF($G27=BH$5,1000,IF(BH$4=0,1000,SQRT((VLOOKUP($G27,Coords[],3,FALSE)-VLOOKUP(BH$5,Coords[],3,FALSE))^2+(VLOOKUP($G27,Coords[],4,FALSE)-VLOOKUP(BH$5,Coords[],4,FALSE))^2)))</f>
        <v>1000</v>
      </c>
      <c r="BI27" s="10">
        <f>IF($G27=BI$5,1000,IF(BI$4=0,1000,SQRT((VLOOKUP($G27,Coords[],3,FALSE)-VLOOKUP(BI$5,Coords[],3,FALSE))^2+(VLOOKUP($G27,Coords[],4,FALSE)-VLOOKUP(BI$5,Coords[],4,FALSE))^2)))</f>
        <v>1000</v>
      </c>
      <c r="BJ27" s="10">
        <f>IF($G27=BJ$5,1000,IF(BJ$4=0,1000,SQRT((VLOOKUP($G27,Coords[],3,FALSE)-VLOOKUP(BJ$5,Coords[],3,FALSE))^2+(VLOOKUP($G27,Coords[],4,FALSE)-VLOOKUP(BJ$5,Coords[],4,FALSE))^2)))</f>
        <v>1000</v>
      </c>
      <c r="BK27" s="10">
        <f>IF($G27=BK$5,1000,IF(BK$4=0,1000,SQRT((VLOOKUP($G27,Coords[],3,FALSE)-VLOOKUP(BK$5,Coords[],3,FALSE))^2+(VLOOKUP($G27,Coords[],4,FALSE)-VLOOKUP(BK$5,Coords[],4,FALSE))^2)))</f>
        <v>1000</v>
      </c>
      <c r="BL27" s="10">
        <f>IF($G27=BL$5,1000,IF(BL$4=0,1000,SQRT((VLOOKUP($G27,Coords[],3,FALSE)-VLOOKUP(BL$5,Coords[],3,FALSE))^2+(VLOOKUP($G27,Coords[],4,FALSE)-VLOOKUP(BL$5,Coords[],4,FALSE))^2)))</f>
        <v>1000</v>
      </c>
      <c r="BM27" s="10">
        <f>IF($G27=BM$5,1000,IF(BM$4=0,1000,SQRT((VLOOKUP($G27,Coords[],3,FALSE)-VLOOKUP(BM$5,Coords[],3,FALSE))^2+(VLOOKUP($G27,Coords[],4,FALSE)-VLOOKUP(BM$5,Coords[],4,FALSE))^2)))</f>
        <v>1000</v>
      </c>
      <c r="BN27" s="10">
        <f>IF($G27=BN$5,1000,IF(BN$4=0,1000,SQRT((VLOOKUP($G27,Coords[],3,FALSE)-VLOOKUP(BN$5,Coords[],3,FALSE))^2+(VLOOKUP($G27,Coords[],4,FALSE)-VLOOKUP(BN$5,Coords[],4,FALSE))^2)))</f>
        <v>1000</v>
      </c>
      <c r="BO27" s="10">
        <f>IF($G27=BO$5,1000,IF(BO$4=0,1000,SQRT((VLOOKUP($G27,Coords[],3,FALSE)-VLOOKUP(BO$5,Coords[],3,FALSE))^2+(VLOOKUP($G27,Coords[],4,FALSE)-VLOOKUP(BO$5,Coords[],4,FALSE))^2)))</f>
        <v>1000</v>
      </c>
      <c r="BP27" s="10">
        <f>IF($G27=BP$5,1000,IF(BP$4=0,1000,SQRT((VLOOKUP($G27,Coords[],3,FALSE)-VLOOKUP(BP$5,Coords[],3,FALSE))^2+(VLOOKUP($G27,Coords[],4,FALSE)-VLOOKUP(BP$5,Coords[],4,FALSE))^2)))</f>
        <v>1000</v>
      </c>
      <c r="BQ27" s="10">
        <f>IF($G27=BQ$5,1000,IF(BQ$4=0,1000,SQRT((VLOOKUP($G27,Coords[],3,FALSE)-VLOOKUP(BQ$5,Coords[],3,FALSE))^2+(VLOOKUP($G27,Coords[],4,FALSE)-VLOOKUP(BQ$5,Coords[],4,FALSE))^2)))</f>
        <v>1000</v>
      </c>
      <c r="BR27" s="10">
        <f>IF($G27=BR$5,1000,IF(BR$4=0,1000,SQRT((VLOOKUP($G27,Coords[],3,FALSE)-VLOOKUP(BR$5,Coords[],3,FALSE))^2+(VLOOKUP($G27,Coords[],4,FALSE)-VLOOKUP(BR$5,Coords[],4,FALSE))^2)))</f>
        <v>1000</v>
      </c>
      <c r="BS27" s="10">
        <f>IF($G27=BS$5,1000,IF(BS$4=0,1000,SQRT((VLOOKUP($G27,Coords[],3,FALSE)-VLOOKUP(BS$5,Coords[],3,FALSE))^2+(VLOOKUP($G27,Coords[],4,FALSE)-VLOOKUP(BS$5,Coords[],4,FALSE))^2)))</f>
        <v>1000</v>
      </c>
      <c r="BT27" s="10">
        <f>IF($G27=BT$5,1000,IF(BT$4=0,1000,SQRT((VLOOKUP($G27,Coords[],3,FALSE)-VLOOKUP(BT$5,Coords[],3,FALSE))^2+(VLOOKUP($G27,Coords[],4,FALSE)-VLOOKUP(BT$5,Coords[],4,FALSE))^2)))</f>
        <v>1000</v>
      </c>
      <c r="BU27" s="10">
        <f>IF($G27=BU$5,1000,IF(BU$4=0,1000,SQRT((VLOOKUP($G27,Coords[],3,FALSE)-VLOOKUP(BU$5,Coords[],3,FALSE))^2+(VLOOKUP($G27,Coords[],4,FALSE)-VLOOKUP(BU$5,Coords[],4,FALSE))^2)))</f>
        <v>1000</v>
      </c>
      <c r="BV27" s="10">
        <f>IF($G27=BV$5,1000,IF(BV$4=0,1000,SQRT((VLOOKUP($G27,Coords[],3,FALSE)-VLOOKUP(BV$5,Coords[],3,FALSE))^2+(VLOOKUP($G27,Coords[],4,FALSE)-VLOOKUP(BV$5,Coords[],4,FALSE))^2)))</f>
        <v>1000</v>
      </c>
      <c r="BW27" s="10">
        <f>IF($G27=BW$5,1000,IF(BW$4=0,1000,SQRT((VLOOKUP($G27,Coords[],3,FALSE)-VLOOKUP(BW$5,Coords[],3,FALSE))^2+(VLOOKUP($G27,Coords[],4,FALSE)-VLOOKUP(BW$5,Coords[],4,FALSE))^2)))</f>
        <v>1000</v>
      </c>
      <c r="BX27" s="10">
        <f>IF($G27=BX$5,1000,IF(BX$4=0,1000,SQRT((VLOOKUP($G27,Coords[],3,FALSE)-VLOOKUP(BX$5,Coords[],3,FALSE))^2+(VLOOKUP($G27,Coords[],4,FALSE)-VLOOKUP(BX$5,Coords[],4,FALSE))^2)))</f>
        <v>1000</v>
      </c>
      <c r="BY27" s="10">
        <f>IF($G27=BY$5,1000,IF(BY$4=0,1000,SQRT((VLOOKUP($G27,Coords[],3,FALSE)-VLOOKUP(BY$5,Coords[],3,FALSE))^2+(VLOOKUP($G27,Coords[],4,FALSE)-VLOOKUP(BY$5,Coords[],4,FALSE))^2)))</f>
        <v>1000</v>
      </c>
      <c r="BZ27" s="10">
        <f>IF($G27=BZ$5,1000,IF(BZ$4=0,1000,SQRT((VLOOKUP($G27,Coords[],3,FALSE)-VLOOKUP(BZ$5,Coords[],3,FALSE))^2+(VLOOKUP($G27,Coords[],4,FALSE)-VLOOKUP(BZ$5,Coords[],4,FALSE))^2)))</f>
        <v>1000</v>
      </c>
      <c r="CA27" s="10">
        <f>IF($G27=CA$5,1000,IF(CA$4=0,1000,SQRT((VLOOKUP($G27,Coords[],3,FALSE)-VLOOKUP(CA$5,Coords[],3,FALSE))^2+(VLOOKUP($G27,Coords[],4,FALSE)-VLOOKUP(CA$5,Coords[],4,FALSE))^2)))</f>
        <v>1000</v>
      </c>
      <c r="CB27" s="10">
        <f>IF($G27=CB$5,1000,IF(CB$4=0,1000,SQRT((VLOOKUP($G27,Coords[],3,FALSE)-VLOOKUP(CB$5,Coords[],3,FALSE))^2+(VLOOKUP($G27,Coords[],4,FALSE)-VLOOKUP(CB$5,Coords[],4,FALSE))^2)))</f>
        <v>1000</v>
      </c>
      <c r="CC27" s="10">
        <f>IF($G27=CC$5,1000,IF(CC$4=0,1000,SQRT((VLOOKUP($G27,Coords[],3,FALSE)-VLOOKUP(CC$5,Coords[],3,FALSE))^2+(VLOOKUP($G27,Coords[],4,FALSE)-VLOOKUP(CC$5,Coords[],4,FALSE))^2)))</f>
        <v>1000</v>
      </c>
      <c r="CD27" s="10">
        <f>IF($G27=CD$5,1000,IF(CD$4=0,1000,SQRT((VLOOKUP($G27,Coords[],3,FALSE)-VLOOKUP(CD$5,Coords[],3,FALSE))^2+(VLOOKUP($G27,Coords[],4,FALSE)-VLOOKUP(CD$5,Coords[],4,FALSE))^2)))</f>
        <v>1000</v>
      </c>
      <c r="CE27" s="10">
        <f>IF($G27=CE$5,1000,IF(CE$4=0,1000,SQRT((VLOOKUP($G27,Coords[],3,FALSE)-VLOOKUP(CE$5,Coords[],3,FALSE))^2+(VLOOKUP($G27,Coords[],4,FALSE)-VLOOKUP(CE$5,Coords[],4,FALSE))^2)))</f>
        <v>1000</v>
      </c>
      <c r="CF27" s="4">
        <v>22</v>
      </c>
      <c r="CH27" s="5">
        <f>IF(E27=1,0,VLOOKUP($G27,$G$6:$CE$82,HLOOKUP(MIN(H27:CE27),$H27:$CE$82,((COUNT($G$6:$G$81)+2)-$G27),FALSE)+1,FALSE)*B27)</f>
        <v>0</v>
      </c>
      <c r="CI27" s="9">
        <f>VLOOKUP($G27,$G$6:$CE$82,HLOOKUP(MIN(H27:CE27),$H27:$CE$82,((COUNT($G$6:$G$81)+2)-$G27),FALSE)+1,FALSE)</f>
        <v>1000</v>
      </c>
      <c r="CJ27" s="7">
        <f>HLOOKUP(MIN(H27:CE27),$H27:$CE$82,((COUNT($G$6:$G$81)+2)-$G27),FALSE)</f>
        <v>1</v>
      </c>
      <c r="CK27">
        <f>CI27*Coords[[#This Row],[Demand]]</f>
        <v>0</v>
      </c>
    </row>
    <row r="28" spans="1:89" x14ac:dyDescent="0.25">
      <c r="A28" s="8">
        <v>23</v>
      </c>
      <c r="B28" s="3"/>
      <c r="C28" s="3"/>
      <c r="D28" s="3"/>
      <c r="E28" s="3"/>
      <c r="G28" s="4">
        <v>23</v>
      </c>
      <c r="H28" s="10">
        <f>IF($G28=H$5,1000,IF(H$4=0,1000,SQRT((VLOOKUP($G28,Coords[],3,FALSE)-VLOOKUP(H$5,Coords[],3,FALSE))^2+(VLOOKUP($G28,Coords[],4,FALSE)-VLOOKUP(H$5,Coords[],4,FALSE))^2)))</f>
        <v>1000</v>
      </c>
      <c r="I28" s="10">
        <f>IF($G28=I$5,1000,IF(I$4=0,1000,SQRT((VLOOKUP($G28,Coords[],3,FALSE)-VLOOKUP(I$5,Coords[],3,FALSE))^2+(VLOOKUP($G28,Coords[],4,FALSE)-VLOOKUP(I$5,Coords[],4,FALSE))^2)))</f>
        <v>1000</v>
      </c>
      <c r="J28" s="10">
        <f>IF($G28=J$5,1000,IF(J$4=0,1000,SQRT((VLOOKUP($G28,Coords[],3,FALSE)-VLOOKUP(J$5,Coords[],3,FALSE))^2+(VLOOKUP($G28,Coords[],4,FALSE)-VLOOKUP(J$5,Coords[],4,FALSE))^2)))</f>
        <v>1000</v>
      </c>
      <c r="K28" s="10">
        <f>IF($G28=K$5,1000,IF(K$4=0,1000,SQRT((VLOOKUP($G28,Coords[],3,FALSE)-VLOOKUP(K$5,Coords[],3,FALSE))^2+(VLOOKUP($G28,Coords[],4,FALSE)-VLOOKUP(K$5,Coords[],4,FALSE))^2)))</f>
        <v>1000</v>
      </c>
      <c r="L28" s="10">
        <f>IF($G28=L$5,1000,IF(L$4=0,1000,SQRT((VLOOKUP($G28,Coords[],3,FALSE)-VLOOKUP(L$5,Coords[],3,FALSE))^2+(VLOOKUP($G28,Coords[],4,FALSE)-VLOOKUP(L$5,Coords[],4,FALSE))^2)))</f>
        <v>1000</v>
      </c>
      <c r="M28" s="10">
        <f>IF($G28=M$5,1000,IF(M$4=0,1000,SQRT((VLOOKUP($G28,Coords[],3,FALSE)-VLOOKUP(M$5,Coords[],3,FALSE))^2+(VLOOKUP($G28,Coords[],4,FALSE)-VLOOKUP(M$5,Coords[],4,FALSE))^2)))</f>
        <v>1000</v>
      </c>
      <c r="N28" s="10">
        <f>IF($G28=N$5,1000,IF(N$4=0,1000,SQRT((VLOOKUP($G28,Coords[],3,FALSE)-VLOOKUP(N$5,Coords[],3,FALSE))^2+(VLOOKUP($G28,Coords[],4,FALSE)-VLOOKUP(N$5,Coords[],4,FALSE))^2)))</f>
        <v>1000</v>
      </c>
      <c r="O28" s="10">
        <f>IF($G28=O$5,1000,IF(O$4=0,1000,SQRT((VLOOKUP($G28,Coords[],3,FALSE)-VLOOKUP(O$5,Coords[],3,FALSE))^2+(VLOOKUP($G28,Coords[],4,FALSE)-VLOOKUP(O$5,Coords[],4,FALSE))^2)))</f>
        <v>1000</v>
      </c>
      <c r="P28" s="10">
        <f>IF($G28=P$5,1000,IF(P$4=0,1000,SQRT((VLOOKUP($G28,Coords[],3,FALSE)-VLOOKUP(P$5,Coords[],3,FALSE))^2+(VLOOKUP($G28,Coords[],4,FALSE)-VLOOKUP(P$5,Coords[],4,FALSE))^2)))</f>
        <v>1000</v>
      </c>
      <c r="Q28" s="10">
        <f>IF($G28=Q$5,1000,IF(Q$4=0,1000,SQRT((VLOOKUP($G28,Coords[],3,FALSE)-VLOOKUP(Q$5,Coords[],3,FALSE))^2+(VLOOKUP($G28,Coords[],4,FALSE)-VLOOKUP(Q$5,Coords[],4,FALSE))^2)))</f>
        <v>1000</v>
      </c>
      <c r="R28" s="10">
        <f>IF($G28=R$5,1000,IF(R$4=0,1000,SQRT((VLOOKUP($G28,Coords[],3,FALSE)-VLOOKUP(R$5,Coords[],3,FALSE))^2+(VLOOKUP($G28,Coords[],4,FALSE)-VLOOKUP(R$5,Coords[],4,FALSE))^2)))</f>
        <v>1000</v>
      </c>
      <c r="S28" s="10">
        <f>IF($G28=S$5,1000,IF(S$4=0,1000,SQRT((VLOOKUP($G28,Coords[],3,FALSE)-VLOOKUP(S$5,Coords[],3,FALSE))^2+(VLOOKUP($G28,Coords[],4,FALSE)-VLOOKUP(S$5,Coords[],4,FALSE))^2)))</f>
        <v>1000</v>
      </c>
      <c r="T28" s="10">
        <f>IF($G28=T$5,1000,IF(T$4=0,1000,SQRT((VLOOKUP($G28,Coords[],3,FALSE)-VLOOKUP(T$5,Coords[],3,FALSE))^2+(VLOOKUP($G28,Coords[],4,FALSE)-VLOOKUP(T$5,Coords[],4,FALSE))^2)))</f>
        <v>1000</v>
      </c>
      <c r="U28" s="10">
        <f>IF($G28=U$5,1000,IF(U$4=0,1000,SQRT((VLOOKUP($G28,Coords[],3,FALSE)-VLOOKUP(U$5,Coords[],3,FALSE))^2+(VLOOKUP($G28,Coords[],4,FALSE)-VLOOKUP(U$5,Coords[],4,FALSE))^2)))</f>
        <v>1000</v>
      </c>
      <c r="V28" s="10">
        <f>IF($G28=V$5,1000,IF(V$4=0,1000,SQRT((VLOOKUP($G28,Coords[],3,FALSE)-VLOOKUP(V$5,Coords[],3,FALSE))^2+(VLOOKUP($G28,Coords[],4,FALSE)-VLOOKUP(V$5,Coords[],4,FALSE))^2)))</f>
        <v>1000</v>
      </c>
      <c r="W28" s="10">
        <f>IF($G28=W$5,1000,IF(W$4=0,1000,SQRT((VLOOKUP($G28,Coords[],3,FALSE)-VLOOKUP(W$5,Coords[],3,FALSE))^2+(VLOOKUP($G28,Coords[],4,FALSE)-VLOOKUP(W$5,Coords[],4,FALSE))^2)))</f>
        <v>1000</v>
      </c>
      <c r="X28" s="10">
        <f>IF($G28=X$5,1000,IF(X$4=0,1000,SQRT((VLOOKUP($G28,Coords[],3,FALSE)-VLOOKUP(X$5,Coords[],3,FALSE))^2+(VLOOKUP($G28,Coords[],4,FALSE)-VLOOKUP(X$5,Coords[],4,FALSE))^2)))</f>
        <v>1000</v>
      </c>
      <c r="Y28" s="10">
        <f>IF($G28=Y$5,1000,IF(Y$4=0,1000,SQRT((VLOOKUP($G28,Coords[],3,FALSE)-VLOOKUP(Y$5,Coords[],3,FALSE))^2+(VLOOKUP($G28,Coords[],4,FALSE)-VLOOKUP(Y$5,Coords[],4,FALSE))^2)))</f>
        <v>1000</v>
      </c>
      <c r="Z28" s="10">
        <f>IF($G28=Z$5,1000,IF(Z$4=0,1000,SQRT((VLOOKUP($G28,Coords[],3,FALSE)-VLOOKUP(Z$5,Coords[],3,FALSE))^2+(VLOOKUP($G28,Coords[],4,FALSE)-VLOOKUP(Z$5,Coords[],4,FALSE))^2)))</f>
        <v>1000</v>
      </c>
      <c r="AA28" s="10">
        <f>IF($G28=AA$5,1000,IF(AA$4=0,1000,SQRT((VLOOKUP($G28,Coords[],3,FALSE)-VLOOKUP(AA$5,Coords[],3,FALSE))^2+(VLOOKUP($G28,Coords[],4,FALSE)-VLOOKUP(AA$5,Coords[],4,FALSE))^2)))</f>
        <v>1000</v>
      </c>
      <c r="AB28" s="10">
        <f>IF($G28=AB$5,1000,IF(AB$4=0,1000,SQRT((VLOOKUP($G28,Coords[],3,FALSE)-VLOOKUP(AB$5,Coords[],3,FALSE))^2+(VLOOKUP($G28,Coords[],4,FALSE)-VLOOKUP(AB$5,Coords[],4,FALSE))^2)))</f>
        <v>1000</v>
      </c>
      <c r="AC28" s="10">
        <f>IF($G28=AC$5,1000,IF(AC$4=0,1000,SQRT((VLOOKUP($G28,Coords[],3,FALSE)-VLOOKUP(AC$5,Coords[],3,FALSE))^2+(VLOOKUP($G28,Coords[],4,FALSE)-VLOOKUP(AC$5,Coords[],4,FALSE))^2)))</f>
        <v>1000</v>
      </c>
      <c r="AD28" s="10">
        <f>IF($G28=AD$5,1000,IF(AD$4=0,1000,SQRT((VLOOKUP($G28,Coords[],3,FALSE)-VLOOKUP(AD$5,Coords[],3,FALSE))^2+(VLOOKUP($G28,Coords[],4,FALSE)-VLOOKUP(AD$5,Coords[],4,FALSE))^2)))</f>
        <v>1000</v>
      </c>
      <c r="AE28" s="10">
        <f>IF($G28=AE$5,1000,IF(AE$4=0,1000,SQRT((VLOOKUP($G28,Coords[],3,FALSE)-VLOOKUP(AE$5,Coords[],3,FALSE))^2+(VLOOKUP($G28,Coords[],4,FALSE)-VLOOKUP(AE$5,Coords[],4,FALSE))^2)))</f>
        <v>1000</v>
      </c>
      <c r="AF28" s="10">
        <f>IF($G28=AF$5,1000,IF(AF$4=0,1000,SQRT((VLOOKUP($G28,Coords[],3,FALSE)-VLOOKUP(AF$5,Coords[],3,FALSE))^2+(VLOOKUP($G28,Coords[],4,FALSE)-VLOOKUP(AF$5,Coords[],4,FALSE))^2)))</f>
        <v>1000</v>
      </c>
      <c r="AG28" s="10">
        <f>IF($G28=AG$5,1000,IF(AG$4=0,1000,SQRT((VLOOKUP($G28,Coords[],3,FALSE)-VLOOKUP(AG$5,Coords[],3,FALSE))^2+(VLOOKUP($G28,Coords[],4,FALSE)-VLOOKUP(AG$5,Coords[],4,FALSE))^2)))</f>
        <v>1000</v>
      </c>
      <c r="AH28" s="10">
        <f>IF($G28=AH$5,1000,IF(AH$4=0,1000,SQRT((VLOOKUP($G28,Coords[],3,FALSE)-VLOOKUP(AH$5,Coords[],3,FALSE))^2+(VLOOKUP($G28,Coords[],4,FALSE)-VLOOKUP(AH$5,Coords[],4,FALSE))^2)))</f>
        <v>1000</v>
      </c>
      <c r="AI28" s="10">
        <f>IF($G28=AI$5,1000,IF(AI$4=0,1000,SQRT((VLOOKUP($G28,Coords[],3,FALSE)-VLOOKUP(AI$5,Coords[],3,FALSE))^2+(VLOOKUP($G28,Coords[],4,FALSE)-VLOOKUP(AI$5,Coords[],4,FALSE))^2)))</f>
        <v>1000</v>
      </c>
      <c r="AJ28" s="10">
        <f>IF($G28=AJ$5,1000,IF(AJ$4=0,1000,SQRT((VLOOKUP($G28,Coords[],3,FALSE)-VLOOKUP(AJ$5,Coords[],3,FALSE))^2+(VLOOKUP($G28,Coords[],4,FALSE)-VLOOKUP(AJ$5,Coords[],4,FALSE))^2)))</f>
        <v>1000</v>
      </c>
      <c r="AK28" s="10">
        <f>IF($G28=AK$5,1000,IF(AK$4=0,1000,SQRT((VLOOKUP($G28,Coords[],3,FALSE)-VLOOKUP(AK$5,Coords[],3,FALSE))^2+(VLOOKUP($G28,Coords[],4,FALSE)-VLOOKUP(AK$5,Coords[],4,FALSE))^2)))</f>
        <v>1000</v>
      </c>
      <c r="AL28" s="10">
        <f>IF($G28=AL$5,1000,IF(AL$4=0,1000,SQRT((VLOOKUP($G28,Coords[],3,FALSE)-VLOOKUP(AL$5,Coords[],3,FALSE))^2+(VLOOKUP($G28,Coords[],4,FALSE)-VLOOKUP(AL$5,Coords[],4,FALSE))^2)))</f>
        <v>1000</v>
      </c>
      <c r="AM28" s="10">
        <f>IF($G28=AM$5,1000,IF(AM$4=0,1000,SQRT((VLOOKUP($G28,Coords[],3,FALSE)-VLOOKUP(AM$5,Coords[],3,FALSE))^2+(VLOOKUP($G28,Coords[],4,FALSE)-VLOOKUP(AM$5,Coords[],4,FALSE))^2)))</f>
        <v>1000</v>
      </c>
      <c r="AN28" s="10">
        <f>IF($G28=AN$5,1000,IF(AN$4=0,1000,SQRT((VLOOKUP($G28,Coords[],3,FALSE)-VLOOKUP(AN$5,Coords[],3,FALSE))^2+(VLOOKUP($G28,Coords[],4,FALSE)-VLOOKUP(AN$5,Coords[],4,FALSE))^2)))</f>
        <v>1000</v>
      </c>
      <c r="AO28" s="10">
        <f>IF($G28=AO$5,1000,IF(AO$4=0,1000,SQRT((VLOOKUP($G28,Coords[],3,FALSE)-VLOOKUP(AO$5,Coords[],3,FALSE))^2+(VLOOKUP($G28,Coords[],4,FALSE)-VLOOKUP(AO$5,Coords[],4,FALSE))^2)))</f>
        <v>1000</v>
      </c>
      <c r="AP28" s="10">
        <f>IF($G28=AP$5,1000,IF(AP$4=0,1000,SQRT((VLOOKUP($G28,Coords[],3,FALSE)-VLOOKUP(AP$5,Coords[],3,FALSE))^2+(VLOOKUP($G28,Coords[],4,FALSE)-VLOOKUP(AP$5,Coords[],4,FALSE))^2)))</f>
        <v>1000</v>
      </c>
      <c r="AQ28" s="10">
        <f>IF($G28=AQ$5,1000,IF(AQ$4=0,1000,SQRT((VLOOKUP($G28,Coords[],3,FALSE)-VLOOKUP(AQ$5,Coords[],3,FALSE))^2+(VLOOKUP($G28,Coords[],4,FALSE)-VLOOKUP(AQ$5,Coords[],4,FALSE))^2)))</f>
        <v>1000</v>
      </c>
      <c r="AR28" s="10">
        <f>IF($G28=AR$5,1000,IF(AR$4=0,1000,SQRT((VLOOKUP($G28,Coords[],3,FALSE)-VLOOKUP(AR$5,Coords[],3,FALSE))^2+(VLOOKUP($G28,Coords[],4,FALSE)-VLOOKUP(AR$5,Coords[],4,FALSE))^2)))</f>
        <v>1000</v>
      </c>
      <c r="AS28" s="10">
        <f>IF($G28=AS$5,1000,IF(AS$4=0,1000,SQRT((VLOOKUP($G28,Coords[],3,FALSE)-VLOOKUP(AS$5,Coords[],3,FALSE))^2+(VLOOKUP($G28,Coords[],4,FALSE)-VLOOKUP(AS$5,Coords[],4,FALSE))^2)))</f>
        <v>1000</v>
      </c>
      <c r="AT28" s="10">
        <f>IF($G28=AT$5,1000,IF(AT$4=0,1000,SQRT((VLOOKUP($G28,Coords[],3,FALSE)-VLOOKUP(AT$5,Coords[],3,FALSE))^2+(VLOOKUP($G28,Coords[],4,FALSE)-VLOOKUP(AT$5,Coords[],4,FALSE))^2)))</f>
        <v>1000</v>
      </c>
      <c r="AU28" s="10">
        <f>IF($G28=AU$5,1000,IF(AU$4=0,1000,SQRT((VLOOKUP($G28,Coords[],3,FALSE)-VLOOKUP(AU$5,Coords[],3,FALSE))^2+(VLOOKUP($G28,Coords[],4,FALSE)-VLOOKUP(AU$5,Coords[],4,FALSE))^2)))</f>
        <v>1000</v>
      </c>
      <c r="AV28" s="10">
        <f>IF($G28=AV$5,1000,IF(AV$4=0,1000,SQRT((VLOOKUP($G28,Coords[],3,FALSE)-VLOOKUP(AV$5,Coords[],3,FALSE))^2+(VLOOKUP($G28,Coords[],4,FALSE)-VLOOKUP(AV$5,Coords[],4,FALSE))^2)))</f>
        <v>1000</v>
      </c>
      <c r="AW28" s="10">
        <f>IF($G28=AW$5,1000,IF(AW$4=0,1000,SQRT((VLOOKUP($G28,Coords[],3,FALSE)-VLOOKUP(AW$5,Coords[],3,FALSE))^2+(VLOOKUP($G28,Coords[],4,FALSE)-VLOOKUP(AW$5,Coords[],4,FALSE))^2)))</f>
        <v>1000</v>
      </c>
      <c r="AX28" s="10">
        <f>IF($G28=AX$5,1000,IF(AX$4=0,1000,SQRT((VLOOKUP($G28,Coords[],3,FALSE)-VLOOKUP(AX$5,Coords[],3,FALSE))^2+(VLOOKUP($G28,Coords[],4,FALSE)-VLOOKUP(AX$5,Coords[],4,FALSE))^2)))</f>
        <v>1000</v>
      </c>
      <c r="AY28" s="10">
        <f>IF($G28=AY$5,1000,IF(AY$4=0,1000,SQRT((VLOOKUP($G28,Coords[],3,FALSE)-VLOOKUP(AY$5,Coords[],3,FALSE))^2+(VLOOKUP($G28,Coords[],4,FALSE)-VLOOKUP(AY$5,Coords[],4,FALSE))^2)))</f>
        <v>1000</v>
      </c>
      <c r="AZ28" s="10">
        <f>IF($G28=AZ$5,1000,IF(AZ$4=0,1000,SQRT((VLOOKUP($G28,Coords[],3,FALSE)-VLOOKUP(AZ$5,Coords[],3,FALSE))^2+(VLOOKUP($G28,Coords[],4,FALSE)-VLOOKUP(AZ$5,Coords[],4,FALSE))^2)))</f>
        <v>1000</v>
      </c>
      <c r="BA28" s="10">
        <f>IF($G28=BA$5,1000,IF(BA$4=0,1000,SQRT((VLOOKUP($G28,Coords[],3,FALSE)-VLOOKUP(BA$5,Coords[],3,FALSE))^2+(VLOOKUP($G28,Coords[],4,FALSE)-VLOOKUP(BA$5,Coords[],4,FALSE))^2)))</f>
        <v>1000</v>
      </c>
      <c r="BB28" s="10">
        <f>IF($G28=BB$5,1000,IF(BB$4=0,1000,SQRT((VLOOKUP($G28,Coords[],3,FALSE)-VLOOKUP(BB$5,Coords[],3,FALSE))^2+(VLOOKUP($G28,Coords[],4,FALSE)-VLOOKUP(BB$5,Coords[],4,FALSE))^2)))</f>
        <v>1000</v>
      </c>
      <c r="BC28" s="10">
        <f>IF($G28=BC$5,1000,IF(BC$4=0,1000,SQRT((VLOOKUP($G28,Coords[],3,FALSE)-VLOOKUP(BC$5,Coords[],3,FALSE))^2+(VLOOKUP($G28,Coords[],4,FALSE)-VLOOKUP(BC$5,Coords[],4,FALSE))^2)))</f>
        <v>1000</v>
      </c>
      <c r="BD28" s="10">
        <f>IF($G28=BD$5,1000,IF(BD$4=0,1000,SQRT((VLOOKUP($G28,Coords[],3,FALSE)-VLOOKUP(BD$5,Coords[],3,FALSE))^2+(VLOOKUP($G28,Coords[],4,FALSE)-VLOOKUP(BD$5,Coords[],4,FALSE))^2)))</f>
        <v>1000</v>
      </c>
      <c r="BE28" s="10">
        <f>IF($G28=BE$5,1000,IF(BE$4=0,1000,SQRT((VLOOKUP($G28,Coords[],3,FALSE)-VLOOKUP(BE$5,Coords[],3,FALSE))^2+(VLOOKUP($G28,Coords[],4,FALSE)-VLOOKUP(BE$5,Coords[],4,FALSE))^2)))</f>
        <v>1000</v>
      </c>
      <c r="BF28" s="10">
        <f>IF($G28=BF$5,1000,IF(BF$4=0,1000,SQRT((VLOOKUP($G28,Coords[],3,FALSE)-VLOOKUP(BF$5,Coords[],3,FALSE))^2+(VLOOKUP($G28,Coords[],4,FALSE)-VLOOKUP(BF$5,Coords[],4,FALSE))^2)))</f>
        <v>1000</v>
      </c>
      <c r="BG28" s="10">
        <f>IF($G28=BG$5,1000,IF(BG$4=0,1000,SQRT((VLOOKUP($G28,Coords[],3,FALSE)-VLOOKUP(BG$5,Coords[],3,FALSE))^2+(VLOOKUP($G28,Coords[],4,FALSE)-VLOOKUP(BG$5,Coords[],4,FALSE))^2)))</f>
        <v>1000</v>
      </c>
      <c r="BH28" s="10">
        <f>IF($G28=BH$5,1000,IF(BH$4=0,1000,SQRT((VLOOKUP($G28,Coords[],3,FALSE)-VLOOKUP(BH$5,Coords[],3,FALSE))^2+(VLOOKUP($G28,Coords[],4,FALSE)-VLOOKUP(BH$5,Coords[],4,FALSE))^2)))</f>
        <v>1000</v>
      </c>
      <c r="BI28" s="10">
        <f>IF($G28=BI$5,1000,IF(BI$4=0,1000,SQRT((VLOOKUP($G28,Coords[],3,FALSE)-VLOOKUP(BI$5,Coords[],3,FALSE))^2+(VLOOKUP($G28,Coords[],4,FALSE)-VLOOKUP(BI$5,Coords[],4,FALSE))^2)))</f>
        <v>1000</v>
      </c>
      <c r="BJ28" s="10">
        <f>IF($G28=BJ$5,1000,IF(BJ$4=0,1000,SQRT((VLOOKUP($G28,Coords[],3,FALSE)-VLOOKUP(BJ$5,Coords[],3,FALSE))^2+(VLOOKUP($G28,Coords[],4,FALSE)-VLOOKUP(BJ$5,Coords[],4,FALSE))^2)))</f>
        <v>1000</v>
      </c>
      <c r="BK28" s="10">
        <f>IF($G28=BK$5,1000,IF(BK$4=0,1000,SQRT((VLOOKUP($G28,Coords[],3,FALSE)-VLOOKUP(BK$5,Coords[],3,FALSE))^2+(VLOOKUP($G28,Coords[],4,FALSE)-VLOOKUP(BK$5,Coords[],4,FALSE))^2)))</f>
        <v>1000</v>
      </c>
      <c r="BL28" s="10">
        <f>IF($G28=BL$5,1000,IF(BL$4=0,1000,SQRT((VLOOKUP($G28,Coords[],3,FALSE)-VLOOKUP(BL$5,Coords[],3,FALSE))^2+(VLOOKUP($G28,Coords[],4,FALSE)-VLOOKUP(BL$5,Coords[],4,FALSE))^2)))</f>
        <v>1000</v>
      </c>
      <c r="BM28" s="10">
        <f>IF($G28=BM$5,1000,IF(BM$4=0,1000,SQRT((VLOOKUP($G28,Coords[],3,FALSE)-VLOOKUP(BM$5,Coords[],3,FALSE))^2+(VLOOKUP($G28,Coords[],4,FALSE)-VLOOKUP(BM$5,Coords[],4,FALSE))^2)))</f>
        <v>1000</v>
      </c>
      <c r="BN28" s="10">
        <f>IF($G28=BN$5,1000,IF(BN$4=0,1000,SQRT((VLOOKUP($G28,Coords[],3,FALSE)-VLOOKUP(BN$5,Coords[],3,FALSE))^2+(VLOOKUP($G28,Coords[],4,FALSE)-VLOOKUP(BN$5,Coords[],4,FALSE))^2)))</f>
        <v>1000</v>
      </c>
      <c r="BO28" s="10">
        <f>IF($G28=BO$5,1000,IF(BO$4=0,1000,SQRT((VLOOKUP($G28,Coords[],3,FALSE)-VLOOKUP(BO$5,Coords[],3,FALSE))^2+(VLOOKUP($G28,Coords[],4,FALSE)-VLOOKUP(BO$5,Coords[],4,FALSE))^2)))</f>
        <v>1000</v>
      </c>
      <c r="BP28" s="10">
        <f>IF($G28=BP$5,1000,IF(BP$4=0,1000,SQRT((VLOOKUP($G28,Coords[],3,FALSE)-VLOOKUP(BP$5,Coords[],3,FALSE))^2+(VLOOKUP($G28,Coords[],4,FALSE)-VLOOKUP(BP$5,Coords[],4,FALSE))^2)))</f>
        <v>1000</v>
      </c>
      <c r="BQ28" s="10">
        <f>IF($G28=BQ$5,1000,IF(BQ$4=0,1000,SQRT((VLOOKUP($G28,Coords[],3,FALSE)-VLOOKUP(BQ$5,Coords[],3,FALSE))^2+(VLOOKUP($G28,Coords[],4,FALSE)-VLOOKUP(BQ$5,Coords[],4,FALSE))^2)))</f>
        <v>1000</v>
      </c>
      <c r="BR28" s="10">
        <f>IF($G28=BR$5,1000,IF(BR$4=0,1000,SQRT((VLOOKUP($G28,Coords[],3,FALSE)-VLOOKUP(BR$5,Coords[],3,FALSE))^2+(VLOOKUP($G28,Coords[],4,FALSE)-VLOOKUP(BR$5,Coords[],4,FALSE))^2)))</f>
        <v>1000</v>
      </c>
      <c r="BS28" s="10">
        <f>IF($G28=BS$5,1000,IF(BS$4=0,1000,SQRT((VLOOKUP($G28,Coords[],3,FALSE)-VLOOKUP(BS$5,Coords[],3,FALSE))^2+(VLOOKUP($G28,Coords[],4,FALSE)-VLOOKUP(BS$5,Coords[],4,FALSE))^2)))</f>
        <v>1000</v>
      </c>
      <c r="BT28" s="10">
        <f>IF($G28=BT$5,1000,IF(BT$4=0,1000,SQRT((VLOOKUP($G28,Coords[],3,FALSE)-VLOOKUP(BT$5,Coords[],3,FALSE))^2+(VLOOKUP($G28,Coords[],4,FALSE)-VLOOKUP(BT$5,Coords[],4,FALSE))^2)))</f>
        <v>1000</v>
      </c>
      <c r="BU28" s="10">
        <f>IF($G28=BU$5,1000,IF(BU$4=0,1000,SQRT((VLOOKUP($G28,Coords[],3,FALSE)-VLOOKUP(BU$5,Coords[],3,FALSE))^2+(VLOOKUP($G28,Coords[],4,FALSE)-VLOOKUP(BU$5,Coords[],4,FALSE))^2)))</f>
        <v>1000</v>
      </c>
      <c r="BV28" s="10">
        <f>IF($G28=BV$5,1000,IF(BV$4=0,1000,SQRT((VLOOKUP($G28,Coords[],3,FALSE)-VLOOKUP(BV$5,Coords[],3,FALSE))^2+(VLOOKUP($G28,Coords[],4,FALSE)-VLOOKUP(BV$5,Coords[],4,FALSE))^2)))</f>
        <v>1000</v>
      </c>
      <c r="BW28" s="10">
        <f>IF($G28=BW$5,1000,IF(BW$4=0,1000,SQRT((VLOOKUP($G28,Coords[],3,FALSE)-VLOOKUP(BW$5,Coords[],3,FALSE))^2+(VLOOKUP($G28,Coords[],4,FALSE)-VLOOKUP(BW$5,Coords[],4,FALSE))^2)))</f>
        <v>1000</v>
      </c>
      <c r="BX28" s="10">
        <f>IF($G28=BX$5,1000,IF(BX$4=0,1000,SQRT((VLOOKUP($G28,Coords[],3,FALSE)-VLOOKUP(BX$5,Coords[],3,FALSE))^2+(VLOOKUP($G28,Coords[],4,FALSE)-VLOOKUP(BX$5,Coords[],4,FALSE))^2)))</f>
        <v>1000</v>
      </c>
      <c r="BY28" s="10">
        <f>IF($G28=BY$5,1000,IF(BY$4=0,1000,SQRT((VLOOKUP($G28,Coords[],3,FALSE)-VLOOKUP(BY$5,Coords[],3,FALSE))^2+(VLOOKUP($G28,Coords[],4,FALSE)-VLOOKUP(BY$5,Coords[],4,FALSE))^2)))</f>
        <v>1000</v>
      </c>
      <c r="BZ28" s="10">
        <f>IF($G28=BZ$5,1000,IF(BZ$4=0,1000,SQRT((VLOOKUP($G28,Coords[],3,FALSE)-VLOOKUP(BZ$5,Coords[],3,FALSE))^2+(VLOOKUP($G28,Coords[],4,FALSE)-VLOOKUP(BZ$5,Coords[],4,FALSE))^2)))</f>
        <v>1000</v>
      </c>
      <c r="CA28" s="10">
        <f>IF($G28=CA$5,1000,IF(CA$4=0,1000,SQRT((VLOOKUP($G28,Coords[],3,FALSE)-VLOOKUP(CA$5,Coords[],3,FALSE))^2+(VLOOKUP($G28,Coords[],4,FALSE)-VLOOKUP(CA$5,Coords[],4,FALSE))^2)))</f>
        <v>1000</v>
      </c>
      <c r="CB28" s="10">
        <f>IF($G28=CB$5,1000,IF(CB$4=0,1000,SQRT((VLOOKUP($G28,Coords[],3,FALSE)-VLOOKUP(CB$5,Coords[],3,FALSE))^2+(VLOOKUP($G28,Coords[],4,FALSE)-VLOOKUP(CB$5,Coords[],4,FALSE))^2)))</f>
        <v>1000</v>
      </c>
      <c r="CC28" s="10">
        <f>IF($G28=CC$5,1000,IF(CC$4=0,1000,SQRT((VLOOKUP($G28,Coords[],3,FALSE)-VLOOKUP(CC$5,Coords[],3,FALSE))^2+(VLOOKUP($G28,Coords[],4,FALSE)-VLOOKUP(CC$5,Coords[],4,FALSE))^2)))</f>
        <v>1000</v>
      </c>
      <c r="CD28" s="10">
        <f>IF($G28=CD$5,1000,IF(CD$4=0,1000,SQRT((VLOOKUP($G28,Coords[],3,FALSE)-VLOOKUP(CD$5,Coords[],3,FALSE))^2+(VLOOKUP($G28,Coords[],4,FALSE)-VLOOKUP(CD$5,Coords[],4,FALSE))^2)))</f>
        <v>1000</v>
      </c>
      <c r="CE28" s="10">
        <f>IF($G28=CE$5,1000,IF(CE$4=0,1000,SQRT((VLOOKUP($G28,Coords[],3,FALSE)-VLOOKUP(CE$5,Coords[],3,FALSE))^2+(VLOOKUP($G28,Coords[],4,FALSE)-VLOOKUP(CE$5,Coords[],4,FALSE))^2)))</f>
        <v>1000</v>
      </c>
      <c r="CF28" s="4">
        <v>23</v>
      </c>
      <c r="CH28" s="5">
        <f>IF(E28=1,0,VLOOKUP($G28,$G$6:$CE$82,HLOOKUP(MIN(H28:CE28),$H28:$CE$82,((COUNT($G$6:$G$81)+2)-$G28),FALSE)+1,FALSE)*B28)</f>
        <v>0</v>
      </c>
      <c r="CI28" s="9">
        <f>VLOOKUP($G28,$G$6:$CE$82,HLOOKUP(MIN(H28:CE28),$H28:$CE$82,((COUNT($G$6:$G$81)+2)-$G28),FALSE)+1,FALSE)</f>
        <v>1000</v>
      </c>
      <c r="CJ28" s="7">
        <f>HLOOKUP(MIN(H28:CE28),$H28:$CE$82,((COUNT($G$6:$G$81)+2)-$G28),FALSE)</f>
        <v>1</v>
      </c>
      <c r="CK28">
        <f>CI28*Coords[[#This Row],[Demand]]</f>
        <v>0</v>
      </c>
    </row>
    <row r="29" spans="1:89" x14ac:dyDescent="0.25">
      <c r="A29" s="8">
        <v>24</v>
      </c>
      <c r="B29" s="3"/>
      <c r="C29" s="3"/>
      <c r="D29" s="3"/>
      <c r="E29" s="3"/>
      <c r="G29" s="4">
        <v>24</v>
      </c>
      <c r="H29" s="10">
        <f>IF($G29=H$5,1000,IF(H$4=0,1000,SQRT((VLOOKUP($G29,Coords[],3,FALSE)-VLOOKUP(H$5,Coords[],3,FALSE))^2+(VLOOKUP($G29,Coords[],4,FALSE)-VLOOKUP(H$5,Coords[],4,FALSE))^2)))</f>
        <v>1000</v>
      </c>
      <c r="I29" s="10">
        <f>IF($G29=I$5,1000,IF(I$4=0,1000,SQRT((VLOOKUP($G29,Coords[],3,FALSE)-VLOOKUP(I$5,Coords[],3,FALSE))^2+(VLOOKUP($G29,Coords[],4,FALSE)-VLOOKUP(I$5,Coords[],4,FALSE))^2)))</f>
        <v>1000</v>
      </c>
      <c r="J29" s="10">
        <f>IF($G29=J$5,1000,IF(J$4=0,1000,SQRT((VLOOKUP($G29,Coords[],3,FALSE)-VLOOKUP(J$5,Coords[],3,FALSE))^2+(VLOOKUP($G29,Coords[],4,FALSE)-VLOOKUP(J$5,Coords[],4,FALSE))^2)))</f>
        <v>1000</v>
      </c>
      <c r="K29" s="10">
        <f>IF($G29=K$5,1000,IF(K$4=0,1000,SQRT((VLOOKUP($G29,Coords[],3,FALSE)-VLOOKUP(K$5,Coords[],3,FALSE))^2+(VLOOKUP($G29,Coords[],4,FALSE)-VLOOKUP(K$5,Coords[],4,FALSE))^2)))</f>
        <v>1000</v>
      </c>
      <c r="L29" s="10">
        <f>IF($G29=L$5,1000,IF(L$4=0,1000,SQRT((VLOOKUP($G29,Coords[],3,FALSE)-VLOOKUP(L$5,Coords[],3,FALSE))^2+(VLOOKUP($G29,Coords[],4,FALSE)-VLOOKUP(L$5,Coords[],4,FALSE))^2)))</f>
        <v>1000</v>
      </c>
      <c r="M29" s="10">
        <f>IF($G29=M$5,1000,IF(M$4=0,1000,SQRT((VLOOKUP($G29,Coords[],3,FALSE)-VLOOKUP(M$5,Coords[],3,FALSE))^2+(VLOOKUP($G29,Coords[],4,FALSE)-VLOOKUP(M$5,Coords[],4,FALSE))^2)))</f>
        <v>1000</v>
      </c>
      <c r="N29" s="10">
        <f>IF($G29=N$5,1000,IF(N$4=0,1000,SQRT((VLOOKUP($G29,Coords[],3,FALSE)-VLOOKUP(N$5,Coords[],3,FALSE))^2+(VLOOKUP($G29,Coords[],4,FALSE)-VLOOKUP(N$5,Coords[],4,FALSE))^2)))</f>
        <v>1000</v>
      </c>
      <c r="O29" s="10">
        <f>IF($G29=O$5,1000,IF(O$4=0,1000,SQRT((VLOOKUP($G29,Coords[],3,FALSE)-VLOOKUP(O$5,Coords[],3,FALSE))^2+(VLOOKUP($G29,Coords[],4,FALSE)-VLOOKUP(O$5,Coords[],4,FALSE))^2)))</f>
        <v>1000</v>
      </c>
      <c r="P29" s="10">
        <f>IF($G29=P$5,1000,IF(P$4=0,1000,SQRT((VLOOKUP($G29,Coords[],3,FALSE)-VLOOKUP(P$5,Coords[],3,FALSE))^2+(VLOOKUP($G29,Coords[],4,FALSE)-VLOOKUP(P$5,Coords[],4,FALSE))^2)))</f>
        <v>1000</v>
      </c>
      <c r="Q29" s="10">
        <f>IF($G29=Q$5,1000,IF(Q$4=0,1000,SQRT((VLOOKUP($G29,Coords[],3,FALSE)-VLOOKUP(Q$5,Coords[],3,FALSE))^2+(VLOOKUP($G29,Coords[],4,FALSE)-VLOOKUP(Q$5,Coords[],4,FALSE))^2)))</f>
        <v>1000</v>
      </c>
      <c r="R29" s="10">
        <f>IF($G29=R$5,1000,IF(R$4=0,1000,SQRT((VLOOKUP($G29,Coords[],3,FALSE)-VLOOKUP(R$5,Coords[],3,FALSE))^2+(VLOOKUP($G29,Coords[],4,FALSE)-VLOOKUP(R$5,Coords[],4,FALSE))^2)))</f>
        <v>1000</v>
      </c>
      <c r="S29" s="10">
        <f>IF($G29=S$5,1000,IF(S$4=0,1000,SQRT((VLOOKUP($G29,Coords[],3,FALSE)-VLOOKUP(S$5,Coords[],3,FALSE))^2+(VLOOKUP($G29,Coords[],4,FALSE)-VLOOKUP(S$5,Coords[],4,FALSE))^2)))</f>
        <v>1000</v>
      </c>
      <c r="T29" s="10">
        <f>IF($G29=T$5,1000,IF(T$4=0,1000,SQRT((VLOOKUP($G29,Coords[],3,FALSE)-VLOOKUP(T$5,Coords[],3,FALSE))^2+(VLOOKUP($G29,Coords[],4,FALSE)-VLOOKUP(T$5,Coords[],4,FALSE))^2)))</f>
        <v>1000</v>
      </c>
      <c r="U29" s="10">
        <f>IF($G29=U$5,1000,IF(U$4=0,1000,SQRT((VLOOKUP($G29,Coords[],3,FALSE)-VLOOKUP(U$5,Coords[],3,FALSE))^2+(VLOOKUP($G29,Coords[],4,FALSE)-VLOOKUP(U$5,Coords[],4,FALSE))^2)))</f>
        <v>1000</v>
      </c>
      <c r="V29" s="10">
        <f>IF($G29=V$5,1000,IF(V$4=0,1000,SQRT((VLOOKUP($G29,Coords[],3,FALSE)-VLOOKUP(V$5,Coords[],3,FALSE))^2+(VLOOKUP($G29,Coords[],4,FALSE)-VLOOKUP(V$5,Coords[],4,FALSE))^2)))</f>
        <v>1000</v>
      </c>
      <c r="W29" s="10">
        <f>IF($G29=W$5,1000,IF(W$4=0,1000,SQRT((VLOOKUP($G29,Coords[],3,FALSE)-VLOOKUP(W$5,Coords[],3,FALSE))^2+(VLOOKUP($G29,Coords[],4,FALSE)-VLOOKUP(W$5,Coords[],4,FALSE))^2)))</f>
        <v>1000</v>
      </c>
      <c r="X29" s="10">
        <f>IF($G29=X$5,1000,IF(X$4=0,1000,SQRT((VLOOKUP($G29,Coords[],3,FALSE)-VLOOKUP(X$5,Coords[],3,FALSE))^2+(VLOOKUP($G29,Coords[],4,FALSE)-VLOOKUP(X$5,Coords[],4,FALSE))^2)))</f>
        <v>1000</v>
      </c>
      <c r="Y29" s="10">
        <f>IF($G29=Y$5,1000,IF(Y$4=0,1000,SQRT((VLOOKUP($G29,Coords[],3,FALSE)-VLOOKUP(Y$5,Coords[],3,FALSE))^2+(VLOOKUP($G29,Coords[],4,FALSE)-VLOOKUP(Y$5,Coords[],4,FALSE))^2)))</f>
        <v>1000</v>
      </c>
      <c r="Z29" s="10">
        <f>IF($G29=Z$5,1000,IF(Z$4=0,1000,SQRT((VLOOKUP($G29,Coords[],3,FALSE)-VLOOKUP(Z$5,Coords[],3,FALSE))^2+(VLOOKUP($G29,Coords[],4,FALSE)-VLOOKUP(Z$5,Coords[],4,FALSE))^2)))</f>
        <v>1000</v>
      </c>
      <c r="AA29" s="10">
        <f>IF($G29=AA$5,1000,IF(AA$4=0,1000,SQRT((VLOOKUP($G29,Coords[],3,FALSE)-VLOOKUP(AA$5,Coords[],3,FALSE))^2+(VLOOKUP($G29,Coords[],4,FALSE)-VLOOKUP(AA$5,Coords[],4,FALSE))^2)))</f>
        <v>1000</v>
      </c>
      <c r="AB29" s="10">
        <f>IF($G29=AB$5,1000,IF(AB$4=0,1000,SQRT((VLOOKUP($G29,Coords[],3,FALSE)-VLOOKUP(AB$5,Coords[],3,FALSE))^2+(VLOOKUP($G29,Coords[],4,FALSE)-VLOOKUP(AB$5,Coords[],4,FALSE))^2)))</f>
        <v>1000</v>
      </c>
      <c r="AC29" s="10">
        <f>IF($G29=AC$5,1000,IF(AC$4=0,1000,SQRT((VLOOKUP($G29,Coords[],3,FALSE)-VLOOKUP(AC$5,Coords[],3,FALSE))^2+(VLOOKUP($G29,Coords[],4,FALSE)-VLOOKUP(AC$5,Coords[],4,FALSE))^2)))</f>
        <v>1000</v>
      </c>
      <c r="AD29" s="10">
        <f>IF($G29=AD$5,1000,IF(AD$4=0,1000,SQRT((VLOOKUP($G29,Coords[],3,FALSE)-VLOOKUP(AD$5,Coords[],3,FALSE))^2+(VLOOKUP($G29,Coords[],4,FALSE)-VLOOKUP(AD$5,Coords[],4,FALSE))^2)))</f>
        <v>1000</v>
      </c>
      <c r="AE29" s="10">
        <f>IF($G29=AE$5,1000,IF(AE$4=0,1000,SQRT((VLOOKUP($G29,Coords[],3,FALSE)-VLOOKUP(AE$5,Coords[],3,FALSE))^2+(VLOOKUP($G29,Coords[],4,FALSE)-VLOOKUP(AE$5,Coords[],4,FALSE))^2)))</f>
        <v>1000</v>
      </c>
      <c r="AF29" s="10">
        <f>IF($G29=AF$5,1000,IF(AF$4=0,1000,SQRT((VLOOKUP($G29,Coords[],3,FALSE)-VLOOKUP(AF$5,Coords[],3,FALSE))^2+(VLOOKUP($G29,Coords[],4,FALSE)-VLOOKUP(AF$5,Coords[],4,FALSE))^2)))</f>
        <v>1000</v>
      </c>
      <c r="AG29" s="10">
        <f>IF($G29=AG$5,1000,IF(AG$4=0,1000,SQRT((VLOOKUP($G29,Coords[],3,FALSE)-VLOOKUP(AG$5,Coords[],3,FALSE))^2+(VLOOKUP($G29,Coords[],4,FALSE)-VLOOKUP(AG$5,Coords[],4,FALSE))^2)))</f>
        <v>1000</v>
      </c>
      <c r="AH29" s="10">
        <f>IF($G29=AH$5,1000,IF(AH$4=0,1000,SQRT((VLOOKUP($G29,Coords[],3,FALSE)-VLOOKUP(AH$5,Coords[],3,FALSE))^2+(VLOOKUP($G29,Coords[],4,FALSE)-VLOOKUP(AH$5,Coords[],4,FALSE))^2)))</f>
        <v>1000</v>
      </c>
      <c r="AI29" s="10">
        <f>IF($G29=AI$5,1000,IF(AI$4=0,1000,SQRT((VLOOKUP($G29,Coords[],3,FALSE)-VLOOKUP(AI$5,Coords[],3,FALSE))^2+(VLOOKUP($G29,Coords[],4,FALSE)-VLOOKUP(AI$5,Coords[],4,FALSE))^2)))</f>
        <v>1000</v>
      </c>
      <c r="AJ29" s="10">
        <f>IF($G29=AJ$5,1000,IF(AJ$4=0,1000,SQRT((VLOOKUP($G29,Coords[],3,FALSE)-VLOOKUP(AJ$5,Coords[],3,FALSE))^2+(VLOOKUP($G29,Coords[],4,FALSE)-VLOOKUP(AJ$5,Coords[],4,FALSE))^2)))</f>
        <v>1000</v>
      </c>
      <c r="AK29" s="10">
        <f>IF($G29=AK$5,1000,IF(AK$4=0,1000,SQRT((VLOOKUP($G29,Coords[],3,FALSE)-VLOOKUP(AK$5,Coords[],3,FALSE))^2+(VLOOKUP($G29,Coords[],4,FALSE)-VLOOKUP(AK$5,Coords[],4,FALSE))^2)))</f>
        <v>1000</v>
      </c>
      <c r="AL29" s="10">
        <f>IF($G29=AL$5,1000,IF(AL$4=0,1000,SQRT((VLOOKUP($G29,Coords[],3,FALSE)-VLOOKUP(AL$5,Coords[],3,FALSE))^2+(VLOOKUP($G29,Coords[],4,FALSE)-VLOOKUP(AL$5,Coords[],4,FALSE))^2)))</f>
        <v>1000</v>
      </c>
      <c r="AM29" s="10">
        <f>IF($G29=AM$5,1000,IF(AM$4=0,1000,SQRT((VLOOKUP($G29,Coords[],3,FALSE)-VLOOKUP(AM$5,Coords[],3,FALSE))^2+(VLOOKUP($G29,Coords[],4,FALSE)-VLOOKUP(AM$5,Coords[],4,FALSE))^2)))</f>
        <v>1000</v>
      </c>
      <c r="AN29" s="10">
        <f>IF($G29=AN$5,1000,IF(AN$4=0,1000,SQRT((VLOOKUP($G29,Coords[],3,FALSE)-VLOOKUP(AN$5,Coords[],3,FALSE))^2+(VLOOKUP($G29,Coords[],4,FALSE)-VLOOKUP(AN$5,Coords[],4,FALSE))^2)))</f>
        <v>1000</v>
      </c>
      <c r="AO29" s="10">
        <f>IF($G29=AO$5,1000,IF(AO$4=0,1000,SQRT((VLOOKUP($G29,Coords[],3,FALSE)-VLOOKUP(AO$5,Coords[],3,FALSE))^2+(VLOOKUP($G29,Coords[],4,FALSE)-VLOOKUP(AO$5,Coords[],4,FALSE))^2)))</f>
        <v>1000</v>
      </c>
      <c r="AP29" s="10">
        <f>IF($G29=AP$5,1000,IF(AP$4=0,1000,SQRT((VLOOKUP($G29,Coords[],3,FALSE)-VLOOKUP(AP$5,Coords[],3,FALSE))^2+(VLOOKUP($G29,Coords[],4,FALSE)-VLOOKUP(AP$5,Coords[],4,FALSE))^2)))</f>
        <v>1000</v>
      </c>
      <c r="AQ29" s="10">
        <f>IF($G29=AQ$5,1000,IF(AQ$4=0,1000,SQRT((VLOOKUP($G29,Coords[],3,FALSE)-VLOOKUP(AQ$5,Coords[],3,FALSE))^2+(VLOOKUP($G29,Coords[],4,FALSE)-VLOOKUP(AQ$5,Coords[],4,FALSE))^2)))</f>
        <v>1000</v>
      </c>
      <c r="AR29" s="10">
        <f>IF($G29=AR$5,1000,IF(AR$4=0,1000,SQRT((VLOOKUP($G29,Coords[],3,FALSE)-VLOOKUP(AR$5,Coords[],3,FALSE))^2+(VLOOKUP($G29,Coords[],4,FALSE)-VLOOKUP(AR$5,Coords[],4,FALSE))^2)))</f>
        <v>1000</v>
      </c>
      <c r="AS29" s="10">
        <f>IF($G29=AS$5,1000,IF(AS$4=0,1000,SQRT((VLOOKUP($G29,Coords[],3,FALSE)-VLOOKUP(AS$5,Coords[],3,FALSE))^2+(VLOOKUP($G29,Coords[],4,FALSE)-VLOOKUP(AS$5,Coords[],4,FALSE))^2)))</f>
        <v>1000</v>
      </c>
      <c r="AT29" s="10">
        <f>IF($G29=AT$5,1000,IF(AT$4=0,1000,SQRT((VLOOKUP($G29,Coords[],3,FALSE)-VLOOKUP(AT$5,Coords[],3,FALSE))^2+(VLOOKUP($G29,Coords[],4,FALSE)-VLOOKUP(AT$5,Coords[],4,FALSE))^2)))</f>
        <v>1000</v>
      </c>
      <c r="AU29" s="10">
        <f>IF($G29=AU$5,1000,IF(AU$4=0,1000,SQRT((VLOOKUP($G29,Coords[],3,FALSE)-VLOOKUP(AU$5,Coords[],3,FALSE))^2+(VLOOKUP($G29,Coords[],4,FALSE)-VLOOKUP(AU$5,Coords[],4,FALSE))^2)))</f>
        <v>1000</v>
      </c>
      <c r="AV29" s="10">
        <f>IF($G29=AV$5,1000,IF(AV$4=0,1000,SQRT((VLOOKUP($G29,Coords[],3,FALSE)-VLOOKUP(AV$5,Coords[],3,FALSE))^2+(VLOOKUP($G29,Coords[],4,FALSE)-VLOOKUP(AV$5,Coords[],4,FALSE))^2)))</f>
        <v>1000</v>
      </c>
      <c r="AW29" s="10">
        <f>IF($G29=AW$5,1000,IF(AW$4=0,1000,SQRT((VLOOKUP($G29,Coords[],3,FALSE)-VLOOKUP(AW$5,Coords[],3,FALSE))^2+(VLOOKUP($G29,Coords[],4,FALSE)-VLOOKUP(AW$5,Coords[],4,FALSE))^2)))</f>
        <v>1000</v>
      </c>
      <c r="AX29" s="10">
        <f>IF($G29=AX$5,1000,IF(AX$4=0,1000,SQRT((VLOOKUP($G29,Coords[],3,FALSE)-VLOOKUP(AX$5,Coords[],3,FALSE))^2+(VLOOKUP($G29,Coords[],4,FALSE)-VLOOKUP(AX$5,Coords[],4,FALSE))^2)))</f>
        <v>1000</v>
      </c>
      <c r="AY29" s="10">
        <f>IF($G29=AY$5,1000,IF(AY$4=0,1000,SQRT((VLOOKUP($G29,Coords[],3,FALSE)-VLOOKUP(AY$5,Coords[],3,FALSE))^2+(VLOOKUP($G29,Coords[],4,FALSE)-VLOOKUP(AY$5,Coords[],4,FALSE))^2)))</f>
        <v>1000</v>
      </c>
      <c r="AZ29" s="10">
        <f>IF($G29=AZ$5,1000,IF(AZ$4=0,1000,SQRT((VLOOKUP($G29,Coords[],3,FALSE)-VLOOKUP(AZ$5,Coords[],3,FALSE))^2+(VLOOKUP($G29,Coords[],4,FALSE)-VLOOKUP(AZ$5,Coords[],4,FALSE))^2)))</f>
        <v>1000</v>
      </c>
      <c r="BA29" s="10">
        <f>IF($G29=BA$5,1000,IF(BA$4=0,1000,SQRT((VLOOKUP($G29,Coords[],3,FALSE)-VLOOKUP(BA$5,Coords[],3,FALSE))^2+(VLOOKUP($G29,Coords[],4,FALSE)-VLOOKUP(BA$5,Coords[],4,FALSE))^2)))</f>
        <v>1000</v>
      </c>
      <c r="BB29" s="10">
        <f>IF($G29=BB$5,1000,IF(BB$4=0,1000,SQRT((VLOOKUP($G29,Coords[],3,FALSE)-VLOOKUP(BB$5,Coords[],3,FALSE))^2+(VLOOKUP($G29,Coords[],4,FALSE)-VLOOKUP(BB$5,Coords[],4,FALSE))^2)))</f>
        <v>1000</v>
      </c>
      <c r="BC29" s="10">
        <f>IF($G29=BC$5,1000,IF(BC$4=0,1000,SQRT((VLOOKUP($G29,Coords[],3,FALSE)-VLOOKUP(BC$5,Coords[],3,FALSE))^2+(VLOOKUP($G29,Coords[],4,FALSE)-VLOOKUP(BC$5,Coords[],4,FALSE))^2)))</f>
        <v>1000</v>
      </c>
      <c r="BD29" s="10">
        <f>IF($G29=BD$5,1000,IF(BD$4=0,1000,SQRT((VLOOKUP($G29,Coords[],3,FALSE)-VLOOKUP(BD$5,Coords[],3,FALSE))^2+(VLOOKUP($G29,Coords[],4,FALSE)-VLOOKUP(BD$5,Coords[],4,FALSE))^2)))</f>
        <v>1000</v>
      </c>
      <c r="BE29" s="10">
        <f>IF($G29=BE$5,1000,IF(BE$4=0,1000,SQRT((VLOOKUP($G29,Coords[],3,FALSE)-VLOOKUP(BE$5,Coords[],3,FALSE))^2+(VLOOKUP($G29,Coords[],4,FALSE)-VLOOKUP(BE$5,Coords[],4,FALSE))^2)))</f>
        <v>1000</v>
      </c>
      <c r="BF29" s="10">
        <f>IF($G29=BF$5,1000,IF(BF$4=0,1000,SQRT((VLOOKUP($G29,Coords[],3,FALSE)-VLOOKUP(BF$5,Coords[],3,FALSE))^2+(VLOOKUP($G29,Coords[],4,FALSE)-VLOOKUP(BF$5,Coords[],4,FALSE))^2)))</f>
        <v>1000</v>
      </c>
      <c r="BG29" s="10">
        <f>IF($G29=BG$5,1000,IF(BG$4=0,1000,SQRT((VLOOKUP($G29,Coords[],3,FALSE)-VLOOKUP(BG$5,Coords[],3,FALSE))^2+(VLOOKUP($G29,Coords[],4,FALSE)-VLOOKUP(BG$5,Coords[],4,FALSE))^2)))</f>
        <v>1000</v>
      </c>
      <c r="BH29" s="10">
        <f>IF($G29=BH$5,1000,IF(BH$4=0,1000,SQRT((VLOOKUP($G29,Coords[],3,FALSE)-VLOOKUP(BH$5,Coords[],3,FALSE))^2+(VLOOKUP($G29,Coords[],4,FALSE)-VLOOKUP(BH$5,Coords[],4,FALSE))^2)))</f>
        <v>1000</v>
      </c>
      <c r="BI29" s="10">
        <f>IF($G29=BI$5,1000,IF(BI$4=0,1000,SQRT((VLOOKUP($G29,Coords[],3,FALSE)-VLOOKUP(BI$5,Coords[],3,FALSE))^2+(VLOOKUP($G29,Coords[],4,FALSE)-VLOOKUP(BI$5,Coords[],4,FALSE))^2)))</f>
        <v>1000</v>
      </c>
      <c r="BJ29" s="10">
        <f>IF($G29=BJ$5,1000,IF(BJ$4=0,1000,SQRT((VLOOKUP($G29,Coords[],3,FALSE)-VLOOKUP(BJ$5,Coords[],3,FALSE))^2+(VLOOKUP($G29,Coords[],4,FALSE)-VLOOKUP(BJ$5,Coords[],4,FALSE))^2)))</f>
        <v>1000</v>
      </c>
      <c r="BK29" s="10">
        <f>IF($G29=BK$5,1000,IF(BK$4=0,1000,SQRT((VLOOKUP($G29,Coords[],3,FALSE)-VLOOKUP(BK$5,Coords[],3,FALSE))^2+(VLOOKUP($G29,Coords[],4,FALSE)-VLOOKUP(BK$5,Coords[],4,FALSE))^2)))</f>
        <v>1000</v>
      </c>
      <c r="BL29" s="10">
        <f>IF($G29=BL$5,1000,IF(BL$4=0,1000,SQRT((VLOOKUP($G29,Coords[],3,FALSE)-VLOOKUP(BL$5,Coords[],3,FALSE))^2+(VLOOKUP($G29,Coords[],4,FALSE)-VLOOKUP(BL$5,Coords[],4,FALSE))^2)))</f>
        <v>1000</v>
      </c>
      <c r="BM29" s="10">
        <f>IF($G29=BM$5,1000,IF(BM$4=0,1000,SQRT((VLOOKUP($G29,Coords[],3,FALSE)-VLOOKUP(BM$5,Coords[],3,FALSE))^2+(VLOOKUP($G29,Coords[],4,FALSE)-VLOOKUP(BM$5,Coords[],4,FALSE))^2)))</f>
        <v>1000</v>
      </c>
      <c r="BN29" s="10">
        <f>IF($G29=BN$5,1000,IF(BN$4=0,1000,SQRT((VLOOKUP($G29,Coords[],3,FALSE)-VLOOKUP(BN$5,Coords[],3,FALSE))^2+(VLOOKUP($G29,Coords[],4,FALSE)-VLOOKUP(BN$5,Coords[],4,FALSE))^2)))</f>
        <v>1000</v>
      </c>
      <c r="BO29" s="10">
        <f>IF($G29=BO$5,1000,IF(BO$4=0,1000,SQRT((VLOOKUP($G29,Coords[],3,FALSE)-VLOOKUP(BO$5,Coords[],3,FALSE))^2+(VLOOKUP($G29,Coords[],4,FALSE)-VLOOKUP(BO$5,Coords[],4,FALSE))^2)))</f>
        <v>1000</v>
      </c>
      <c r="BP29" s="10">
        <f>IF($G29=BP$5,1000,IF(BP$4=0,1000,SQRT((VLOOKUP($G29,Coords[],3,FALSE)-VLOOKUP(BP$5,Coords[],3,FALSE))^2+(VLOOKUP($G29,Coords[],4,FALSE)-VLOOKUP(BP$5,Coords[],4,FALSE))^2)))</f>
        <v>1000</v>
      </c>
      <c r="BQ29" s="10">
        <f>IF($G29=BQ$5,1000,IF(BQ$4=0,1000,SQRT((VLOOKUP($G29,Coords[],3,FALSE)-VLOOKUP(BQ$5,Coords[],3,FALSE))^2+(VLOOKUP($G29,Coords[],4,FALSE)-VLOOKUP(BQ$5,Coords[],4,FALSE))^2)))</f>
        <v>1000</v>
      </c>
      <c r="BR29" s="10">
        <f>IF($G29=BR$5,1000,IF(BR$4=0,1000,SQRT((VLOOKUP($G29,Coords[],3,FALSE)-VLOOKUP(BR$5,Coords[],3,FALSE))^2+(VLOOKUP($G29,Coords[],4,FALSE)-VLOOKUP(BR$5,Coords[],4,FALSE))^2)))</f>
        <v>1000</v>
      </c>
      <c r="BS29" s="10">
        <f>IF($G29=BS$5,1000,IF(BS$4=0,1000,SQRT((VLOOKUP($G29,Coords[],3,FALSE)-VLOOKUP(BS$5,Coords[],3,FALSE))^2+(VLOOKUP($G29,Coords[],4,FALSE)-VLOOKUP(BS$5,Coords[],4,FALSE))^2)))</f>
        <v>1000</v>
      </c>
      <c r="BT29" s="10">
        <f>IF($G29=BT$5,1000,IF(BT$4=0,1000,SQRT((VLOOKUP($G29,Coords[],3,FALSE)-VLOOKUP(BT$5,Coords[],3,FALSE))^2+(VLOOKUP($G29,Coords[],4,FALSE)-VLOOKUP(BT$5,Coords[],4,FALSE))^2)))</f>
        <v>1000</v>
      </c>
      <c r="BU29" s="10">
        <f>IF($G29=BU$5,1000,IF(BU$4=0,1000,SQRT((VLOOKUP($G29,Coords[],3,FALSE)-VLOOKUP(BU$5,Coords[],3,FALSE))^2+(VLOOKUP($G29,Coords[],4,FALSE)-VLOOKUP(BU$5,Coords[],4,FALSE))^2)))</f>
        <v>1000</v>
      </c>
      <c r="BV29" s="10">
        <f>IF($G29=BV$5,1000,IF(BV$4=0,1000,SQRT((VLOOKUP($G29,Coords[],3,FALSE)-VLOOKUP(BV$5,Coords[],3,FALSE))^2+(VLOOKUP($G29,Coords[],4,FALSE)-VLOOKUP(BV$5,Coords[],4,FALSE))^2)))</f>
        <v>1000</v>
      </c>
      <c r="BW29" s="10">
        <f>IF($G29=BW$5,1000,IF(BW$4=0,1000,SQRT((VLOOKUP($G29,Coords[],3,FALSE)-VLOOKUP(BW$5,Coords[],3,FALSE))^2+(VLOOKUP($G29,Coords[],4,FALSE)-VLOOKUP(BW$5,Coords[],4,FALSE))^2)))</f>
        <v>1000</v>
      </c>
      <c r="BX29" s="10">
        <f>IF($G29=BX$5,1000,IF(BX$4=0,1000,SQRT((VLOOKUP($G29,Coords[],3,FALSE)-VLOOKUP(BX$5,Coords[],3,FALSE))^2+(VLOOKUP($G29,Coords[],4,FALSE)-VLOOKUP(BX$5,Coords[],4,FALSE))^2)))</f>
        <v>1000</v>
      </c>
      <c r="BY29" s="10">
        <f>IF($G29=BY$5,1000,IF(BY$4=0,1000,SQRT((VLOOKUP($G29,Coords[],3,FALSE)-VLOOKUP(BY$5,Coords[],3,FALSE))^2+(VLOOKUP($G29,Coords[],4,FALSE)-VLOOKUP(BY$5,Coords[],4,FALSE))^2)))</f>
        <v>1000</v>
      </c>
      <c r="BZ29" s="10">
        <f>IF($G29=BZ$5,1000,IF(BZ$4=0,1000,SQRT((VLOOKUP($G29,Coords[],3,FALSE)-VLOOKUP(BZ$5,Coords[],3,FALSE))^2+(VLOOKUP($G29,Coords[],4,FALSE)-VLOOKUP(BZ$5,Coords[],4,FALSE))^2)))</f>
        <v>1000</v>
      </c>
      <c r="CA29" s="10">
        <f>IF($G29=CA$5,1000,IF(CA$4=0,1000,SQRT((VLOOKUP($G29,Coords[],3,FALSE)-VLOOKUP(CA$5,Coords[],3,FALSE))^2+(VLOOKUP($G29,Coords[],4,FALSE)-VLOOKUP(CA$5,Coords[],4,FALSE))^2)))</f>
        <v>1000</v>
      </c>
      <c r="CB29" s="10">
        <f>IF($G29=CB$5,1000,IF(CB$4=0,1000,SQRT((VLOOKUP($G29,Coords[],3,FALSE)-VLOOKUP(CB$5,Coords[],3,FALSE))^2+(VLOOKUP($G29,Coords[],4,FALSE)-VLOOKUP(CB$5,Coords[],4,FALSE))^2)))</f>
        <v>1000</v>
      </c>
      <c r="CC29" s="10">
        <f>IF($G29=CC$5,1000,IF(CC$4=0,1000,SQRT((VLOOKUP($G29,Coords[],3,FALSE)-VLOOKUP(CC$5,Coords[],3,FALSE))^2+(VLOOKUP($G29,Coords[],4,FALSE)-VLOOKUP(CC$5,Coords[],4,FALSE))^2)))</f>
        <v>1000</v>
      </c>
      <c r="CD29" s="10">
        <f>IF($G29=CD$5,1000,IF(CD$4=0,1000,SQRT((VLOOKUP($G29,Coords[],3,FALSE)-VLOOKUP(CD$5,Coords[],3,FALSE))^2+(VLOOKUP($G29,Coords[],4,FALSE)-VLOOKUP(CD$5,Coords[],4,FALSE))^2)))</f>
        <v>1000</v>
      </c>
      <c r="CE29" s="10">
        <f>IF($G29=CE$5,1000,IF(CE$4=0,1000,SQRT((VLOOKUP($G29,Coords[],3,FALSE)-VLOOKUP(CE$5,Coords[],3,FALSE))^2+(VLOOKUP($G29,Coords[],4,FALSE)-VLOOKUP(CE$5,Coords[],4,FALSE))^2)))</f>
        <v>1000</v>
      </c>
      <c r="CF29" s="4">
        <v>24</v>
      </c>
      <c r="CH29" s="5">
        <f>IF(E29=1,0,VLOOKUP($G29,$G$6:$CE$82,HLOOKUP(MIN(H29:CE29),$H29:$CE$82,((COUNT($G$6:$G$81)+2)-$G29),FALSE)+1,FALSE)*B29)</f>
        <v>0</v>
      </c>
      <c r="CI29" s="9">
        <f>VLOOKUP($G29,$G$6:$CE$82,HLOOKUP(MIN(H29:CE29),$H29:$CE$82,((COUNT($G$6:$G$81)+2)-$G29),FALSE)+1,FALSE)</f>
        <v>1000</v>
      </c>
      <c r="CJ29" s="7">
        <f>HLOOKUP(MIN(H29:CE29),$H29:$CE$82,((COUNT($G$6:$G$81)+2)-$G29),FALSE)</f>
        <v>1</v>
      </c>
      <c r="CK29">
        <f>CI29*Coords[[#This Row],[Demand]]</f>
        <v>0</v>
      </c>
    </row>
    <row r="30" spans="1:89" x14ac:dyDescent="0.25">
      <c r="A30" s="8">
        <v>25</v>
      </c>
      <c r="B30" s="3"/>
      <c r="C30" s="3"/>
      <c r="D30" s="3"/>
      <c r="E30" s="3"/>
      <c r="G30" s="4">
        <v>25</v>
      </c>
      <c r="H30" s="10">
        <f>IF($G30=H$5,1000,IF(H$4=0,1000,SQRT((VLOOKUP($G30,Coords[],3,FALSE)-VLOOKUP(H$5,Coords[],3,FALSE))^2+(VLOOKUP($G30,Coords[],4,FALSE)-VLOOKUP(H$5,Coords[],4,FALSE))^2)))</f>
        <v>1000</v>
      </c>
      <c r="I30" s="10">
        <f>IF($G30=I$5,1000,IF(I$4=0,1000,SQRT((VLOOKUP($G30,Coords[],3,FALSE)-VLOOKUP(I$5,Coords[],3,FALSE))^2+(VLOOKUP($G30,Coords[],4,FALSE)-VLOOKUP(I$5,Coords[],4,FALSE))^2)))</f>
        <v>1000</v>
      </c>
      <c r="J30" s="10">
        <f>IF($G30=J$5,1000,IF(J$4=0,1000,SQRT((VLOOKUP($G30,Coords[],3,FALSE)-VLOOKUP(J$5,Coords[],3,FALSE))^2+(VLOOKUP($G30,Coords[],4,FALSE)-VLOOKUP(J$5,Coords[],4,FALSE))^2)))</f>
        <v>1000</v>
      </c>
      <c r="K30" s="10">
        <f>IF($G30=K$5,1000,IF(K$4=0,1000,SQRT((VLOOKUP($G30,Coords[],3,FALSE)-VLOOKUP(K$5,Coords[],3,FALSE))^2+(VLOOKUP($G30,Coords[],4,FALSE)-VLOOKUP(K$5,Coords[],4,FALSE))^2)))</f>
        <v>1000</v>
      </c>
      <c r="L30" s="10">
        <f>IF($G30=L$5,1000,IF(L$4=0,1000,SQRT((VLOOKUP($G30,Coords[],3,FALSE)-VLOOKUP(L$5,Coords[],3,FALSE))^2+(VLOOKUP($G30,Coords[],4,FALSE)-VLOOKUP(L$5,Coords[],4,FALSE))^2)))</f>
        <v>1000</v>
      </c>
      <c r="M30" s="10">
        <f>IF($G30=M$5,1000,IF(M$4=0,1000,SQRT((VLOOKUP($G30,Coords[],3,FALSE)-VLOOKUP(M$5,Coords[],3,FALSE))^2+(VLOOKUP($G30,Coords[],4,FALSE)-VLOOKUP(M$5,Coords[],4,FALSE))^2)))</f>
        <v>1000</v>
      </c>
      <c r="N30" s="10">
        <f>IF($G30=N$5,1000,IF(N$4=0,1000,SQRT((VLOOKUP($G30,Coords[],3,FALSE)-VLOOKUP(N$5,Coords[],3,FALSE))^2+(VLOOKUP($G30,Coords[],4,FALSE)-VLOOKUP(N$5,Coords[],4,FALSE))^2)))</f>
        <v>1000</v>
      </c>
      <c r="O30" s="10">
        <f>IF($G30=O$5,1000,IF(O$4=0,1000,SQRT((VLOOKUP($G30,Coords[],3,FALSE)-VLOOKUP(O$5,Coords[],3,FALSE))^2+(VLOOKUP($G30,Coords[],4,FALSE)-VLOOKUP(O$5,Coords[],4,FALSE))^2)))</f>
        <v>1000</v>
      </c>
      <c r="P30" s="10">
        <f>IF($G30=P$5,1000,IF(P$4=0,1000,SQRT((VLOOKUP($G30,Coords[],3,FALSE)-VLOOKUP(P$5,Coords[],3,FALSE))^2+(VLOOKUP($G30,Coords[],4,FALSE)-VLOOKUP(P$5,Coords[],4,FALSE))^2)))</f>
        <v>1000</v>
      </c>
      <c r="Q30" s="10">
        <f>IF($G30=Q$5,1000,IF(Q$4=0,1000,SQRT((VLOOKUP($G30,Coords[],3,FALSE)-VLOOKUP(Q$5,Coords[],3,FALSE))^2+(VLOOKUP($G30,Coords[],4,FALSE)-VLOOKUP(Q$5,Coords[],4,FALSE))^2)))</f>
        <v>1000</v>
      </c>
      <c r="R30" s="10">
        <f>IF($G30=R$5,1000,IF(R$4=0,1000,SQRT((VLOOKUP($G30,Coords[],3,FALSE)-VLOOKUP(R$5,Coords[],3,FALSE))^2+(VLOOKUP($G30,Coords[],4,FALSE)-VLOOKUP(R$5,Coords[],4,FALSE))^2)))</f>
        <v>1000</v>
      </c>
      <c r="S30" s="10">
        <f>IF($G30=S$5,1000,IF(S$4=0,1000,SQRT((VLOOKUP($G30,Coords[],3,FALSE)-VLOOKUP(S$5,Coords[],3,FALSE))^2+(VLOOKUP($G30,Coords[],4,FALSE)-VLOOKUP(S$5,Coords[],4,FALSE))^2)))</f>
        <v>1000</v>
      </c>
      <c r="T30" s="10">
        <f>IF($G30=T$5,1000,IF(T$4=0,1000,SQRT((VLOOKUP($G30,Coords[],3,FALSE)-VLOOKUP(T$5,Coords[],3,FALSE))^2+(VLOOKUP($G30,Coords[],4,FALSE)-VLOOKUP(T$5,Coords[],4,FALSE))^2)))</f>
        <v>1000</v>
      </c>
      <c r="U30" s="10">
        <f>IF($G30=U$5,1000,IF(U$4=0,1000,SQRT((VLOOKUP($G30,Coords[],3,FALSE)-VLOOKUP(U$5,Coords[],3,FALSE))^2+(VLOOKUP($G30,Coords[],4,FALSE)-VLOOKUP(U$5,Coords[],4,FALSE))^2)))</f>
        <v>1000</v>
      </c>
      <c r="V30" s="10">
        <f>IF($G30=V$5,1000,IF(V$4=0,1000,SQRT((VLOOKUP($G30,Coords[],3,FALSE)-VLOOKUP(V$5,Coords[],3,FALSE))^2+(VLOOKUP($G30,Coords[],4,FALSE)-VLOOKUP(V$5,Coords[],4,FALSE))^2)))</f>
        <v>1000</v>
      </c>
      <c r="W30" s="10">
        <f>IF($G30=W$5,1000,IF(W$4=0,1000,SQRT((VLOOKUP($G30,Coords[],3,FALSE)-VLOOKUP(W$5,Coords[],3,FALSE))^2+(VLOOKUP($G30,Coords[],4,FALSE)-VLOOKUP(W$5,Coords[],4,FALSE))^2)))</f>
        <v>1000</v>
      </c>
      <c r="X30" s="10">
        <f>IF($G30=X$5,1000,IF(X$4=0,1000,SQRT((VLOOKUP($G30,Coords[],3,FALSE)-VLOOKUP(X$5,Coords[],3,FALSE))^2+(VLOOKUP($G30,Coords[],4,FALSE)-VLOOKUP(X$5,Coords[],4,FALSE))^2)))</f>
        <v>1000</v>
      </c>
      <c r="Y30" s="10">
        <f>IF($G30=Y$5,1000,IF(Y$4=0,1000,SQRT((VLOOKUP($G30,Coords[],3,FALSE)-VLOOKUP(Y$5,Coords[],3,FALSE))^2+(VLOOKUP($G30,Coords[],4,FALSE)-VLOOKUP(Y$5,Coords[],4,FALSE))^2)))</f>
        <v>1000</v>
      </c>
      <c r="Z30" s="10">
        <f>IF($G30=Z$5,1000,IF(Z$4=0,1000,SQRT((VLOOKUP($G30,Coords[],3,FALSE)-VLOOKUP(Z$5,Coords[],3,FALSE))^2+(VLOOKUP($G30,Coords[],4,FALSE)-VLOOKUP(Z$5,Coords[],4,FALSE))^2)))</f>
        <v>1000</v>
      </c>
      <c r="AA30" s="10">
        <f>IF($G30=AA$5,1000,IF(AA$4=0,1000,SQRT((VLOOKUP($G30,Coords[],3,FALSE)-VLOOKUP(AA$5,Coords[],3,FALSE))^2+(VLOOKUP($G30,Coords[],4,FALSE)-VLOOKUP(AA$5,Coords[],4,FALSE))^2)))</f>
        <v>1000</v>
      </c>
      <c r="AB30" s="10">
        <f>IF($G30=AB$5,1000,IF(AB$4=0,1000,SQRT((VLOOKUP($G30,Coords[],3,FALSE)-VLOOKUP(AB$5,Coords[],3,FALSE))^2+(VLOOKUP($G30,Coords[],4,FALSE)-VLOOKUP(AB$5,Coords[],4,FALSE))^2)))</f>
        <v>1000</v>
      </c>
      <c r="AC30" s="10">
        <f>IF($G30=AC$5,1000,IF(AC$4=0,1000,SQRT((VLOOKUP($G30,Coords[],3,FALSE)-VLOOKUP(AC$5,Coords[],3,FALSE))^2+(VLOOKUP($G30,Coords[],4,FALSE)-VLOOKUP(AC$5,Coords[],4,FALSE))^2)))</f>
        <v>1000</v>
      </c>
      <c r="AD30" s="10">
        <f>IF($G30=AD$5,1000,IF(AD$4=0,1000,SQRT((VLOOKUP($G30,Coords[],3,FALSE)-VLOOKUP(AD$5,Coords[],3,FALSE))^2+(VLOOKUP($G30,Coords[],4,FALSE)-VLOOKUP(AD$5,Coords[],4,FALSE))^2)))</f>
        <v>1000</v>
      </c>
      <c r="AE30" s="10">
        <f>IF($G30=AE$5,1000,IF(AE$4=0,1000,SQRT((VLOOKUP($G30,Coords[],3,FALSE)-VLOOKUP(AE$5,Coords[],3,FALSE))^2+(VLOOKUP($G30,Coords[],4,FALSE)-VLOOKUP(AE$5,Coords[],4,FALSE))^2)))</f>
        <v>1000</v>
      </c>
      <c r="AF30" s="10">
        <f>IF($G30=AF$5,1000,IF(AF$4=0,1000,SQRT((VLOOKUP($G30,Coords[],3,FALSE)-VLOOKUP(AF$5,Coords[],3,FALSE))^2+(VLOOKUP($G30,Coords[],4,FALSE)-VLOOKUP(AF$5,Coords[],4,FALSE))^2)))</f>
        <v>1000</v>
      </c>
      <c r="AG30" s="10">
        <f>IF($G30=AG$5,1000,IF(AG$4=0,1000,SQRT((VLOOKUP($G30,Coords[],3,FALSE)-VLOOKUP(AG$5,Coords[],3,FALSE))^2+(VLOOKUP($G30,Coords[],4,FALSE)-VLOOKUP(AG$5,Coords[],4,FALSE))^2)))</f>
        <v>1000</v>
      </c>
      <c r="AH30" s="10">
        <f>IF($G30=AH$5,1000,IF(AH$4=0,1000,SQRT((VLOOKUP($G30,Coords[],3,FALSE)-VLOOKUP(AH$5,Coords[],3,FALSE))^2+(VLOOKUP($G30,Coords[],4,FALSE)-VLOOKUP(AH$5,Coords[],4,FALSE))^2)))</f>
        <v>1000</v>
      </c>
      <c r="AI30" s="10">
        <f>IF($G30=AI$5,1000,IF(AI$4=0,1000,SQRT((VLOOKUP($G30,Coords[],3,FALSE)-VLOOKUP(AI$5,Coords[],3,FALSE))^2+(VLOOKUP($G30,Coords[],4,FALSE)-VLOOKUP(AI$5,Coords[],4,FALSE))^2)))</f>
        <v>1000</v>
      </c>
      <c r="AJ30" s="10">
        <f>IF($G30=AJ$5,1000,IF(AJ$4=0,1000,SQRT((VLOOKUP($G30,Coords[],3,FALSE)-VLOOKUP(AJ$5,Coords[],3,FALSE))^2+(VLOOKUP($G30,Coords[],4,FALSE)-VLOOKUP(AJ$5,Coords[],4,FALSE))^2)))</f>
        <v>1000</v>
      </c>
      <c r="AK30" s="10">
        <f>IF($G30=AK$5,1000,IF(AK$4=0,1000,SQRT((VLOOKUP($G30,Coords[],3,FALSE)-VLOOKUP(AK$5,Coords[],3,FALSE))^2+(VLOOKUP($G30,Coords[],4,FALSE)-VLOOKUP(AK$5,Coords[],4,FALSE))^2)))</f>
        <v>1000</v>
      </c>
      <c r="AL30" s="10">
        <f>IF($G30=AL$5,1000,IF(AL$4=0,1000,SQRT((VLOOKUP($G30,Coords[],3,FALSE)-VLOOKUP(AL$5,Coords[],3,FALSE))^2+(VLOOKUP($G30,Coords[],4,FALSE)-VLOOKUP(AL$5,Coords[],4,FALSE))^2)))</f>
        <v>1000</v>
      </c>
      <c r="AM30" s="10">
        <f>IF($G30=AM$5,1000,IF(AM$4=0,1000,SQRT((VLOOKUP($G30,Coords[],3,FALSE)-VLOOKUP(AM$5,Coords[],3,FALSE))^2+(VLOOKUP($G30,Coords[],4,FALSE)-VLOOKUP(AM$5,Coords[],4,FALSE))^2)))</f>
        <v>1000</v>
      </c>
      <c r="AN30" s="10">
        <f>IF($G30=AN$5,1000,IF(AN$4=0,1000,SQRT((VLOOKUP($G30,Coords[],3,FALSE)-VLOOKUP(AN$5,Coords[],3,FALSE))^2+(VLOOKUP($G30,Coords[],4,FALSE)-VLOOKUP(AN$5,Coords[],4,FALSE))^2)))</f>
        <v>1000</v>
      </c>
      <c r="AO30" s="10">
        <f>IF($G30=AO$5,1000,IF(AO$4=0,1000,SQRT((VLOOKUP($G30,Coords[],3,FALSE)-VLOOKUP(AO$5,Coords[],3,FALSE))^2+(VLOOKUP($G30,Coords[],4,FALSE)-VLOOKUP(AO$5,Coords[],4,FALSE))^2)))</f>
        <v>1000</v>
      </c>
      <c r="AP30" s="10">
        <f>IF($G30=AP$5,1000,IF(AP$4=0,1000,SQRT((VLOOKUP($G30,Coords[],3,FALSE)-VLOOKUP(AP$5,Coords[],3,FALSE))^2+(VLOOKUP($G30,Coords[],4,FALSE)-VLOOKUP(AP$5,Coords[],4,FALSE))^2)))</f>
        <v>1000</v>
      </c>
      <c r="AQ30" s="10">
        <f>IF($G30=AQ$5,1000,IF(AQ$4=0,1000,SQRT((VLOOKUP($G30,Coords[],3,FALSE)-VLOOKUP(AQ$5,Coords[],3,FALSE))^2+(VLOOKUP($G30,Coords[],4,FALSE)-VLOOKUP(AQ$5,Coords[],4,FALSE))^2)))</f>
        <v>1000</v>
      </c>
      <c r="AR30" s="10">
        <f>IF($G30=AR$5,1000,IF(AR$4=0,1000,SQRT((VLOOKUP($G30,Coords[],3,FALSE)-VLOOKUP(AR$5,Coords[],3,FALSE))^2+(VLOOKUP($G30,Coords[],4,FALSE)-VLOOKUP(AR$5,Coords[],4,FALSE))^2)))</f>
        <v>1000</v>
      </c>
      <c r="AS30" s="10">
        <f>IF($G30=AS$5,1000,IF(AS$4=0,1000,SQRT((VLOOKUP($G30,Coords[],3,FALSE)-VLOOKUP(AS$5,Coords[],3,FALSE))^2+(VLOOKUP($G30,Coords[],4,FALSE)-VLOOKUP(AS$5,Coords[],4,FALSE))^2)))</f>
        <v>1000</v>
      </c>
      <c r="AT30" s="10">
        <f>IF($G30=AT$5,1000,IF(AT$4=0,1000,SQRT((VLOOKUP($G30,Coords[],3,FALSE)-VLOOKUP(AT$5,Coords[],3,FALSE))^2+(VLOOKUP($G30,Coords[],4,FALSE)-VLOOKUP(AT$5,Coords[],4,FALSE))^2)))</f>
        <v>1000</v>
      </c>
      <c r="AU30" s="10">
        <f>IF($G30=AU$5,1000,IF(AU$4=0,1000,SQRT((VLOOKUP($G30,Coords[],3,FALSE)-VLOOKUP(AU$5,Coords[],3,FALSE))^2+(VLOOKUP($G30,Coords[],4,FALSE)-VLOOKUP(AU$5,Coords[],4,FALSE))^2)))</f>
        <v>1000</v>
      </c>
      <c r="AV30" s="10">
        <f>IF($G30=AV$5,1000,IF(AV$4=0,1000,SQRT((VLOOKUP($G30,Coords[],3,FALSE)-VLOOKUP(AV$5,Coords[],3,FALSE))^2+(VLOOKUP($G30,Coords[],4,FALSE)-VLOOKUP(AV$5,Coords[],4,FALSE))^2)))</f>
        <v>1000</v>
      </c>
      <c r="AW30" s="10">
        <f>IF($G30=AW$5,1000,IF(AW$4=0,1000,SQRT((VLOOKUP($G30,Coords[],3,FALSE)-VLOOKUP(AW$5,Coords[],3,FALSE))^2+(VLOOKUP($G30,Coords[],4,FALSE)-VLOOKUP(AW$5,Coords[],4,FALSE))^2)))</f>
        <v>1000</v>
      </c>
      <c r="AX30" s="10">
        <f>IF($G30=AX$5,1000,IF(AX$4=0,1000,SQRT((VLOOKUP($G30,Coords[],3,FALSE)-VLOOKUP(AX$5,Coords[],3,FALSE))^2+(VLOOKUP($G30,Coords[],4,FALSE)-VLOOKUP(AX$5,Coords[],4,FALSE))^2)))</f>
        <v>1000</v>
      </c>
      <c r="AY30" s="10">
        <f>IF($G30=AY$5,1000,IF(AY$4=0,1000,SQRT((VLOOKUP($G30,Coords[],3,FALSE)-VLOOKUP(AY$5,Coords[],3,FALSE))^2+(VLOOKUP($G30,Coords[],4,FALSE)-VLOOKUP(AY$5,Coords[],4,FALSE))^2)))</f>
        <v>1000</v>
      </c>
      <c r="AZ30" s="10">
        <f>IF($G30=AZ$5,1000,IF(AZ$4=0,1000,SQRT((VLOOKUP($G30,Coords[],3,FALSE)-VLOOKUP(AZ$5,Coords[],3,FALSE))^2+(VLOOKUP($G30,Coords[],4,FALSE)-VLOOKUP(AZ$5,Coords[],4,FALSE))^2)))</f>
        <v>1000</v>
      </c>
      <c r="BA30" s="10">
        <f>IF($G30=BA$5,1000,IF(BA$4=0,1000,SQRT((VLOOKUP($G30,Coords[],3,FALSE)-VLOOKUP(BA$5,Coords[],3,FALSE))^2+(VLOOKUP($G30,Coords[],4,FALSE)-VLOOKUP(BA$5,Coords[],4,FALSE))^2)))</f>
        <v>1000</v>
      </c>
      <c r="BB30" s="10">
        <f>IF($G30=BB$5,1000,IF(BB$4=0,1000,SQRT((VLOOKUP($G30,Coords[],3,FALSE)-VLOOKUP(BB$5,Coords[],3,FALSE))^2+(VLOOKUP($G30,Coords[],4,FALSE)-VLOOKUP(BB$5,Coords[],4,FALSE))^2)))</f>
        <v>1000</v>
      </c>
      <c r="BC30" s="10">
        <f>IF($G30=BC$5,1000,IF(BC$4=0,1000,SQRT((VLOOKUP($G30,Coords[],3,FALSE)-VLOOKUP(BC$5,Coords[],3,FALSE))^2+(VLOOKUP($G30,Coords[],4,FALSE)-VLOOKUP(BC$5,Coords[],4,FALSE))^2)))</f>
        <v>1000</v>
      </c>
      <c r="BD30" s="10">
        <f>IF($G30=BD$5,1000,IF(BD$4=0,1000,SQRT((VLOOKUP($G30,Coords[],3,FALSE)-VLOOKUP(BD$5,Coords[],3,FALSE))^2+(VLOOKUP($G30,Coords[],4,FALSE)-VLOOKUP(BD$5,Coords[],4,FALSE))^2)))</f>
        <v>1000</v>
      </c>
      <c r="BE30" s="10">
        <f>IF($G30=BE$5,1000,IF(BE$4=0,1000,SQRT((VLOOKUP($G30,Coords[],3,FALSE)-VLOOKUP(BE$5,Coords[],3,FALSE))^2+(VLOOKUP($G30,Coords[],4,FALSE)-VLOOKUP(BE$5,Coords[],4,FALSE))^2)))</f>
        <v>1000</v>
      </c>
      <c r="BF30" s="10">
        <f>IF($G30=BF$5,1000,IF(BF$4=0,1000,SQRT((VLOOKUP($G30,Coords[],3,FALSE)-VLOOKUP(BF$5,Coords[],3,FALSE))^2+(VLOOKUP($G30,Coords[],4,FALSE)-VLOOKUP(BF$5,Coords[],4,FALSE))^2)))</f>
        <v>1000</v>
      </c>
      <c r="BG30" s="10">
        <f>IF($G30=BG$5,1000,IF(BG$4=0,1000,SQRT((VLOOKUP($G30,Coords[],3,FALSE)-VLOOKUP(BG$5,Coords[],3,FALSE))^2+(VLOOKUP($G30,Coords[],4,FALSE)-VLOOKUP(BG$5,Coords[],4,FALSE))^2)))</f>
        <v>1000</v>
      </c>
      <c r="BH30" s="10">
        <f>IF($G30=BH$5,1000,IF(BH$4=0,1000,SQRT((VLOOKUP($G30,Coords[],3,FALSE)-VLOOKUP(BH$5,Coords[],3,FALSE))^2+(VLOOKUP($G30,Coords[],4,FALSE)-VLOOKUP(BH$5,Coords[],4,FALSE))^2)))</f>
        <v>1000</v>
      </c>
      <c r="BI30" s="10">
        <f>IF($G30=BI$5,1000,IF(BI$4=0,1000,SQRT((VLOOKUP($G30,Coords[],3,FALSE)-VLOOKUP(BI$5,Coords[],3,FALSE))^2+(VLOOKUP($G30,Coords[],4,FALSE)-VLOOKUP(BI$5,Coords[],4,FALSE))^2)))</f>
        <v>1000</v>
      </c>
      <c r="BJ30" s="10">
        <f>IF($G30=BJ$5,1000,IF(BJ$4=0,1000,SQRT((VLOOKUP($G30,Coords[],3,FALSE)-VLOOKUP(BJ$5,Coords[],3,FALSE))^2+(VLOOKUP($G30,Coords[],4,FALSE)-VLOOKUP(BJ$5,Coords[],4,FALSE))^2)))</f>
        <v>1000</v>
      </c>
      <c r="BK30" s="10">
        <f>IF($G30=BK$5,1000,IF(BK$4=0,1000,SQRT((VLOOKUP($G30,Coords[],3,FALSE)-VLOOKUP(BK$5,Coords[],3,FALSE))^2+(VLOOKUP($G30,Coords[],4,FALSE)-VLOOKUP(BK$5,Coords[],4,FALSE))^2)))</f>
        <v>1000</v>
      </c>
      <c r="BL30" s="10">
        <f>IF($G30=BL$5,1000,IF(BL$4=0,1000,SQRT((VLOOKUP($G30,Coords[],3,FALSE)-VLOOKUP(BL$5,Coords[],3,FALSE))^2+(VLOOKUP($G30,Coords[],4,FALSE)-VLOOKUP(BL$5,Coords[],4,FALSE))^2)))</f>
        <v>1000</v>
      </c>
      <c r="BM30" s="10">
        <f>IF($G30=BM$5,1000,IF(BM$4=0,1000,SQRT((VLOOKUP($G30,Coords[],3,FALSE)-VLOOKUP(BM$5,Coords[],3,FALSE))^2+(VLOOKUP($G30,Coords[],4,FALSE)-VLOOKUP(BM$5,Coords[],4,FALSE))^2)))</f>
        <v>1000</v>
      </c>
      <c r="BN30" s="10">
        <f>IF($G30=BN$5,1000,IF(BN$4=0,1000,SQRT((VLOOKUP($G30,Coords[],3,FALSE)-VLOOKUP(BN$5,Coords[],3,FALSE))^2+(VLOOKUP($G30,Coords[],4,FALSE)-VLOOKUP(BN$5,Coords[],4,FALSE))^2)))</f>
        <v>1000</v>
      </c>
      <c r="BO30" s="10">
        <f>IF($G30=BO$5,1000,IF(BO$4=0,1000,SQRT((VLOOKUP($G30,Coords[],3,FALSE)-VLOOKUP(BO$5,Coords[],3,FALSE))^2+(VLOOKUP($G30,Coords[],4,FALSE)-VLOOKUP(BO$5,Coords[],4,FALSE))^2)))</f>
        <v>1000</v>
      </c>
      <c r="BP30" s="10">
        <f>IF($G30=BP$5,1000,IF(BP$4=0,1000,SQRT((VLOOKUP($G30,Coords[],3,FALSE)-VLOOKUP(BP$5,Coords[],3,FALSE))^2+(VLOOKUP($G30,Coords[],4,FALSE)-VLOOKUP(BP$5,Coords[],4,FALSE))^2)))</f>
        <v>1000</v>
      </c>
      <c r="BQ30" s="10">
        <f>IF($G30=BQ$5,1000,IF(BQ$4=0,1000,SQRT((VLOOKUP($G30,Coords[],3,FALSE)-VLOOKUP(BQ$5,Coords[],3,FALSE))^2+(VLOOKUP($G30,Coords[],4,FALSE)-VLOOKUP(BQ$5,Coords[],4,FALSE))^2)))</f>
        <v>1000</v>
      </c>
      <c r="BR30" s="10">
        <f>IF($G30=BR$5,1000,IF(BR$4=0,1000,SQRT((VLOOKUP($G30,Coords[],3,FALSE)-VLOOKUP(BR$5,Coords[],3,FALSE))^2+(VLOOKUP($G30,Coords[],4,FALSE)-VLOOKUP(BR$5,Coords[],4,FALSE))^2)))</f>
        <v>1000</v>
      </c>
      <c r="BS30" s="10">
        <f>IF($G30=BS$5,1000,IF(BS$4=0,1000,SQRT((VLOOKUP($G30,Coords[],3,FALSE)-VLOOKUP(BS$5,Coords[],3,FALSE))^2+(VLOOKUP($G30,Coords[],4,FALSE)-VLOOKUP(BS$5,Coords[],4,FALSE))^2)))</f>
        <v>1000</v>
      </c>
      <c r="BT30" s="10">
        <f>IF($G30=BT$5,1000,IF(BT$4=0,1000,SQRT((VLOOKUP($G30,Coords[],3,FALSE)-VLOOKUP(BT$5,Coords[],3,FALSE))^2+(VLOOKUP($G30,Coords[],4,FALSE)-VLOOKUP(BT$5,Coords[],4,FALSE))^2)))</f>
        <v>1000</v>
      </c>
      <c r="BU30" s="10">
        <f>IF($G30=BU$5,1000,IF(BU$4=0,1000,SQRT((VLOOKUP($G30,Coords[],3,FALSE)-VLOOKUP(BU$5,Coords[],3,FALSE))^2+(VLOOKUP($G30,Coords[],4,FALSE)-VLOOKUP(BU$5,Coords[],4,FALSE))^2)))</f>
        <v>1000</v>
      </c>
      <c r="BV30" s="10">
        <f>IF($G30=BV$5,1000,IF(BV$4=0,1000,SQRT((VLOOKUP($G30,Coords[],3,FALSE)-VLOOKUP(BV$5,Coords[],3,FALSE))^2+(VLOOKUP($G30,Coords[],4,FALSE)-VLOOKUP(BV$5,Coords[],4,FALSE))^2)))</f>
        <v>1000</v>
      </c>
      <c r="BW30" s="10">
        <f>IF($G30=BW$5,1000,IF(BW$4=0,1000,SQRT((VLOOKUP($G30,Coords[],3,FALSE)-VLOOKUP(BW$5,Coords[],3,FALSE))^2+(VLOOKUP($G30,Coords[],4,FALSE)-VLOOKUP(BW$5,Coords[],4,FALSE))^2)))</f>
        <v>1000</v>
      </c>
      <c r="BX30" s="10">
        <f>IF($G30=BX$5,1000,IF(BX$4=0,1000,SQRT((VLOOKUP($G30,Coords[],3,FALSE)-VLOOKUP(BX$5,Coords[],3,FALSE))^2+(VLOOKUP($G30,Coords[],4,FALSE)-VLOOKUP(BX$5,Coords[],4,FALSE))^2)))</f>
        <v>1000</v>
      </c>
      <c r="BY30" s="10">
        <f>IF($G30=BY$5,1000,IF(BY$4=0,1000,SQRT((VLOOKUP($G30,Coords[],3,FALSE)-VLOOKUP(BY$5,Coords[],3,FALSE))^2+(VLOOKUP($G30,Coords[],4,FALSE)-VLOOKUP(BY$5,Coords[],4,FALSE))^2)))</f>
        <v>1000</v>
      </c>
      <c r="BZ30" s="10">
        <f>IF($G30=BZ$5,1000,IF(BZ$4=0,1000,SQRT((VLOOKUP($G30,Coords[],3,FALSE)-VLOOKUP(BZ$5,Coords[],3,FALSE))^2+(VLOOKUP($G30,Coords[],4,FALSE)-VLOOKUP(BZ$5,Coords[],4,FALSE))^2)))</f>
        <v>1000</v>
      </c>
      <c r="CA30" s="10">
        <f>IF($G30=CA$5,1000,IF(CA$4=0,1000,SQRT((VLOOKUP($G30,Coords[],3,FALSE)-VLOOKUP(CA$5,Coords[],3,FALSE))^2+(VLOOKUP($G30,Coords[],4,FALSE)-VLOOKUP(CA$5,Coords[],4,FALSE))^2)))</f>
        <v>1000</v>
      </c>
      <c r="CB30" s="10">
        <f>IF($G30=CB$5,1000,IF(CB$4=0,1000,SQRT((VLOOKUP($G30,Coords[],3,FALSE)-VLOOKUP(CB$5,Coords[],3,FALSE))^2+(VLOOKUP($G30,Coords[],4,FALSE)-VLOOKUP(CB$5,Coords[],4,FALSE))^2)))</f>
        <v>1000</v>
      </c>
      <c r="CC30" s="10">
        <f>IF($G30=CC$5,1000,IF(CC$4=0,1000,SQRT((VLOOKUP($G30,Coords[],3,FALSE)-VLOOKUP(CC$5,Coords[],3,FALSE))^2+(VLOOKUP($G30,Coords[],4,FALSE)-VLOOKUP(CC$5,Coords[],4,FALSE))^2)))</f>
        <v>1000</v>
      </c>
      <c r="CD30" s="10">
        <f>IF($G30=CD$5,1000,IF(CD$4=0,1000,SQRT((VLOOKUP($G30,Coords[],3,FALSE)-VLOOKUP(CD$5,Coords[],3,FALSE))^2+(VLOOKUP($G30,Coords[],4,FALSE)-VLOOKUP(CD$5,Coords[],4,FALSE))^2)))</f>
        <v>1000</v>
      </c>
      <c r="CE30" s="10">
        <f>IF($G30=CE$5,1000,IF(CE$4=0,1000,SQRT((VLOOKUP($G30,Coords[],3,FALSE)-VLOOKUP(CE$5,Coords[],3,FALSE))^2+(VLOOKUP($G30,Coords[],4,FALSE)-VLOOKUP(CE$5,Coords[],4,FALSE))^2)))</f>
        <v>1000</v>
      </c>
      <c r="CF30" s="4">
        <v>25</v>
      </c>
      <c r="CH30" s="5">
        <f>IF(E30=1,0,VLOOKUP($G30,$G$6:$CE$82,HLOOKUP(MIN(H30:CE30),$H30:$CE$82,((COUNT($G$6:$G$81)+2)-$G30),FALSE)+1,FALSE)*B30)</f>
        <v>0</v>
      </c>
      <c r="CI30" s="9">
        <f>VLOOKUP($G30,$G$6:$CE$82,HLOOKUP(MIN(H30:CE30),$H30:$CE$82,((COUNT($G$6:$G$81)+2)-$G30),FALSE)+1,FALSE)</f>
        <v>1000</v>
      </c>
      <c r="CJ30" s="7">
        <f>HLOOKUP(MIN(H30:CE30),$H30:$CE$82,((COUNT($G$6:$G$81)+2)-$G30),FALSE)</f>
        <v>1</v>
      </c>
      <c r="CK30">
        <f>CI30*Coords[[#This Row],[Demand]]</f>
        <v>0</v>
      </c>
    </row>
    <row r="31" spans="1:89" x14ac:dyDescent="0.25">
      <c r="A31" s="8">
        <v>26</v>
      </c>
      <c r="B31" s="3"/>
      <c r="C31" s="3"/>
      <c r="D31" s="3"/>
      <c r="E31" s="3"/>
      <c r="G31" s="4">
        <v>26</v>
      </c>
      <c r="H31" s="10">
        <f>IF($G31=H$5,1000,IF(H$4=0,1000,SQRT((VLOOKUP($G31,Coords[],3,FALSE)-VLOOKUP(H$5,Coords[],3,FALSE))^2+(VLOOKUP($G31,Coords[],4,FALSE)-VLOOKUP(H$5,Coords[],4,FALSE))^2)))</f>
        <v>1000</v>
      </c>
      <c r="I31" s="10">
        <f>IF($G31=I$5,1000,IF(I$4=0,1000,SQRT((VLOOKUP($G31,Coords[],3,FALSE)-VLOOKUP(I$5,Coords[],3,FALSE))^2+(VLOOKUP($G31,Coords[],4,FALSE)-VLOOKUP(I$5,Coords[],4,FALSE))^2)))</f>
        <v>1000</v>
      </c>
      <c r="J31" s="10">
        <f>IF($G31=J$5,1000,IF(J$4=0,1000,SQRT((VLOOKUP($G31,Coords[],3,FALSE)-VLOOKUP(J$5,Coords[],3,FALSE))^2+(VLOOKUP($G31,Coords[],4,FALSE)-VLOOKUP(J$5,Coords[],4,FALSE))^2)))</f>
        <v>1000</v>
      </c>
      <c r="K31" s="10">
        <f>IF($G31=K$5,1000,IF(K$4=0,1000,SQRT((VLOOKUP($G31,Coords[],3,FALSE)-VLOOKUP(K$5,Coords[],3,FALSE))^2+(VLOOKUP($G31,Coords[],4,FALSE)-VLOOKUP(K$5,Coords[],4,FALSE))^2)))</f>
        <v>1000</v>
      </c>
      <c r="L31" s="10">
        <f>IF($G31=L$5,1000,IF(L$4=0,1000,SQRT((VLOOKUP($G31,Coords[],3,FALSE)-VLOOKUP(L$5,Coords[],3,FALSE))^2+(VLOOKUP($G31,Coords[],4,FALSE)-VLOOKUP(L$5,Coords[],4,FALSE))^2)))</f>
        <v>1000</v>
      </c>
      <c r="M31" s="10">
        <f>IF($G31=M$5,1000,IF(M$4=0,1000,SQRT((VLOOKUP($G31,Coords[],3,FALSE)-VLOOKUP(M$5,Coords[],3,FALSE))^2+(VLOOKUP($G31,Coords[],4,FALSE)-VLOOKUP(M$5,Coords[],4,FALSE))^2)))</f>
        <v>1000</v>
      </c>
      <c r="N31" s="10">
        <f>IF($G31=N$5,1000,IF(N$4=0,1000,SQRT((VLOOKUP($G31,Coords[],3,FALSE)-VLOOKUP(N$5,Coords[],3,FALSE))^2+(VLOOKUP($G31,Coords[],4,FALSE)-VLOOKUP(N$5,Coords[],4,FALSE))^2)))</f>
        <v>1000</v>
      </c>
      <c r="O31" s="10">
        <f>IF($G31=O$5,1000,IF(O$4=0,1000,SQRT((VLOOKUP($G31,Coords[],3,FALSE)-VLOOKUP(O$5,Coords[],3,FALSE))^2+(VLOOKUP($G31,Coords[],4,FALSE)-VLOOKUP(O$5,Coords[],4,FALSE))^2)))</f>
        <v>1000</v>
      </c>
      <c r="P31" s="10">
        <f>IF($G31=P$5,1000,IF(P$4=0,1000,SQRT((VLOOKUP($G31,Coords[],3,FALSE)-VLOOKUP(P$5,Coords[],3,FALSE))^2+(VLOOKUP($G31,Coords[],4,FALSE)-VLOOKUP(P$5,Coords[],4,FALSE))^2)))</f>
        <v>1000</v>
      </c>
      <c r="Q31" s="10">
        <f>IF($G31=Q$5,1000,IF(Q$4=0,1000,SQRT((VLOOKUP($G31,Coords[],3,FALSE)-VLOOKUP(Q$5,Coords[],3,FALSE))^2+(VLOOKUP($G31,Coords[],4,FALSE)-VLOOKUP(Q$5,Coords[],4,FALSE))^2)))</f>
        <v>1000</v>
      </c>
      <c r="R31" s="10">
        <f>IF($G31=R$5,1000,IF(R$4=0,1000,SQRT((VLOOKUP($G31,Coords[],3,FALSE)-VLOOKUP(R$5,Coords[],3,FALSE))^2+(VLOOKUP($G31,Coords[],4,FALSE)-VLOOKUP(R$5,Coords[],4,FALSE))^2)))</f>
        <v>1000</v>
      </c>
      <c r="S31" s="10">
        <f>IF($G31=S$5,1000,IF(S$4=0,1000,SQRT((VLOOKUP($G31,Coords[],3,FALSE)-VLOOKUP(S$5,Coords[],3,FALSE))^2+(VLOOKUP($G31,Coords[],4,FALSE)-VLOOKUP(S$5,Coords[],4,FALSE))^2)))</f>
        <v>1000</v>
      </c>
      <c r="T31" s="10">
        <f>IF($G31=T$5,1000,IF(T$4=0,1000,SQRT((VLOOKUP($G31,Coords[],3,FALSE)-VLOOKUP(T$5,Coords[],3,FALSE))^2+(VLOOKUP($G31,Coords[],4,FALSE)-VLOOKUP(T$5,Coords[],4,FALSE))^2)))</f>
        <v>1000</v>
      </c>
      <c r="U31" s="10">
        <f>IF($G31=U$5,1000,IF(U$4=0,1000,SQRT((VLOOKUP($G31,Coords[],3,FALSE)-VLOOKUP(U$5,Coords[],3,FALSE))^2+(VLOOKUP($G31,Coords[],4,FALSE)-VLOOKUP(U$5,Coords[],4,FALSE))^2)))</f>
        <v>1000</v>
      </c>
      <c r="V31" s="10">
        <f>IF($G31=V$5,1000,IF(V$4=0,1000,SQRT((VLOOKUP($G31,Coords[],3,FALSE)-VLOOKUP(V$5,Coords[],3,FALSE))^2+(VLOOKUP($G31,Coords[],4,FALSE)-VLOOKUP(V$5,Coords[],4,FALSE))^2)))</f>
        <v>1000</v>
      </c>
      <c r="W31" s="10">
        <f>IF($G31=W$5,1000,IF(W$4=0,1000,SQRT((VLOOKUP($G31,Coords[],3,FALSE)-VLOOKUP(W$5,Coords[],3,FALSE))^2+(VLOOKUP($G31,Coords[],4,FALSE)-VLOOKUP(W$5,Coords[],4,FALSE))^2)))</f>
        <v>1000</v>
      </c>
      <c r="X31" s="10">
        <f>IF($G31=X$5,1000,IF(X$4=0,1000,SQRT((VLOOKUP($G31,Coords[],3,FALSE)-VLOOKUP(X$5,Coords[],3,FALSE))^2+(VLOOKUP($G31,Coords[],4,FALSE)-VLOOKUP(X$5,Coords[],4,FALSE))^2)))</f>
        <v>1000</v>
      </c>
      <c r="Y31" s="10">
        <f>IF($G31=Y$5,1000,IF(Y$4=0,1000,SQRT((VLOOKUP($G31,Coords[],3,FALSE)-VLOOKUP(Y$5,Coords[],3,FALSE))^2+(VLOOKUP($G31,Coords[],4,FALSE)-VLOOKUP(Y$5,Coords[],4,FALSE))^2)))</f>
        <v>1000</v>
      </c>
      <c r="Z31" s="10">
        <f>IF($G31=Z$5,1000,IF(Z$4=0,1000,SQRT((VLOOKUP($G31,Coords[],3,FALSE)-VLOOKUP(Z$5,Coords[],3,FALSE))^2+(VLOOKUP($G31,Coords[],4,FALSE)-VLOOKUP(Z$5,Coords[],4,FALSE))^2)))</f>
        <v>1000</v>
      </c>
      <c r="AA31" s="10">
        <f>IF($G31=AA$5,1000,IF(AA$4=0,1000,SQRT((VLOOKUP($G31,Coords[],3,FALSE)-VLOOKUP(AA$5,Coords[],3,FALSE))^2+(VLOOKUP($G31,Coords[],4,FALSE)-VLOOKUP(AA$5,Coords[],4,FALSE))^2)))</f>
        <v>1000</v>
      </c>
      <c r="AB31" s="10">
        <f>IF($G31=AB$5,1000,IF(AB$4=0,1000,SQRT((VLOOKUP($G31,Coords[],3,FALSE)-VLOOKUP(AB$5,Coords[],3,FALSE))^2+(VLOOKUP($G31,Coords[],4,FALSE)-VLOOKUP(AB$5,Coords[],4,FALSE))^2)))</f>
        <v>1000</v>
      </c>
      <c r="AC31" s="10">
        <f>IF($G31=AC$5,1000,IF(AC$4=0,1000,SQRT((VLOOKUP($G31,Coords[],3,FALSE)-VLOOKUP(AC$5,Coords[],3,FALSE))^2+(VLOOKUP($G31,Coords[],4,FALSE)-VLOOKUP(AC$5,Coords[],4,FALSE))^2)))</f>
        <v>1000</v>
      </c>
      <c r="AD31" s="10">
        <f>IF($G31=AD$5,1000,IF(AD$4=0,1000,SQRT((VLOOKUP($G31,Coords[],3,FALSE)-VLOOKUP(AD$5,Coords[],3,FALSE))^2+(VLOOKUP($G31,Coords[],4,FALSE)-VLOOKUP(AD$5,Coords[],4,FALSE))^2)))</f>
        <v>1000</v>
      </c>
      <c r="AE31" s="10">
        <f>IF($G31=AE$5,1000,IF(AE$4=0,1000,SQRT((VLOOKUP($G31,Coords[],3,FALSE)-VLOOKUP(AE$5,Coords[],3,FALSE))^2+(VLOOKUP($G31,Coords[],4,FALSE)-VLOOKUP(AE$5,Coords[],4,FALSE))^2)))</f>
        <v>1000</v>
      </c>
      <c r="AF31" s="10">
        <f>IF($G31=AF$5,1000,IF(AF$4=0,1000,SQRT((VLOOKUP($G31,Coords[],3,FALSE)-VLOOKUP(AF$5,Coords[],3,FALSE))^2+(VLOOKUP($G31,Coords[],4,FALSE)-VLOOKUP(AF$5,Coords[],4,FALSE))^2)))</f>
        <v>1000</v>
      </c>
      <c r="AG31" s="10">
        <f>IF($G31=AG$5,1000,IF(AG$4=0,1000,SQRT((VLOOKUP($G31,Coords[],3,FALSE)-VLOOKUP(AG$5,Coords[],3,FALSE))^2+(VLOOKUP($G31,Coords[],4,FALSE)-VLOOKUP(AG$5,Coords[],4,FALSE))^2)))</f>
        <v>1000</v>
      </c>
      <c r="AH31" s="10">
        <f>IF($G31=AH$5,1000,IF(AH$4=0,1000,SQRT((VLOOKUP($G31,Coords[],3,FALSE)-VLOOKUP(AH$5,Coords[],3,FALSE))^2+(VLOOKUP($G31,Coords[],4,FALSE)-VLOOKUP(AH$5,Coords[],4,FALSE))^2)))</f>
        <v>1000</v>
      </c>
      <c r="AI31" s="10">
        <f>IF($G31=AI$5,1000,IF(AI$4=0,1000,SQRT((VLOOKUP($G31,Coords[],3,FALSE)-VLOOKUP(AI$5,Coords[],3,FALSE))^2+(VLOOKUP($G31,Coords[],4,FALSE)-VLOOKUP(AI$5,Coords[],4,FALSE))^2)))</f>
        <v>1000</v>
      </c>
      <c r="AJ31" s="10">
        <f>IF($G31=AJ$5,1000,IF(AJ$4=0,1000,SQRT((VLOOKUP($G31,Coords[],3,FALSE)-VLOOKUP(AJ$5,Coords[],3,FALSE))^2+(VLOOKUP($G31,Coords[],4,FALSE)-VLOOKUP(AJ$5,Coords[],4,FALSE))^2)))</f>
        <v>1000</v>
      </c>
      <c r="AK31" s="10">
        <f>IF($G31=AK$5,1000,IF(AK$4=0,1000,SQRT((VLOOKUP($G31,Coords[],3,FALSE)-VLOOKUP(AK$5,Coords[],3,FALSE))^2+(VLOOKUP($G31,Coords[],4,FALSE)-VLOOKUP(AK$5,Coords[],4,FALSE))^2)))</f>
        <v>1000</v>
      </c>
      <c r="AL31" s="10">
        <f>IF($G31=AL$5,1000,IF(AL$4=0,1000,SQRT((VLOOKUP($G31,Coords[],3,FALSE)-VLOOKUP(AL$5,Coords[],3,FALSE))^2+(VLOOKUP($G31,Coords[],4,FALSE)-VLOOKUP(AL$5,Coords[],4,FALSE))^2)))</f>
        <v>1000</v>
      </c>
      <c r="AM31" s="10">
        <f>IF($G31=AM$5,1000,IF(AM$4=0,1000,SQRT((VLOOKUP($G31,Coords[],3,FALSE)-VLOOKUP(AM$5,Coords[],3,FALSE))^2+(VLOOKUP($G31,Coords[],4,FALSE)-VLOOKUP(AM$5,Coords[],4,FALSE))^2)))</f>
        <v>1000</v>
      </c>
      <c r="AN31" s="10">
        <f>IF($G31=AN$5,1000,IF(AN$4=0,1000,SQRT((VLOOKUP($G31,Coords[],3,FALSE)-VLOOKUP(AN$5,Coords[],3,FALSE))^2+(VLOOKUP($G31,Coords[],4,FALSE)-VLOOKUP(AN$5,Coords[],4,FALSE))^2)))</f>
        <v>1000</v>
      </c>
      <c r="AO31" s="10">
        <f>IF($G31=AO$5,1000,IF(AO$4=0,1000,SQRT((VLOOKUP($G31,Coords[],3,FALSE)-VLOOKUP(AO$5,Coords[],3,FALSE))^2+(VLOOKUP($G31,Coords[],4,FALSE)-VLOOKUP(AO$5,Coords[],4,FALSE))^2)))</f>
        <v>1000</v>
      </c>
      <c r="AP31" s="10">
        <f>IF($G31=AP$5,1000,IF(AP$4=0,1000,SQRT((VLOOKUP($G31,Coords[],3,FALSE)-VLOOKUP(AP$5,Coords[],3,FALSE))^2+(VLOOKUP($G31,Coords[],4,FALSE)-VLOOKUP(AP$5,Coords[],4,FALSE))^2)))</f>
        <v>1000</v>
      </c>
      <c r="AQ31" s="10">
        <f>IF($G31=AQ$5,1000,IF(AQ$4=0,1000,SQRT((VLOOKUP($G31,Coords[],3,FALSE)-VLOOKUP(AQ$5,Coords[],3,FALSE))^2+(VLOOKUP($G31,Coords[],4,FALSE)-VLOOKUP(AQ$5,Coords[],4,FALSE))^2)))</f>
        <v>1000</v>
      </c>
      <c r="AR31" s="10">
        <f>IF($G31=AR$5,1000,IF(AR$4=0,1000,SQRT((VLOOKUP($G31,Coords[],3,FALSE)-VLOOKUP(AR$5,Coords[],3,FALSE))^2+(VLOOKUP($G31,Coords[],4,FALSE)-VLOOKUP(AR$5,Coords[],4,FALSE))^2)))</f>
        <v>1000</v>
      </c>
      <c r="AS31" s="10">
        <f>IF($G31=AS$5,1000,IF(AS$4=0,1000,SQRT((VLOOKUP($G31,Coords[],3,FALSE)-VLOOKUP(AS$5,Coords[],3,FALSE))^2+(VLOOKUP($G31,Coords[],4,FALSE)-VLOOKUP(AS$5,Coords[],4,FALSE))^2)))</f>
        <v>1000</v>
      </c>
      <c r="AT31" s="10">
        <f>IF($G31=AT$5,1000,IF(AT$4=0,1000,SQRT((VLOOKUP($G31,Coords[],3,FALSE)-VLOOKUP(AT$5,Coords[],3,FALSE))^2+(VLOOKUP($G31,Coords[],4,FALSE)-VLOOKUP(AT$5,Coords[],4,FALSE))^2)))</f>
        <v>1000</v>
      </c>
      <c r="AU31" s="10">
        <f>IF($G31=AU$5,1000,IF(AU$4=0,1000,SQRT((VLOOKUP($G31,Coords[],3,FALSE)-VLOOKUP(AU$5,Coords[],3,FALSE))^2+(VLOOKUP($G31,Coords[],4,FALSE)-VLOOKUP(AU$5,Coords[],4,FALSE))^2)))</f>
        <v>1000</v>
      </c>
      <c r="AV31" s="10">
        <f>IF($G31=AV$5,1000,IF(AV$4=0,1000,SQRT((VLOOKUP($G31,Coords[],3,FALSE)-VLOOKUP(AV$5,Coords[],3,FALSE))^2+(VLOOKUP($G31,Coords[],4,FALSE)-VLOOKUP(AV$5,Coords[],4,FALSE))^2)))</f>
        <v>1000</v>
      </c>
      <c r="AW31" s="10">
        <f>IF($G31=AW$5,1000,IF(AW$4=0,1000,SQRT((VLOOKUP($G31,Coords[],3,FALSE)-VLOOKUP(AW$5,Coords[],3,FALSE))^2+(VLOOKUP($G31,Coords[],4,FALSE)-VLOOKUP(AW$5,Coords[],4,FALSE))^2)))</f>
        <v>1000</v>
      </c>
      <c r="AX31" s="10">
        <f>IF($G31=AX$5,1000,IF(AX$4=0,1000,SQRT((VLOOKUP($G31,Coords[],3,FALSE)-VLOOKUP(AX$5,Coords[],3,FALSE))^2+(VLOOKUP($G31,Coords[],4,FALSE)-VLOOKUP(AX$5,Coords[],4,FALSE))^2)))</f>
        <v>1000</v>
      </c>
      <c r="AY31" s="10">
        <f>IF($G31=AY$5,1000,IF(AY$4=0,1000,SQRT((VLOOKUP($G31,Coords[],3,FALSE)-VLOOKUP(AY$5,Coords[],3,FALSE))^2+(VLOOKUP($G31,Coords[],4,FALSE)-VLOOKUP(AY$5,Coords[],4,FALSE))^2)))</f>
        <v>1000</v>
      </c>
      <c r="AZ31" s="10">
        <f>IF($G31=AZ$5,1000,IF(AZ$4=0,1000,SQRT((VLOOKUP($G31,Coords[],3,FALSE)-VLOOKUP(AZ$5,Coords[],3,FALSE))^2+(VLOOKUP($G31,Coords[],4,FALSE)-VLOOKUP(AZ$5,Coords[],4,FALSE))^2)))</f>
        <v>1000</v>
      </c>
      <c r="BA31" s="10">
        <f>IF($G31=BA$5,1000,IF(BA$4=0,1000,SQRT((VLOOKUP($G31,Coords[],3,FALSE)-VLOOKUP(BA$5,Coords[],3,FALSE))^2+(VLOOKUP($G31,Coords[],4,FALSE)-VLOOKUP(BA$5,Coords[],4,FALSE))^2)))</f>
        <v>1000</v>
      </c>
      <c r="BB31" s="10">
        <f>IF($G31=BB$5,1000,IF(BB$4=0,1000,SQRT((VLOOKUP($G31,Coords[],3,FALSE)-VLOOKUP(BB$5,Coords[],3,FALSE))^2+(VLOOKUP($G31,Coords[],4,FALSE)-VLOOKUP(BB$5,Coords[],4,FALSE))^2)))</f>
        <v>1000</v>
      </c>
      <c r="BC31" s="10">
        <f>IF($G31=BC$5,1000,IF(BC$4=0,1000,SQRT((VLOOKUP($G31,Coords[],3,FALSE)-VLOOKUP(BC$5,Coords[],3,FALSE))^2+(VLOOKUP($G31,Coords[],4,FALSE)-VLOOKUP(BC$5,Coords[],4,FALSE))^2)))</f>
        <v>1000</v>
      </c>
      <c r="BD31" s="10">
        <f>IF($G31=BD$5,1000,IF(BD$4=0,1000,SQRT((VLOOKUP($G31,Coords[],3,FALSE)-VLOOKUP(BD$5,Coords[],3,FALSE))^2+(VLOOKUP($G31,Coords[],4,FALSE)-VLOOKUP(BD$5,Coords[],4,FALSE))^2)))</f>
        <v>1000</v>
      </c>
      <c r="BE31" s="10">
        <f>IF($G31=BE$5,1000,IF(BE$4=0,1000,SQRT((VLOOKUP($G31,Coords[],3,FALSE)-VLOOKUP(BE$5,Coords[],3,FALSE))^2+(VLOOKUP($G31,Coords[],4,FALSE)-VLOOKUP(BE$5,Coords[],4,FALSE))^2)))</f>
        <v>1000</v>
      </c>
      <c r="BF31" s="10">
        <f>IF($G31=BF$5,1000,IF(BF$4=0,1000,SQRT((VLOOKUP($G31,Coords[],3,FALSE)-VLOOKUP(BF$5,Coords[],3,FALSE))^2+(VLOOKUP($G31,Coords[],4,FALSE)-VLOOKUP(BF$5,Coords[],4,FALSE))^2)))</f>
        <v>1000</v>
      </c>
      <c r="BG31" s="10">
        <f>IF($G31=BG$5,1000,IF(BG$4=0,1000,SQRT((VLOOKUP($G31,Coords[],3,FALSE)-VLOOKUP(BG$5,Coords[],3,FALSE))^2+(VLOOKUP($G31,Coords[],4,FALSE)-VLOOKUP(BG$5,Coords[],4,FALSE))^2)))</f>
        <v>1000</v>
      </c>
      <c r="BH31" s="10">
        <f>IF($G31=BH$5,1000,IF(BH$4=0,1000,SQRT((VLOOKUP($G31,Coords[],3,FALSE)-VLOOKUP(BH$5,Coords[],3,FALSE))^2+(VLOOKUP($G31,Coords[],4,FALSE)-VLOOKUP(BH$5,Coords[],4,FALSE))^2)))</f>
        <v>1000</v>
      </c>
      <c r="BI31" s="10">
        <f>IF($G31=BI$5,1000,IF(BI$4=0,1000,SQRT((VLOOKUP($G31,Coords[],3,FALSE)-VLOOKUP(BI$5,Coords[],3,FALSE))^2+(VLOOKUP($G31,Coords[],4,FALSE)-VLOOKUP(BI$5,Coords[],4,FALSE))^2)))</f>
        <v>1000</v>
      </c>
      <c r="BJ31" s="10">
        <f>IF($G31=BJ$5,1000,IF(BJ$4=0,1000,SQRT((VLOOKUP($G31,Coords[],3,FALSE)-VLOOKUP(BJ$5,Coords[],3,FALSE))^2+(VLOOKUP($G31,Coords[],4,FALSE)-VLOOKUP(BJ$5,Coords[],4,FALSE))^2)))</f>
        <v>1000</v>
      </c>
      <c r="BK31" s="10">
        <f>IF($G31=BK$5,1000,IF(BK$4=0,1000,SQRT((VLOOKUP($G31,Coords[],3,FALSE)-VLOOKUP(BK$5,Coords[],3,FALSE))^2+(VLOOKUP($G31,Coords[],4,FALSE)-VLOOKUP(BK$5,Coords[],4,FALSE))^2)))</f>
        <v>1000</v>
      </c>
      <c r="BL31" s="10">
        <f>IF($G31=BL$5,1000,IF(BL$4=0,1000,SQRT((VLOOKUP($G31,Coords[],3,FALSE)-VLOOKUP(BL$5,Coords[],3,FALSE))^2+(VLOOKUP($G31,Coords[],4,FALSE)-VLOOKUP(BL$5,Coords[],4,FALSE))^2)))</f>
        <v>1000</v>
      </c>
      <c r="BM31" s="10">
        <f>IF($G31=BM$5,1000,IF(BM$4=0,1000,SQRT((VLOOKUP($G31,Coords[],3,FALSE)-VLOOKUP(BM$5,Coords[],3,FALSE))^2+(VLOOKUP($G31,Coords[],4,FALSE)-VLOOKUP(BM$5,Coords[],4,FALSE))^2)))</f>
        <v>1000</v>
      </c>
      <c r="BN31" s="10">
        <f>IF($G31=BN$5,1000,IF(BN$4=0,1000,SQRT((VLOOKUP($G31,Coords[],3,FALSE)-VLOOKUP(BN$5,Coords[],3,FALSE))^2+(VLOOKUP($G31,Coords[],4,FALSE)-VLOOKUP(BN$5,Coords[],4,FALSE))^2)))</f>
        <v>1000</v>
      </c>
      <c r="BO31" s="10">
        <f>IF($G31=BO$5,1000,IF(BO$4=0,1000,SQRT((VLOOKUP($G31,Coords[],3,FALSE)-VLOOKUP(BO$5,Coords[],3,FALSE))^2+(VLOOKUP($G31,Coords[],4,FALSE)-VLOOKUP(BO$5,Coords[],4,FALSE))^2)))</f>
        <v>1000</v>
      </c>
      <c r="BP31" s="10">
        <f>IF($G31=BP$5,1000,IF(BP$4=0,1000,SQRT((VLOOKUP($G31,Coords[],3,FALSE)-VLOOKUP(BP$5,Coords[],3,FALSE))^2+(VLOOKUP($G31,Coords[],4,FALSE)-VLOOKUP(BP$5,Coords[],4,FALSE))^2)))</f>
        <v>1000</v>
      </c>
      <c r="BQ31" s="10">
        <f>IF($G31=BQ$5,1000,IF(BQ$4=0,1000,SQRT((VLOOKUP($G31,Coords[],3,FALSE)-VLOOKUP(BQ$5,Coords[],3,FALSE))^2+(VLOOKUP($G31,Coords[],4,FALSE)-VLOOKUP(BQ$5,Coords[],4,FALSE))^2)))</f>
        <v>1000</v>
      </c>
      <c r="BR31" s="10">
        <f>IF($G31=BR$5,1000,IF(BR$4=0,1000,SQRT((VLOOKUP($G31,Coords[],3,FALSE)-VLOOKUP(BR$5,Coords[],3,FALSE))^2+(VLOOKUP($G31,Coords[],4,FALSE)-VLOOKUP(BR$5,Coords[],4,FALSE))^2)))</f>
        <v>1000</v>
      </c>
      <c r="BS31" s="10">
        <f>IF($G31=BS$5,1000,IF(BS$4=0,1000,SQRT((VLOOKUP($G31,Coords[],3,FALSE)-VLOOKUP(BS$5,Coords[],3,FALSE))^2+(VLOOKUP($G31,Coords[],4,FALSE)-VLOOKUP(BS$5,Coords[],4,FALSE))^2)))</f>
        <v>1000</v>
      </c>
      <c r="BT31" s="10">
        <f>IF($G31=BT$5,1000,IF(BT$4=0,1000,SQRT((VLOOKUP($G31,Coords[],3,FALSE)-VLOOKUP(BT$5,Coords[],3,FALSE))^2+(VLOOKUP($G31,Coords[],4,FALSE)-VLOOKUP(BT$5,Coords[],4,FALSE))^2)))</f>
        <v>1000</v>
      </c>
      <c r="BU31" s="10">
        <f>IF($G31=BU$5,1000,IF(BU$4=0,1000,SQRT((VLOOKUP($G31,Coords[],3,FALSE)-VLOOKUP(BU$5,Coords[],3,FALSE))^2+(VLOOKUP($G31,Coords[],4,FALSE)-VLOOKUP(BU$5,Coords[],4,FALSE))^2)))</f>
        <v>1000</v>
      </c>
      <c r="BV31" s="10">
        <f>IF($G31=BV$5,1000,IF(BV$4=0,1000,SQRT((VLOOKUP($G31,Coords[],3,FALSE)-VLOOKUP(BV$5,Coords[],3,FALSE))^2+(VLOOKUP($G31,Coords[],4,FALSE)-VLOOKUP(BV$5,Coords[],4,FALSE))^2)))</f>
        <v>1000</v>
      </c>
      <c r="BW31" s="10">
        <f>IF($G31=BW$5,1000,IF(BW$4=0,1000,SQRT((VLOOKUP($G31,Coords[],3,FALSE)-VLOOKUP(BW$5,Coords[],3,FALSE))^2+(VLOOKUP($G31,Coords[],4,FALSE)-VLOOKUP(BW$5,Coords[],4,FALSE))^2)))</f>
        <v>1000</v>
      </c>
      <c r="BX31" s="10">
        <f>IF($G31=BX$5,1000,IF(BX$4=0,1000,SQRT((VLOOKUP($G31,Coords[],3,FALSE)-VLOOKUP(BX$5,Coords[],3,FALSE))^2+(VLOOKUP($G31,Coords[],4,FALSE)-VLOOKUP(BX$5,Coords[],4,FALSE))^2)))</f>
        <v>1000</v>
      </c>
      <c r="BY31" s="10">
        <f>IF($G31=BY$5,1000,IF(BY$4=0,1000,SQRT((VLOOKUP($G31,Coords[],3,FALSE)-VLOOKUP(BY$5,Coords[],3,FALSE))^2+(VLOOKUP($G31,Coords[],4,FALSE)-VLOOKUP(BY$5,Coords[],4,FALSE))^2)))</f>
        <v>1000</v>
      </c>
      <c r="BZ31" s="10">
        <f>IF($G31=BZ$5,1000,IF(BZ$4=0,1000,SQRT((VLOOKUP($G31,Coords[],3,FALSE)-VLOOKUP(BZ$5,Coords[],3,FALSE))^2+(VLOOKUP($G31,Coords[],4,FALSE)-VLOOKUP(BZ$5,Coords[],4,FALSE))^2)))</f>
        <v>1000</v>
      </c>
      <c r="CA31" s="10">
        <f>IF($G31=CA$5,1000,IF(CA$4=0,1000,SQRT((VLOOKUP($G31,Coords[],3,FALSE)-VLOOKUP(CA$5,Coords[],3,FALSE))^2+(VLOOKUP($G31,Coords[],4,FALSE)-VLOOKUP(CA$5,Coords[],4,FALSE))^2)))</f>
        <v>1000</v>
      </c>
      <c r="CB31" s="10">
        <f>IF($G31=CB$5,1000,IF(CB$4=0,1000,SQRT((VLOOKUP($G31,Coords[],3,FALSE)-VLOOKUP(CB$5,Coords[],3,FALSE))^2+(VLOOKUP($G31,Coords[],4,FALSE)-VLOOKUP(CB$5,Coords[],4,FALSE))^2)))</f>
        <v>1000</v>
      </c>
      <c r="CC31" s="10">
        <f>IF($G31=CC$5,1000,IF(CC$4=0,1000,SQRT((VLOOKUP($G31,Coords[],3,FALSE)-VLOOKUP(CC$5,Coords[],3,FALSE))^2+(VLOOKUP($G31,Coords[],4,FALSE)-VLOOKUP(CC$5,Coords[],4,FALSE))^2)))</f>
        <v>1000</v>
      </c>
      <c r="CD31" s="10">
        <f>IF($G31=CD$5,1000,IF(CD$4=0,1000,SQRT((VLOOKUP($G31,Coords[],3,FALSE)-VLOOKUP(CD$5,Coords[],3,FALSE))^2+(VLOOKUP($G31,Coords[],4,FALSE)-VLOOKUP(CD$5,Coords[],4,FALSE))^2)))</f>
        <v>1000</v>
      </c>
      <c r="CE31" s="10">
        <f>IF($G31=CE$5,1000,IF(CE$4=0,1000,SQRT((VLOOKUP($G31,Coords[],3,FALSE)-VLOOKUP(CE$5,Coords[],3,FALSE))^2+(VLOOKUP($G31,Coords[],4,FALSE)-VLOOKUP(CE$5,Coords[],4,FALSE))^2)))</f>
        <v>1000</v>
      </c>
      <c r="CF31" s="4">
        <v>26</v>
      </c>
      <c r="CH31" s="5">
        <f>IF(E31=1,0,VLOOKUP($G31,$G$6:$CE$82,HLOOKUP(MIN(H31:CE31),$H31:$CE$82,((COUNT($G$6:$G$81)+2)-$G31),FALSE)+1,FALSE)*B31)</f>
        <v>0</v>
      </c>
      <c r="CI31" s="9">
        <f>VLOOKUP($G31,$G$6:$CE$82,HLOOKUP(MIN(H31:CE31),$H31:$CE$82,((COUNT($G$6:$G$81)+2)-$G31),FALSE)+1,FALSE)</f>
        <v>1000</v>
      </c>
      <c r="CJ31" s="7">
        <f>HLOOKUP(MIN(H31:CE31),$H31:$CE$82,((COUNT($G$6:$G$81)+2)-$G31),FALSE)</f>
        <v>1</v>
      </c>
      <c r="CK31">
        <f>CI31*Coords[[#This Row],[Demand]]</f>
        <v>0</v>
      </c>
    </row>
    <row r="32" spans="1:89" x14ac:dyDescent="0.25">
      <c r="A32" s="8">
        <v>27</v>
      </c>
      <c r="B32" s="3"/>
      <c r="C32" s="3"/>
      <c r="D32" s="3"/>
      <c r="E32" s="3"/>
      <c r="G32" s="4">
        <v>27</v>
      </c>
      <c r="H32" s="10">
        <f>IF($G32=H$5,1000,IF(H$4=0,1000,SQRT((VLOOKUP($G32,Coords[],3,FALSE)-VLOOKUP(H$5,Coords[],3,FALSE))^2+(VLOOKUP($G32,Coords[],4,FALSE)-VLOOKUP(H$5,Coords[],4,FALSE))^2)))</f>
        <v>1000</v>
      </c>
      <c r="I32" s="10">
        <f>IF($G32=I$5,1000,IF(I$4=0,1000,SQRT((VLOOKUP($G32,Coords[],3,FALSE)-VLOOKUP(I$5,Coords[],3,FALSE))^2+(VLOOKUP($G32,Coords[],4,FALSE)-VLOOKUP(I$5,Coords[],4,FALSE))^2)))</f>
        <v>1000</v>
      </c>
      <c r="J32" s="10">
        <f>IF($G32=J$5,1000,IF(J$4=0,1000,SQRT((VLOOKUP($G32,Coords[],3,FALSE)-VLOOKUP(J$5,Coords[],3,FALSE))^2+(VLOOKUP($G32,Coords[],4,FALSE)-VLOOKUP(J$5,Coords[],4,FALSE))^2)))</f>
        <v>1000</v>
      </c>
      <c r="K32" s="10">
        <f>IF($G32=K$5,1000,IF(K$4=0,1000,SQRT((VLOOKUP($G32,Coords[],3,FALSE)-VLOOKUP(K$5,Coords[],3,FALSE))^2+(VLOOKUP($G32,Coords[],4,FALSE)-VLOOKUP(K$5,Coords[],4,FALSE))^2)))</f>
        <v>1000</v>
      </c>
      <c r="L32" s="10">
        <f>IF($G32=L$5,1000,IF(L$4=0,1000,SQRT((VLOOKUP($G32,Coords[],3,FALSE)-VLOOKUP(L$5,Coords[],3,FALSE))^2+(VLOOKUP($G32,Coords[],4,FALSE)-VLOOKUP(L$5,Coords[],4,FALSE))^2)))</f>
        <v>1000</v>
      </c>
      <c r="M32" s="10">
        <f>IF($G32=M$5,1000,IF(M$4=0,1000,SQRT((VLOOKUP($G32,Coords[],3,FALSE)-VLOOKUP(M$5,Coords[],3,FALSE))^2+(VLOOKUP($G32,Coords[],4,FALSE)-VLOOKUP(M$5,Coords[],4,FALSE))^2)))</f>
        <v>1000</v>
      </c>
      <c r="N32" s="10">
        <f>IF($G32=N$5,1000,IF(N$4=0,1000,SQRT((VLOOKUP($G32,Coords[],3,FALSE)-VLOOKUP(N$5,Coords[],3,FALSE))^2+(VLOOKUP($G32,Coords[],4,FALSE)-VLOOKUP(N$5,Coords[],4,FALSE))^2)))</f>
        <v>1000</v>
      </c>
      <c r="O32" s="10">
        <f>IF($G32=O$5,1000,IF(O$4=0,1000,SQRT((VLOOKUP($G32,Coords[],3,FALSE)-VLOOKUP(O$5,Coords[],3,FALSE))^2+(VLOOKUP($G32,Coords[],4,FALSE)-VLOOKUP(O$5,Coords[],4,FALSE))^2)))</f>
        <v>1000</v>
      </c>
      <c r="P32" s="10">
        <f>IF($G32=P$5,1000,IF(P$4=0,1000,SQRT((VLOOKUP($G32,Coords[],3,FALSE)-VLOOKUP(P$5,Coords[],3,FALSE))^2+(VLOOKUP($G32,Coords[],4,FALSE)-VLOOKUP(P$5,Coords[],4,FALSE))^2)))</f>
        <v>1000</v>
      </c>
      <c r="Q32" s="10">
        <f>IF($G32=Q$5,1000,IF(Q$4=0,1000,SQRT((VLOOKUP($G32,Coords[],3,FALSE)-VLOOKUP(Q$5,Coords[],3,FALSE))^2+(VLOOKUP($G32,Coords[],4,FALSE)-VLOOKUP(Q$5,Coords[],4,FALSE))^2)))</f>
        <v>1000</v>
      </c>
      <c r="R32" s="10">
        <f>IF($G32=R$5,1000,IF(R$4=0,1000,SQRT((VLOOKUP($G32,Coords[],3,FALSE)-VLOOKUP(R$5,Coords[],3,FALSE))^2+(VLOOKUP($G32,Coords[],4,FALSE)-VLOOKUP(R$5,Coords[],4,FALSE))^2)))</f>
        <v>1000</v>
      </c>
      <c r="S32" s="10">
        <f>IF($G32=S$5,1000,IF(S$4=0,1000,SQRT((VLOOKUP($G32,Coords[],3,FALSE)-VLOOKUP(S$5,Coords[],3,FALSE))^2+(VLOOKUP($G32,Coords[],4,FALSE)-VLOOKUP(S$5,Coords[],4,FALSE))^2)))</f>
        <v>1000</v>
      </c>
      <c r="T32" s="10">
        <f>IF($G32=T$5,1000,IF(T$4=0,1000,SQRT((VLOOKUP($G32,Coords[],3,FALSE)-VLOOKUP(T$5,Coords[],3,FALSE))^2+(VLOOKUP($G32,Coords[],4,FALSE)-VLOOKUP(T$5,Coords[],4,FALSE))^2)))</f>
        <v>1000</v>
      </c>
      <c r="U32" s="10">
        <f>IF($G32=U$5,1000,IF(U$4=0,1000,SQRT((VLOOKUP($G32,Coords[],3,FALSE)-VLOOKUP(U$5,Coords[],3,FALSE))^2+(VLOOKUP($G32,Coords[],4,FALSE)-VLOOKUP(U$5,Coords[],4,FALSE))^2)))</f>
        <v>1000</v>
      </c>
      <c r="V32" s="10">
        <f>IF($G32=V$5,1000,IF(V$4=0,1000,SQRT((VLOOKUP($G32,Coords[],3,FALSE)-VLOOKUP(V$5,Coords[],3,FALSE))^2+(VLOOKUP($G32,Coords[],4,FALSE)-VLOOKUP(V$5,Coords[],4,FALSE))^2)))</f>
        <v>1000</v>
      </c>
      <c r="W32" s="10">
        <f>IF($G32=W$5,1000,IF(W$4=0,1000,SQRT((VLOOKUP($G32,Coords[],3,FALSE)-VLOOKUP(W$5,Coords[],3,FALSE))^2+(VLOOKUP($G32,Coords[],4,FALSE)-VLOOKUP(W$5,Coords[],4,FALSE))^2)))</f>
        <v>1000</v>
      </c>
      <c r="X32" s="10">
        <f>IF($G32=X$5,1000,IF(X$4=0,1000,SQRT((VLOOKUP($G32,Coords[],3,FALSE)-VLOOKUP(X$5,Coords[],3,FALSE))^2+(VLOOKUP($G32,Coords[],4,FALSE)-VLOOKUP(X$5,Coords[],4,FALSE))^2)))</f>
        <v>1000</v>
      </c>
      <c r="Y32" s="10">
        <f>IF($G32=Y$5,1000,IF(Y$4=0,1000,SQRT((VLOOKUP($G32,Coords[],3,FALSE)-VLOOKUP(Y$5,Coords[],3,FALSE))^2+(VLOOKUP($G32,Coords[],4,FALSE)-VLOOKUP(Y$5,Coords[],4,FALSE))^2)))</f>
        <v>1000</v>
      </c>
      <c r="Z32" s="10">
        <f>IF($G32=Z$5,1000,IF(Z$4=0,1000,SQRT((VLOOKUP($G32,Coords[],3,FALSE)-VLOOKUP(Z$5,Coords[],3,FALSE))^2+(VLOOKUP($G32,Coords[],4,FALSE)-VLOOKUP(Z$5,Coords[],4,FALSE))^2)))</f>
        <v>1000</v>
      </c>
      <c r="AA32" s="10">
        <f>IF($G32=AA$5,1000,IF(AA$4=0,1000,SQRT((VLOOKUP($G32,Coords[],3,FALSE)-VLOOKUP(AA$5,Coords[],3,FALSE))^2+(VLOOKUP($G32,Coords[],4,FALSE)-VLOOKUP(AA$5,Coords[],4,FALSE))^2)))</f>
        <v>1000</v>
      </c>
      <c r="AB32" s="10">
        <f>IF($G32=AB$5,1000,IF(AB$4=0,1000,SQRT((VLOOKUP($G32,Coords[],3,FALSE)-VLOOKUP(AB$5,Coords[],3,FALSE))^2+(VLOOKUP($G32,Coords[],4,FALSE)-VLOOKUP(AB$5,Coords[],4,FALSE))^2)))</f>
        <v>1000</v>
      </c>
      <c r="AC32" s="10">
        <f>IF($G32=AC$5,1000,IF(AC$4=0,1000,SQRT((VLOOKUP($G32,Coords[],3,FALSE)-VLOOKUP(AC$5,Coords[],3,FALSE))^2+(VLOOKUP($G32,Coords[],4,FALSE)-VLOOKUP(AC$5,Coords[],4,FALSE))^2)))</f>
        <v>1000</v>
      </c>
      <c r="AD32" s="10">
        <f>IF($G32=AD$5,1000,IF(AD$4=0,1000,SQRT((VLOOKUP($G32,Coords[],3,FALSE)-VLOOKUP(AD$5,Coords[],3,FALSE))^2+(VLOOKUP($G32,Coords[],4,FALSE)-VLOOKUP(AD$5,Coords[],4,FALSE))^2)))</f>
        <v>1000</v>
      </c>
      <c r="AE32" s="10">
        <f>IF($G32=AE$5,1000,IF(AE$4=0,1000,SQRT((VLOOKUP($G32,Coords[],3,FALSE)-VLOOKUP(AE$5,Coords[],3,FALSE))^2+(VLOOKUP($G32,Coords[],4,FALSE)-VLOOKUP(AE$5,Coords[],4,FALSE))^2)))</f>
        <v>1000</v>
      </c>
      <c r="AF32" s="10">
        <f>IF($G32=AF$5,1000,IF(AF$4=0,1000,SQRT((VLOOKUP($G32,Coords[],3,FALSE)-VLOOKUP(AF$5,Coords[],3,FALSE))^2+(VLOOKUP($G32,Coords[],4,FALSE)-VLOOKUP(AF$5,Coords[],4,FALSE))^2)))</f>
        <v>1000</v>
      </c>
      <c r="AG32" s="10">
        <f>IF($G32=AG$5,1000,IF(AG$4=0,1000,SQRT((VLOOKUP($G32,Coords[],3,FALSE)-VLOOKUP(AG$5,Coords[],3,FALSE))^2+(VLOOKUP($G32,Coords[],4,FALSE)-VLOOKUP(AG$5,Coords[],4,FALSE))^2)))</f>
        <v>1000</v>
      </c>
      <c r="AH32" s="10">
        <f>IF($G32=AH$5,1000,IF(AH$4=0,1000,SQRT((VLOOKUP($G32,Coords[],3,FALSE)-VLOOKUP(AH$5,Coords[],3,FALSE))^2+(VLOOKUP($G32,Coords[],4,FALSE)-VLOOKUP(AH$5,Coords[],4,FALSE))^2)))</f>
        <v>1000</v>
      </c>
      <c r="AI32" s="10">
        <f>IF($G32=AI$5,1000,IF(AI$4=0,1000,SQRT((VLOOKUP($G32,Coords[],3,FALSE)-VLOOKUP(AI$5,Coords[],3,FALSE))^2+(VLOOKUP($G32,Coords[],4,FALSE)-VLOOKUP(AI$5,Coords[],4,FALSE))^2)))</f>
        <v>1000</v>
      </c>
      <c r="AJ32" s="10">
        <f>IF($G32=AJ$5,1000,IF(AJ$4=0,1000,SQRT((VLOOKUP($G32,Coords[],3,FALSE)-VLOOKUP(AJ$5,Coords[],3,FALSE))^2+(VLOOKUP($G32,Coords[],4,FALSE)-VLOOKUP(AJ$5,Coords[],4,FALSE))^2)))</f>
        <v>1000</v>
      </c>
      <c r="AK32" s="10">
        <f>IF($G32=AK$5,1000,IF(AK$4=0,1000,SQRT((VLOOKUP($G32,Coords[],3,FALSE)-VLOOKUP(AK$5,Coords[],3,FALSE))^2+(VLOOKUP($G32,Coords[],4,FALSE)-VLOOKUP(AK$5,Coords[],4,FALSE))^2)))</f>
        <v>1000</v>
      </c>
      <c r="AL32" s="10">
        <f>IF($G32=AL$5,1000,IF(AL$4=0,1000,SQRT((VLOOKUP($G32,Coords[],3,FALSE)-VLOOKUP(AL$5,Coords[],3,FALSE))^2+(VLOOKUP($G32,Coords[],4,FALSE)-VLOOKUP(AL$5,Coords[],4,FALSE))^2)))</f>
        <v>1000</v>
      </c>
      <c r="AM32" s="10">
        <f>IF($G32=AM$5,1000,IF(AM$4=0,1000,SQRT((VLOOKUP($G32,Coords[],3,FALSE)-VLOOKUP(AM$5,Coords[],3,FALSE))^2+(VLOOKUP($G32,Coords[],4,FALSE)-VLOOKUP(AM$5,Coords[],4,FALSE))^2)))</f>
        <v>1000</v>
      </c>
      <c r="AN32" s="10">
        <f>IF($G32=AN$5,1000,IF(AN$4=0,1000,SQRT((VLOOKUP($G32,Coords[],3,FALSE)-VLOOKUP(AN$5,Coords[],3,FALSE))^2+(VLOOKUP($G32,Coords[],4,FALSE)-VLOOKUP(AN$5,Coords[],4,FALSE))^2)))</f>
        <v>1000</v>
      </c>
      <c r="AO32" s="10">
        <f>IF($G32=AO$5,1000,IF(AO$4=0,1000,SQRT((VLOOKUP($G32,Coords[],3,FALSE)-VLOOKUP(AO$5,Coords[],3,FALSE))^2+(VLOOKUP($G32,Coords[],4,FALSE)-VLOOKUP(AO$5,Coords[],4,FALSE))^2)))</f>
        <v>1000</v>
      </c>
      <c r="AP32" s="10">
        <f>IF($G32=AP$5,1000,IF(AP$4=0,1000,SQRT((VLOOKUP($G32,Coords[],3,FALSE)-VLOOKUP(AP$5,Coords[],3,FALSE))^2+(VLOOKUP($G32,Coords[],4,FALSE)-VLOOKUP(AP$5,Coords[],4,FALSE))^2)))</f>
        <v>1000</v>
      </c>
      <c r="AQ32" s="10">
        <f>IF($G32=AQ$5,1000,IF(AQ$4=0,1000,SQRT((VLOOKUP($G32,Coords[],3,FALSE)-VLOOKUP(AQ$5,Coords[],3,FALSE))^2+(VLOOKUP($G32,Coords[],4,FALSE)-VLOOKUP(AQ$5,Coords[],4,FALSE))^2)))</f>
        <v>1000</v>
      </c>
      <c r="AR32" s="10">
        <f>IF($G32=AR$5,1000,IF(AR$4=0,1000,SQRT((VLOOKUP($G32,Coords[],3,FALSE)-VLOOKUP(AR$5,Coords[],3,FALSE))^2+(VLOOKUP($G32,Coords[],4,FALSE)-VLOOKUP(AR$5,Coords[],4,FALSE))^2)))</f>
        <v>1000</v>
      </c>
      <c r="AS32" s="10">
        <f>IF($G32=AS$5,1000,IF(AS$4=0,1000,SQRT((VLOOKUP($G32,Coords[],3,FALSE)-VLOOKUP(AS$5,Coords[],3,FALSE))^2+(VLOOKUP($G32,Coords[],4,FALSE)-VLOOKUP(AS$5,Coords[],4,FALSE))^2)))</f>
        <v>1000</v>
      </c>
      <c r="AT32" s="10">
        <f>IF($G32=AT$5,1000,IF(AT$4=0,1000,SQRT((VLOOKUP($G32,Coords[],3,FALSE)-VLOOKUP(AT$5,Coords[],3,FALSE))^2+(VLOOKUP($G32,Coords[],4,FALSE)-VLOOKUP(AT$5,Coords[],4,FALSE))^2)))</f>
        <v>1000</v>
      </c>
      <c r="AU32" s="10">
        <f>IF($G32=AU$5,1000,IF(AU$4=0,1000,SQRT((VLOOKUP($G32,Coords[],3,FALSE)-VLOOKUP(AU$5,Coords[],3,FALSE))^2+(VLOOKUP($G32,Coords[],4,FALSE)-VLOOKUP(AU$5,Coords[],4,FALSE))^2)))</f>
        <v>1000</v>
      </c>
      <c r="AV32" s="10">
        <f>IF($G32=AV$5,1000,IF(AV$4=0,1000,SQRT((VLOOKUP($G32,Coords[],3,FALSE)-VLOOKUP(AV$5,Coords[],3,FALSE))^2+(VLOOKUP($G32,Coords[],4,FALSE)-VLOOKUP(AV$5,Coords[],4,FALSE))^2)))</f>
        <v>1000</v>
      </c>
      <c r="AW32" s="10">
        <f>IF($G32=AW$5,1000,IF(AW$4=0,1000,SQRT((VLOOKUP($G32,Coords[],3,FALSE)-VLOOKUP(AW$5,Coords[],3,FALSE))^2+(VLOOKUP($G32,Coords[],4,FALSE)-VLOOKUP(AW$5,Coords[],4,FALSE))^2)))</f>
        <v>1000</v>
      </c>
      <c r="AX32" s="10">
        <f>IF($G32=AX$5,1000,IF(AX$4=0,1000,SQRT((VLOOKUP($G32,Coords[],3,FALSE)-VLOOKUP(AX$5,Coords[],3,FALSE))^2+(VLOOKUP($G32,Coords[],4,FALSE)-VLOOKUP(AX$5,Coords[],4,FALSE))^2)))</f>
        <v>1000</v>
      </c>
      <c r="AY32" s="10">
        <f>IF($G32=AY$5,1000,IF(AY$4=0,1000,SQRT((VLOOKUP($G32,Coords[],3,FALSE)-VLOOKUP(AY$5,Coords[],3,FALSE))^2+(VLOOKUP($G32,Coords[],4,FALSE)-VLOOKUP(AY$5,Coords[],4,FALSE))^2)))</f>
        <v>1000</v>
      </c>
      <c r="AZ32" s="10">
        <f>IF($G32=AZ$5,1000,IF(AZ$4=0,1000,SQRT((VLOOKUP($G32,Coords[],3,FALSE)-VLOOKUP(AZ$5,Coords[],3,FALSE))^2+(VLOOKUP($G32,Coords[],4,FALSE)-VLOOKUP(AZ$5,Coords[],4,FALSE))^2)))</f>
        <v>1000</v>
      </c>
      <c r="BA32" s="10">
        <f>IF($G32=BA$5,1000,IF(BA$4=0,1000,SQRT((VLOOKUP($G32,Coords[],3,FALSE)-VLOOKUP(BA$5,Coords[],3,FALSE))^2+(VLOOKUP($G32,Coords[],4,FALSE)-VLOOKUP(BA$5,Coords[],4,FALSE))^2)))</f>
        <v>1000</v>
      </c>
      <c r="BB32" s="10">
        <f>IF($G32=BB$5,1000,IF(BB$4=0,1000,SQRT((VLOOKUP($G32,Coords[],3,FALSE)-VLOOKUP(BB$5,Coords[],3,FALSE))^2+(VLOOKUP($G32,Coords[],4,FALSE)-VLOOKUP(BB$5,Coords[],4,FALSE))^2)))</f>
        <v>1000</v>
      </c>
      <c r="BC32" s="10">
        <f>IF($G32=BC$5,1000,IF(BC$4=0,1000,SQRT((VLOOKUP($G32,Coords[],3,FALSE)-VLOOKUP(BC$5,Coords[],3,FALSE))^2+(VLOOKUP($G32,Coords[],4,FALSE)-VLOOKUP(BC$5,Coords[],4,FALSE))^2)))</f>
        <v>1000</v>
      </c>
      <c r="BD32" s="10">
        <f>IF($G32=BD$5,1000,IF(BD$4=0,1000,SQRT((VLOOKUP($G32,Coords[],3,FALSE)-VLOOKUP(BD$5,Coords[],3,FALSE))^2+(VLOOKUP($G32,Coords[],4,FALSE)-VLOOKUP(BD$5,Coords[],4,FALSE))^2)))</f>
        <v>1000</v>
      </c>
      <c r="BE32" s="10">
        <f>IF($G32=BE$5,1000,IF(BE$4=0,1000,SQRT((VLOOKUP($G32,Coords[],3,FALSE)-VLOOKUP(BE$5,Coords[],3,FALSE))^2+(VLOOKUP($G32,Coords[],4,FALSE)-VLOOKUP(BE$5,Coords[],4,FALSE))^2)))</f>
        <v>1000</v>
      </c>
      <c r="BF32" s="10">
        <f>IF($G32=BF$5,1000,IF(BF$4=0,1000,SQRT((VLOOKUP($G32,Coords[],3,FALSE)-VLOOKUP(BF$5,Coords[],3,FALSE))^2+(VLOOKUP($G32,Coords[],4,FALSE)-VLOOKUP(BF$5,Coords[],4,FALSE))^2)))</f>
        <v>1000</v>
      </c>
      <c r="BG32" s="10">
        <f>IF($G32=BG$5,1000,IF(BG$4=0,1000,SQRT((VLOOKUP($G32,Coords[],3,FALSE)-VLOOKUP(BG$5,Coords[],3,FALSE))^2+(VLOOKUP($G32,Coords[],4,FALSE)-VLOOKUP(BG$5,Coords[],4,FALSE))^2)))</f>
        <v>1000</v>
      </c>
      <c r="BH32" s="10">
        <f>IF($G32=BH$5,1000,IF(BH$4=0,1000,SQRT((VLOOKUP($G32,Coords[],3,FALSE)-VLOOKUP(BH$5,Coords[],3,FALSE))^2+(VLOOKUP($G32,Coords[],4,FALSE)-VLOOKUP(BH$5,Coords[],4,FALSE))^2)))</f>
        <v>1000</v>
      </c>
      <c r="BI32" s="10">
        <f>IF($G32=BI$5,1000,IF(BI$4=0,1000,SQRT((VLOOKUP($G32,Coords[],3,FALSE)-VLOOKUP(BI$5,Coords[],3,FALSE))^2+(VLOOKUP($G32,Coords[],4,FALSE)-VLOOKUP(BI$5,Coords[],4,FALSE))^2)))</f>
        <v>1000</v>
      </c>
      <c r="BJ32" s="10">
        <f>IF($G32=BJ$5,1000,IF(BJ$4=0,1000,SQRT((VLOOKUP($G32,Coords[],3,FALSE)-VLOOKUP(BJ$5,Coords[],3,FALSE))^2+(VLOOKUP($G32,Coords[],4,FALSE)-VLOOKUP(BJ$5,Coords[],4,FALSE))^2)))</f>
        <v>1000</v>
      </c>
      <c r="BK32" s="10">
        <f>IF($G32=BK$5,1000,IF(BK$4=0,1000,SQRT((VLOOKUP($G32,Coords[],3,FALSE)-VLOOKUP(BK$5,Coords[],3,FALSE))^2+(VLOOKUP($G32,Coords[],4,FALSE)-VLOOKUP(BK$5,Coords[],4,FALSE))^2)))</f>
        <v>1000</v>
      </c>
      <c r="BL32" s="10">
        <f>IF($G32=BL$5,1000,IF(BL$4=0,1000,SQRT((VLOOKUP($G32,Coords[],3,FALSE)-VLOOKUP(BL$5,Coords[],3,FALSE))^2+(VLOOKUP($G32,Coords[],4,FALSE)-VLOOKUP(BL$5,Coords[],4,FALSE))^2)))</f>
        <v>1000</v>
      </c>
      <c r="BM32" s="10">
        <f>IF($G32=BM$5,1000,IF(BM$4=0,1000,SQRT((VLOOKUP($G32,Coords[],3,FALSE)-VLOOKUP(BM$5,Coords[],3,FALSE))^2+(VLOOKUP($G32,Coords[],4,FALSE)-VLOOKUP(BM$5,Coords[],4,FALSE))^2)))</f>
        <v>1000</v>
      </c>
      <c r="BN32" s="10">
        <f>IF($G32=BN$5,1000,IF(BN$4=0,1000,SQRT((VLOOKUP($G32,Coords[],3,FALSE)-VLOOKUP(BN$5,Coords[],3,FALSE))^2+(VLOOKUP($G32,Coords[],4,FALSE)-VLOOKUP(BN$5,Coords[],4,FALSE))^2)))</f>
        <v>1000</v>
      </c>
      <c r="BO32" s="10">
        <f>IF($G32=BO$5,1000,IF(BO$4=0,1000,SQRT((VLOOKUP($G32,Coords[],3,FALSE)-VLOOKUP(BO$5,Coords[],3,FALSE))^2+(VLOOKUP($G32,Coords[],4,FALSE)-VLOOKUP(BO$5,Coords[],4,FALSE))^2)))</f>
        <v>1000</v>
      </c>
      <c r="BP32" s="10">
        <f>IF($G32=BP$5,1000,IF(BP$4=0,1000,SQRT((VLOOKUP($G32,Coords[],3,FALSE)-VLOOKUP(BP$5,Coords[],3,FALSE))^2+(VLOOKUP($G32,Coords[],4,FALSE)-VLOOKUP(BP$5,Coords[],4,FALSE))^2)))</f>
        <v>1000</v>
      </c>
      <c r="BQ32" s="10">
        <f>IF($G32=BQ$5,1000,IF(BQ$4=0,1000,SQRT((VLOOKUP($G32,Coords[],3,FALSE)-VLOOKUP(BQ$5,Coords[],3,FALSE))^2+(VLOOKUP($G32,Coords[],4,FALSE)-VLOOKUP(BQ$5,Coords[],4,FALSE))^2)))</f>
        <v>1000</v>
      </c>
      <c r="BR32" s="10">
        <f>IF($G32=BR$5,1000,IF(BR$4=0,1000,SQRT((VLOOKUP($G32,Coords[],3,FALSE)-VLOOKUP(BR$5,Coords[],3,FALSE))^2+(VLOOKUP($G32,Coords[],4,FALSE)-VLOOKUP(BR$5,Coords[],4,FALSE))^2)))</f>
        <v>1000</v>
      </c>
      <c r="BS32" s="10">
        <f>IF($G32=BS$5,1000,IF(BS$4=0,1000,SQRT((VLOOKUP($G32,Coords[],3,FALSE)-VLOOKUP(BS$5,Coords[],3,FALSE))^2+(VLOOKUP($G32,Coords[],4,FALSE)-VLOOKUP(BS$5,Coords[],4,FALSE))^2)))</f>
        <v>1000</v>
      </c>
      <c r="BT32" s="10">
        <f>IF($G32=BT$5,1000,IF(BT$4=0,1000,SQRT((VLOOKUP($G32,Coords[],3,FALSE)-VLOOKUP(BT$5,Coords[],3,FALSE))^2+(VLOOKUP($G32,Coords[],4,FALSE)-VLOOKUP(BT$5,Coords[],4,FALSE))^2)))</f>
        <v>1000</v>
      </c>
      <c r="BU32" s="10">
        <f>IF($G32=BU$5,1000,IF(BU$4=0,1000,SQRT((VLOOKUP($G32,Coords[],3,FALSE)-VLOOKUP(BU$5,Coords[],3,FALSE))^2+(VLOOKUP($G32,Coords[],4,FALSE)-VLOOKUP(BU$5,Coords[],4,FALSE))^2)))</f>
        <v>1000</v>
      </c>
      <c r="BV32" s="10">
        <f>IF($G32=BV$5,1000,IF(BV$4=0,1000,SQRT((VLOOKUP($G32,Coords[],3,FALSE)-VLOOKUP(BV$5,Coords[],3,FALSE))^2+(VLOOKUP($G32,Coords[],4,FALSE)-VLOOKUP(BV$5,Coords[],4,FALSE))^2)))</f>
        <v>1000</v>
      </c>
      <c r="BW32" s="10">
        <f>IF($G32=BW$5,1000,IF(BW$4=0,1000,SQRT((VLOOKUP($G32,Coords[],3,FALSE)-VLOOKUP(BW$5,Coords[],3,FALSE))^2+(VLOOKUP($G32,Coords[],4,FALSE)-VLOOKUP(BW$5,Coords[],4,FALSE))^2)))</f>
        <v>1000</v>
      </c>
      <c r="BX32" s="10">
        <f>IF($G32=BX$5,1000,IF(BX$4=0,1000,SQRT((VLOOKUP($G32,Coords[],3,FALSE)-VLOOKUP(BX$5,Coords[],3,FALSE))^2+(VLOOKUP($G32,Coords[],4,FALSE)-VLOOKUP(BX$5,Coords[],4,FALSE))^2)))</f>
        <v>1000</v>
      </c>
      <c r="BY32" s="10">
        <f>IF($G32=BY$5,1000,IF(BY$4=0,1000,SQRT((VLOOKUP($G32,Coords[],3,FALSE)-VLOOKUP(BY$5,Coords[],3,FALSE))^2+(VLOOKUP($G32,Coords[],4,FALSE)-VLOOKUP(BY$5,Coords[],4,FALSE))^2)))</f>
        <v>1000</v>
      </c>
      <c r="BZ32" s="10">
        <f>IF($G32=BZ$5,1000,IF(BZ$4=0,1000,SQRT((VLOOKUP($G32,Coords[],3,FALSE)-VLOOKUP(BZ$5,Coords[],3,FALSE))^2+(VLOOKUP($G32,Coords[],4,FALSE)-VLOOKUP(BZ$5,Coords[],4,FALSE))^2)))</f>
        <v>1000</v>
      </c>
      <c r="CA32" s="10">
        <f>IF($G32=CA$5,1000,IF(CA$4=0,1000,SQRT((VLOOKUP($G32,Coords[],3,FALSE)-VLOOKUP(CA$5,Coords[],3,FALSE))^2+(VLOOKUP($G32,Coords[],4,FALSE)-VLOOKUP(CA$5,Coords[],4,FALSE))^2)))</f>
        <v>1000</v>
      </c>
      <c r="CB32" s="10">
        <f>IF($G32=CB$5,1000,IF(CB$4=0,1000,SQRT((VLOOKUP($G32,Coords[],3,FALSE)-VLOOKUP(CB$5,Coords[],3,FALSE))^2+(VLOOKUP($G32,Coords[],4,FALSE)-VLOOKUP(CB$5,Coords[],4,FALSE))^2)))</f>
        <v>1000</v>
      </c>
      <c r="CC32" s="10">
        <f>IF($G32=CC$5,1000,IF(CC$4=0,1000,SQRT((VLOOKUP($G32,Coords[],3,FALSE)-VLOOKUP(CC$5,Coords[],3,FALSE))^2+(VLOOKUP($G32,Coords[],4,FALSE)-VLOOKUP(CC$5,Coords[],4,FALSE))^2)))</f>
        <v>1000</v>
      </c>
      <c r="CD32" s="10">
        <f>IF($G32=CD$5,1000,IF(CD$4=0,1000,SQRT((VLOOKUP($G32,Coords[],3,FALSE)-VLOOKUP(CD$5,Coords[],3,FALSE))^2+(VLOOKUP($G32,Coords[],4,FALSE)-VLOOKUP(CD$5,Coords[],4,FALSE))^2)))</f>
        <v>1000</v>
      </c>
      <c r="CE32" s="10">
        <f>IF($G32=CE$5,1000,IF(CE$4=0,1000,SQRT((VLOOKUP($G32,Coords[],3,FALSE)-VLOOKUP(CE$5,Coords[],3,FALSE))^2+(VLOOKUP($G32,Coords[],4,FALSE)-VLOOKUP(CE$5,Coords[],4,FALSE))^2)))</f>
        <v>1000</v>
      </c>
      <c r="CF32" s="4">
        <v>27</v>
      </c>
      <c r="CH32" s="5">
        <f>IF(E32=1,0,VLOOKUP($G32,$G$6:$CE$82,HLOOKUP(MIN(H32:CE32),$H32:$CE$82,((COUNT($G$6:$G$81)+2)-$G32),FALSE)+1,FALSE)*B32)</f>
        <v>0</v>
      </c>
      <c r="CI32" s="9">
        <f>VLOOKUP($G32,$G$6:$CE$82,HLOOKUP(MIN(H32:CE32),$H32:$CE$82,((COUNT($G$6:$G$81)+2)-$G32),FALSE)+1,FALSE)</f>
        <v>1000</v>
      </c>
      <c r="CJ32" s="7">
        <f>HLOOKUP(MIN(H32:CE32),$H32:$CE$82,((COUNT($G$6:$G$81)+2)-$G32),FALSE)</f>
        <v>1</v>
      </c>
      <c r="CK32">
        <f>CI32*Coords[[#This Row],[Demand]]</f>
        <v>0</v>
      </c>
    </row>
    <row r="33" spans="1:89" x14ac:dyDescent="0.25">
      <c r="A33" s="8">
        <v>28</v>
      </c>
      <c r="B33" s="3"/>
      <c r="C33" s="3"/>
      <c r="D33" s="3"/>
      <c r="E33" s="3"/>
      <c r="G33" s="4">
        <v>28</v>
      </c>
      <c r="H33" s="10">
        <f>IF($G33=H$5,1000,IF(H$4=0,1000,SQRT((VLOOKUP($G33,Coords[],3,FALSE)-VLOOKUP(H$5,Coords[],3,FALSE))^2+(VLOOKUP($G33,Coords[],4,FALSE)-VLOOKUP(H$5,Coords[],4,FALSE))^2)))</f>
        <v>1000</v>
      </c>
      <c r="I33" s="10">
        <f>IF($G33=I$5,1000,IF(I$4=0,1000,SQRT((VLOOKUP($G33,Coords[],3,FALSE)-VLOOKUP(I$5,Coords[],3,FALSE))^2+(VLOOKUP($G33,Coords[],4,FALSE)-VLOOKUP(I$5,Coords[],4,FALSE))^2)))</f>
        <v>1000</v>
      </c>
      <c r="J33" s="10">
        <f>IF($G33=J$5,1000,IF(J$4=0,1000,SQRT((VLOOKUP($G33,Coords[],3,FALSE)-VLOOKUP(J$5,Coords[],3,FALSE))^2+(VLOOKUP($G33,Coords[],4,FALSE)-VLOOKUP(J$5,Coords[],4,FALSE))^2)))</f>
        <v>1000</v>
      </c>
      <c r="K33" s="10">
        <f>IF($G33=K$5,1000,IF(K$4=0,1000,SQRT((VLOOKUP($G33,Coords[],3,FALSE)-VLOOKUP(K$5,Coords[],3,FALSE))^2+(VLOOKUP($G33,Coords[],4,FALSE)-VLOOKUP(K$5,Coords[],4,FALSE))^2)))</f>
        <v>1000</v>
      </c>
      <c r="L33" s="10">
        <f>IF($G33=L$5,1000,IF(L$4=0,1000,SQRT((VLOOKUP($G33,Coords[],3,FALSE)-VLOOKUP(L$5,Coords[],3,FALSE))^2+(VLOOKUP($G33,Coords[],4,FALSE)-VLOOKUP(L$5,Coords[],4,FALSE))^2)))</f>
        <v>1000</v>
      </c>
      <c r="M33" s="10">
        <f>IF($G33=M$5,1000,IF(M$4=0,1000,SQRT((VLOOKUP($G33,Coords[],3,FALSE)-VLOOKUP(M$5,Coords[],3,FALSE))^2+(VLOOKUP($G33,Coords[],4,FALSE)-VLOOKUP(M$5,Coords[],4,FALSE))^2)))</f>
        <v>1000</v>
      </c>
      <c r="N33" s="10">
        <f>IF($G33=N$5,1000,IF(N$4=0,1000,SQRT((VLOOKUP($G33,Coords[],3,FALSE)-VLOOKUP(N$5,Coords[],3,FALSE))^2+(VLOOKUP($G33,Coords[],4,FALSE)-VLOOKUP(N$5,Coords[],4,FALSE))^2)))</f>
        <v>1000</v>
      </c>
      <c r="O33" s="10">
        <f>IF($G33=O$5,1000,IF(O$4=0,1000,SQRT((VLOOKUP($G33,Coords[],3,FALSE)-VLOOKUP(O$5,Coords[],3,FALSE))^2+(VLOOKUP($G33,Coords[],4,FALSE)-VLOOKUP(O$5,Coords[],4,FALSE))^2)))</f>
        <v>1000</v>
      </c>
      <c r="P33" s="10">
        <f>IF($G33=P$5,1000,IF(P$4=0,1000,SQRT((VLOOKUP($G33,Coords[],3,FALSE)-VLOOKUP(P$5,Coords[],3,FALSE))^2+(VLOOKUP($G33,Coords[],4,FALSE)-VLOOKUP(P$5,Coords[],4,FALSE))^2)))</f>
        <v>1000</v>
      </c>
      <c r="Q33" s="10">
        <f>IF($G33=Q$5,1000,IF(Q$4=0,1000,SQRT((VLOOKUP($G33,Coords[],3,FALSE)-VLOOKUP(Q$5,Coords[],3,FALSE))^2+(VLOOKUP($G33,Coords[],4,FALSE)-VLOOKUP(Q$5,Coords[],4,FALSE))^2)))</f>
        <v>1000</v>
      </c>
      <c r="R33" s="10">
        <f>IF($G33=R$5,1000,IF(R$4=0,1000,SQRT((VLOOKUP($G33,Coords[],3,FALSE)-VLOOKUP(R$5,Coords[],3,FALSE))^2+(VLOOKUP($G33,Coords[],4,FALSE)-VLOOKUP(R$5,Coords[],4,FALSE))^2)))</f>
        <v>1000</v>
      </c>
      <c r="S33" s="10">
        <f>IF($G33=S$5,1000,IF(S$4=0,1000,SQRT((VLOOKUP($G33,Coords[],3,FALSE)-VLOOKUP(S$5,Coords[],3,FALSE))^2+(VLOOKUP($G33,Coords[],4,FALSE)-VLOOKUP(S$5,Coords[],4,FALSE))^2)))</f>
        <v>1000</v>
      </c>
      <c r="T33" s="10">
        <f>IF($G33=T$5,1000,IF(T$4=0,1000,SQRT((VLOOKUP($G33,Coords[],3,FALSE)-VLOOKUP(T$5,Coords[],3,FALSE))^2+(VLOOKUP($G33,Coords[],4,FALSE)-VLOOKUP(T$5,Coords[],4,FALSE))^2)))</f>
        <v>1000</v>
      </c>
      <c r="U33" s="10">
        <f>IF($G33=U$5,1000,IF(U$4=0,1000,SQRT((VLOOKUP($G33,Coords[],3,FALSE)-VLOOKUP(U$5,Coords[],3,FALSE))^2+(VLOOKUP($G33,Coords[],4,FALSE)-VLOOKUP(U$5,Coords[],4,FALSE))^2)))</f>
        <v>1000</v>
      </c>
      <c r="V33" s="10">
        <f>IF($G33=V$5,1000,IF(V$4=0,1000,SQRT((VLOOKUP($G33,Coords[],3,FALSE)-VLOOKUP(V$5,Coords[],3,FALSE))^2+(VLOOKUP($G33,Coords[],4,FALSE)-VLOOKUP(V$5,Coords[],4,FALSE))^2)))</f>
        <v>1000</v>
      </c>
      <c r="W33" s="10">
        <f>IF($G33=W$5,1000,IF(W$4=0,1000,SQRT((VLOOKUP($G33,Coords[],3,FALSE)-VLOOKUP(W$5,Coords[],3,FALSE))^2+(VLOOKUP($G33,Coords[],4,FALSE)-VLOOKUP(W$5,Coords[],4,FALSE))^2)))</f>
        <v>1000</v>
      </c>
      <c r="X33" s="10">
        <f>IF($G33=X$5,1000,IF(X$4=0,1000,SQRT((VLOOKUP($G33,Coords[],3,FALSE)-VLOOKUP(X$5,Coords[],3,FALSE))^2+(VLOOKUP($G33,Coords[],4,FALSE)-VLOOKUP(X$5,Coords[],4,FALSE))^2)))</f>
        <v>1000</v>
      </c>
      <c r="Y33" s="10">
        <f>IF($G33=Y$5,1000,IF(Y$4=0,1000,SQRT((VLOOKUP($G33,Coords[],3,FALSE)-VLOOKUP(Y$5,Coords[],3,FALSE))^2+(VLOOKUP($G33,Coords[],4,FALSE)-VLOOKUP(Y$5,Coords[],4,FALSE))^2)))</f>
        <v>1000</v>
      </c>
      <c r="Z33" s="10">
        <f>IF($G33=Z$5,1000,IF(Z$4=0,1000,SQRT((VLOOKUP($G33,Coords[],3,FALSE)-VLOOKUP(Z$5,Coords[],3,FALSE))^2+(VLOOKUP($G33,Coords[],4,FALSE)-VLOOKUP(Z$5,Coords[],4,FALSE))^2)))</f>
        <v>1000</v>
      </c>
      <c r="AA33" s="10">
        <f>IF($G33=AA$5,1000,IF(AA$4=0,1000,SQRT((VLOOKUP($G33,Coords[],3,FALSE)-VLOOKUP(AA$5,Coords[],3,FALSE))^2+(VLOOKUP($G33,Coords[],4,FALSE)-VLOOKUP(AA$5,Coords[],4,FALSE))^2)))</f>
        <v>1000</v>
      </c>
      <c r="AB33" s="10">
        <f>IF($G33=AB$5,1000,IF(AB$4=0,1000,SQRT((VLOOKUP($G33,Coords[],3,FALSE)-VLOOKUP(AB$5,Coords[],3,FALSE))^2+(VLOOKUP($G33,Coords[],4,FALSE)-VLOOKUP(AB$5,Coords[],4,FALSE))^2)))</f>
        <v>1000</v>
      </c>
      <c r="AC33" s="10">
        <f>IF($G33=AC$5,1000,IF(AC$4=0,1000,SQRT((VLOOKUP($G33,Coords[],3,FALSE)-VLOOKUP(AC$5,Coords[],3,FALSE))^2+(VLOOKUP($G33,Coords[],4,FALSE)-VLOOKUP(AC$5,Coords[],4,FALSE))^2)))</f>
        <v>1000</v>
      </c>
      <c r="AD33" s="10">
        <f>IF($G33=AD$5,1000,IF(AD$4=0,1000,SQRT((VLOOKUP($G33,Coords[],3,FALSE)-VLOOKUP(AD$5,Coords[],3,FALSE))^2+(VLOOKUP($G33,Coords[],4,FALSE)-VLOOKUP(AD$5,Coords[],4,FALSE))^2)))</f>
        <v>1000</v>
      </c>
      <c r="AE33" s="10">
        <f>IF($G33=AE$5,1000,IF(AE$4=0,1000,SQRT((VLOOKUP($G33,Coords[],3,FALSE)-VLOOKUP(AE$5,Coords[],3,FALSE))^2+(VLOOKUP($G33,Coords[],4,FALSE)-VLOOKUP(AE$5,Coords[],4,FALSE))^2)))</f>
        <v>1000</v>
      </c>
      <c r="AF33" s="10">
        <f>IF($G33=AF$5,1000,IF(AF$4=0,1000,SQRT((VLOOKUP($G33,Coords[],3,FALSE)-VLOOKUP(AF$5,Coords[],3,FALSE))^2+(VLOOKUP($G33,Coords[],4,FALSE)-VLOOKUP(AF$5,Coords[],4,FALSE))^2)))</f>
        <v>1000</v>
      </c>
      <c r="AG33" s="10">
        <f>IF($G33=AG$5,1000,IF(AG$4=0,1000,SQRT((VLOOKUP($G33,Coords[],3,FALSE)-VLOOKUP(AG$5,Coords[],3,FALSE))^2+(VLOOKUP($G33,Coords[],4,FALSE)-VLOOKUP(AG$5,Coords[],4,FALSE))^2)))</f>
        <v>1000</v>
      </c>
      <c r="AH33" s="10">
        <f>IF($G33=AH$5,1000,IF(AH$4=0,1000,SQRT((VLOOKUP($G33,Coords[],3,FALSE)-VLOOKUP(AH$5,Coords[],3,FALSE))^2+(VLOOKUP($G33,Coords[],4,FALSE)-VLOOKUP(AH$5,Coords[],4,FALSE))^2)))</f>
        <v>1000</v>
      </c>
      <c r="AI33" s="10">
        <f>IF($G33=AI$5,1000,IF(AI$4=0,1000,SQRT((VLOOKUP($G33,Coords[],3,FALSE)-VLOOKUP(AI$5,Coords[],3,FALSE))^2+(VLOOKUP($G33,Coords[],4,FALSE)-VLOOKUP(AI$5,Coords[],4,FALSE))^2)))</f>
        <v>1000</v>
      </c>
      <c r="AJ33" s="10">
        <f>IF($G33=AJ$5,1000,IF(AJ$4=0,1000,SQRT((VLOOKUP($G33,Coords[],3,FALSE)-VLOOKUP(AJ$5,Coords[],3,FALSE))^2+(VLOOKUP($G33,Coords[],4,FALSE)-VLOOKUP(AJ$5,Coords[],4,FALSE))^2)))</f>
        <v>1000</v>
      </c>
      <c r="AK33" s="10">
        <f>IF($G33=AK$5,1000,IF(AK$4=0,1000,SQRT((VLOOKUP($G33,Coords[],3,FALSE)-VLOOKUP(AK$5,Coords[],3,FALSE))^2+(VLOOKUP($G33,Coords[],4,FALSE)-VLOOKUP(AK$5,Coords[],4,FALSE))^2)))</f>
        <v>1000</v>
      </c>
      <c r="AL33" s="10">
        <f>IF($G33=AL$5,1000,IF(AL$4=0,1000,SQRT((VLOOKUP($G33,Coords[],3,FALSE)-VLOOKUP(AL$5,Coords[],3,FALSE))^2+(VLOOKUP($G33,Coords[],4,FALSE)-VLOOKUP(AL$5,Coords[],4,FALSE))^2)))</f>
        <v>1000</v>
      </c>
      <c r="AM33" s="10">
        <f>IF($G33=AM$5,1000,IF(AM$4=0,1000,SQRT((VLOOKUP($G33,Coords[],3,FALSE)-VLOOKUP(AM$5,Coords[],3,FALSE))^2+(VLOOKUP($G33,Coords[],4,FALSE)-VLOOKUP(AM$5,Coords[],4,FALSE))^2)))</f>
        <v>1000</v>
      </c>
      <c r="AN33" s="10">
        <f>IF($G33=AN$5,1000,IF(AN$4=0,1000,SQRT((VLOOKUP($G33,Coords[],3,FALSE)-VLOOKUP(AN$5,Coords[],3,FALSE))^2+(VLOOKUP($G33,Coords[],4,FALSE)-VLOOKUP(AN$5,Coords[],4,FALSE))^2)))</f>
        <v>1000</v>
      </c>
      <c r="AO33" s="10">
        <f>IF($G33=AO$5,1000,IF(AO$4=0,1000,SQRT((VLOOKUP($G33,Coords[],3,FALSE)-VLOOKUP(AO$5,Coords[],3,FALSE))^2+(VLOOKUP($G33,Coords[],4,FALSE)-VLOOKUP(AO$5,Coords[],4,FALSE))^2)))</f>
        <v>1000</v>
      </c>
      <c r="AP33" s="10">
        <f>IF($G33=AP$5,1000,IF(AP$4=0,1000,SQRT((VLOOKUP($G33,Coords[],3,FALSE)-VLOOKUP(AP$5,Coords[],3,FALSE))^2+(VLOOKUP($G33,Coords[],4,FALSE)-VLOOKUP(AP$5,Coords[],4,FALSE))^2)))</f>
        <v>1000</v>
      </c>
      <c r="AQ33" s="10">
        <f>IF($G33=AQ$5,1000,IF(AQ$4=0,1000,SQRT((VLOOKUP($G33,Coords[],3,FALSE)-VLOOKUP(AQ$5,Coords[],3,FALSE))^2+(VLOOKUP($G33,Coords[],4,FALSE)-VLOOKUP(AQ$5,Coords[],4,FALSE))^2)))</f>
        <v>1000</v>
      </c>
      <c r="AR33" s="10">
        <f>IF($G33=AR$5,1000,IF(AR$4=0,1000,SQRT((VLOOKUP($G33,Coords[],3,FALSE)-VLOOKUP(AR$5,Coords[],3,FALSE))^2+(VLOOKUP($G33,Coords[],4,FALSE)-VLOOKUP(AR$5,Coords[],4,FALSE))^2)))</f>
        <v>1000</v>
      </c>
      <c r="AS33" s="10">
        <f>IF($G33=AS$5,1000,IF(AS$4=0,1000,SQRT((VLOOKUP($G33,Coords[],3,FALSE)-VLOOKUP(AS$5,Coords[],3,FALSE))^2+(VLOOKUP($G33,Coords[],4,FALSE)-VLOOKUP(AS$5,Coords[],4,FALSE))^2)))</f>
        <v>1000</v>
      </c>
      <c r="AT33" s="10">
        <f>IF($G33=AT$5,1000,IF(AT$4=0,1000,SQRT((VLOOKUP($G33,Coords[],3,FALSE)-VLOOKUP(AT$5,Coords[],3,FALSE))^2+(VLOOKUP($G33,Coords[],4,FALSE)-VLOOKUP(AT$5,Coords[],4,FALSE))^2)))</f>
        <v>1000</v>
      </c>
      <c r="AU33" s="10">
        <f>IF($G33=AU$5,1000,IF(AU$4=0,1000,SQRT((VLOOKUP($G33,Coords[],3,FALSE)-VLOOKUP(AU$5,Coords[],3,FALSE))^2+(VLOOKUP($G33,Coords[],4,FALSE)-VLOOKUP(AU$5,Coords[],4,FALSE))^2)))</f>
        <v>1000</v>
      </c>
      <c r="AV33" s="10">
        <f>IF($G33=AV$5,1000,IF(AV$4=0,1000,SQRT((VLOOKUP($G33,Coords[],3,FALSE)-VLOOKUP(AV$5,Coords[],3,FALSE))^2+(VLOOKUP($G33,Coords[],4,FALSE)-VLOOKUP(AV$5,Coords[],4,FALSE))^2)))</f>
        <v>1000</v>
      </c>
      <c r="AW33" s="10">
        <f>IF($G33=AW$5,1000,IF(AW$4=0,1000,SQRT((VLOOKUP($G33,Coords[],3,FALSE)-VLOOKUP(AW$5,Coords[],3,FALSE))^2+(VLOOKUP($G33,Coords[],4,FALSE)-VLOOKUP(AW$5,Coords[],4,FALSE))^2)))</f>
        <v>1000</v>
      </c>
      <c r="AX33" s="10">
        <f>IF($G33=AX$5,1000,IF(AX$4=0,1000,SQRT((VLOOKUP($G33,Coords[],3,FALSE)-VLOOKUP(AX$5,Coords[],3,FALSE))^2+(VLOOKUP($G33,Coords[],4,FALSE)-VLOOKUP(AX$5,Coords[],4,FALSE))^2)))</f>
        <v>1000</v>
      </c>
      <c r="AY33" s="10">
        <f>IF($G33=AY$5,1000,IF(AY$4=0,1000,SQRT((VLOOKUP($G33,Coords[],3,FALSE)-VLOOKUP(AY$5,Coords[],3,FALSE))^2+(VLOOKUP($G33,Coords[],4,FALSE)-VLOOKUP(AY$5,Coords[],4,FALSE))^2)))</f>
        <v>1000</v>
      </c>
      <c r="AZ33" s="10">
        <f>IF($G33=AZ$5,1000,IF(AZ$4=0,1000,SQRT((VLOOKUP($G33,Coords[],3,FALSE)-VLOOKUP(AZ$5,Coords[],3,FALSE))^2+(VLOOKUP($G33,Coords[],4,FALSE)-VLOOKUP(AZ$5,Coords[],4,FALSE))^2)))</f>
        <v>1000</v>
      </c>
      <c r="BA33" s="10">
        <f>IF($G33=BA$5,1000,IF(BA$4=0,1000,SQRT((VLOOKUP($G33,Coords[],3,FALSE)-VLOOKUP(BA$5,Coords[],3,FALSE))^2+(VLOOKUP($G33,Coords[],4,FALSE)-VLOOKUP(BA$5,Coords[],4,FALSE))^2)))</f>
        <v>1000</v>
      </c>
      <c r="BB33" s="10">
        <f>IF($G33=BB$5,1000,IF(BB$4=0,1000,SQRT((VLOOKUP($G33,Coords[],3,FALSE)-VLOOKUP(BB$5,Coords[],3,FALSE))^2+(VLOOKUP($G33,Coords[],4,FALSE)-VLOOKUP(BB$5,Coords[],4,FALSE))^2)))</f>
        <v>1000</v>
      </c>
      <c r="BC33" s="10">
        <f>IF($G33=BC$5,1000,IF(BC$4=0,1000,SQRT((VLOOKUP($G33,Coords[],3,FALSE)-VLOOKUP(BC$5,Coords[],3,FALSE))^2+(VLOOKUP($G33,Coords[],4,FALSE)-VLOOKUP(BC$5,Coords[],4,FALSE))^2)))</f>
        <v>1000</v>
      </c>
      <c r="BD33" s="10">
        <f>IF($G33=BD$5,1000,IF(BD$4=0,1000,SQRT((VLOOKUP($G33,Coords[],3,FALSE)-VLOOKUP(BD$5,Coords[],3,FALSE))^2+(VLOOKUP($G33,Coords[],4,FALSE)-VLOOKUP(BD$5,Coords[],4,FALSE))^2)))</f>
        <v>1000</v>
      </c>
      <c r="BE33" s="10">
        <f>IF($G33=BE$5,1000,IF(BE$4=0,1000,SQRT((VLOOKUP($G33,Coords[],3,FALSE)-VLOOKUP(BE$5,Coords[],3,FALSE))^2+(VLOOKUP($G33,Coords[],4,FALSE)-VLOOKUP(BE$5,Coords[],4,FALSE))^2)))</f>
        <v>1000</v>
      </c>
      <c r="BF33" s="10">
        <f>IF($G33=BF$5,1000,IF(BF$4=0,1000,SQRT((VLOOKUP($G33,Coords[],3,FALSE)-VLOOKUP(BF$5,Coords[],3,FALSE))^2+(VLOOKUP($G33,Coords[],4,FALSE)-VLOOKUP(BF$5,Coords[],4,FALSE))^2)))</f>
        <v>1000</v>
      </c>
      <c r="BG33" s="10">
        <f>IF($G33=BG$5,1000,IF(BG$4=0,1000,SQRT((VLOOKUP($G33,Coords[],3,FALSE)-VLOOKUP(BG$5,Coords[],3,FALSE))^2+(VLOOKUP($G33,Coords[],4,FALSE)-VLOOKUP(BG$5,Coords[],4,FALSE))^2)))</f>
        <v>1000</v>
      </c>
      <c r="BH33" s="10">
        <f>IF($G33=BH$5,1000,IF(BH$4=0,1000,SQRT((VLOOKUP($G33,Coords[],3,FALSE)-VLOOKUP(BH$5,Coords[],3,FALSE))^2+(VLOOKUP($G33,Coords[],4,FALSE)-VLOOKUP(BH$5,Coords[],4,FALSE))^2)))</f>
        <v>1000</v>
      </c>
      <c r="BI33" s="10">
        <f>IF($G33=BI$5,1000,IF(BI$4=0,1000,SQRT((VLOOKUP($G33,Coords[],3,FALSE)-VLOOKUP(BI$5,Coords[],3,FALSE))^2+(VLOOKUP($G33,Coords[],4,FALSE)-VLOOKUP(BI$5,Coords[],4,FALSE))^2)))</f>
        <v>1000</v>
      </c>
      <c r="BJ33" s="10">
        <f>IF($G33=BJ$5,1000,IF(BJ$4=0,1000,SQRT((VLOOKUP($G33,Coords[],3,FALSE)-VLOOKUP(BJ$5,Coords[],3,FALSE))^2+(VLOOKUP($G33,Coords[],4,FALSE)-VLOOKUP(BJ$5,Coords[],4,FALSE))^2)))</f>
        <v>1000</v>
      </c>
      <c r="BK33" s="10">
        <f>IF($G33=BK$5,1000,IF(BK$4=0,1000,SQRT((VLOOKUP($G33,Coords[],3,FALSE)-VLOOKUP(BK$5,Coords[],3,FALSE))^2+(VLOOKUP($G33,Coords[],4,FALSE)-VLOOKUP(BK$5,Coords[],4,FALSE))^2)))</f>
        <v>1000</v>
      </c>
      <c r="BL33" s="10">
        <f>IF($G33=BL$5,1000,IF(BL$4=0,1000,SQRT((VLOOKUP($G33,Coords[],3,FALSE)-VLOOKUP(BL$5,Coords[],3,FALSE))^2+(VLOOKUP($G33,Coords[],4,FALSE)-VLOOKUP(BL$5,Coords[],4,FALSE))^2)))</f>
        <v>1000</v>
      </c>
      <c r="BM33" s="10">
        <f>IF($G33=BM$5,1000,IF(BM$4=0,1000,SQRT((VLOOKUP($G33,Coords[],3,FALSE)-VLOOKUP(BM$5,Coords[],3,FALSE))^2+(VLOOKUP($G33,Coords[],4,FALSE)-VLOOKUP(BM$5,Coords[],4,FALSE))^2)))</f>
        <v>1000</v>
      </c>
      <c r="BN33" s="10">
        <f>IF($G33=BN$5,1000,IF(BN$4=0,1000,SQRT((VLOOKUP($G33,Coords[],3,FALSE)-VLOOKUP(BN$5,Coords[],3,FALSE))^2+(VLOOKUP($G33,Coords[],4,FALSE)-VLOOKUP(BN$5,Coords[],4,FALSE))^2)))</f>
        <v>1000</v>
      </c>
      <c r="BO33" s="10">
        <f>IF($G33=BO$5,1000,IF(BO$4=0,1000,SQRT((VLOOKUP($G33,Coords[],3,FALSE)-VLOOKUP(BO$5,Coords[],3,FALSE))^2+(VLOOKUP($G33,Coords[],4,FALSE)-VLOOKUP(BO$5,Coords[],4,FALSE))^2)))</f>
        <v>1000</v>
      </c>
      <c r="BP33" s="10">
        <f>IF($G33=BP$5,1000,IF(BP$4=0,1000,SQRT((VLOOKUP($G33,Coords[],3,FALSE)-VLOOKUP(BP$5,Coords[],3,FALSE))^2+(VLOOKUP($G33,Coords[],4,FALSE)-VLOOKUP(BP$5,Coords[],4,FALSE))^2)))</f>
        <v>1000</v>
      </c>
      <c r="BQ33" s="10">
        <f>IF($G33=BQ$5,1000,IF(BQ$4=0,1000,SQRT((VLOOKUP($G33,Coords[],3,FALSE)-VLOOKUP(BQ$5,Coords[],3,FALSE))^2+(VLOOKUP($G33,Coords[],4,FALSE)-VLOOKUP(BQ$5,Coords[],4,FALSE))^2)))</f>
        <v>1000</v>
      </c>
      <c r="BR33" s="10">
        <f>IF($G33=BR$5,1000,IF(BR$4=0,1000,SQRT((VLOOKUP($G33,Coords[],3,FALSE)-VLOOKUP(BR$5,Coords[],3,FALSE))^2+(VLOOKUP($G33,Coords[],4,FALSE)-VLOOKUP(BR$5,Coords[],4,FALSE))^2)))</f>
        <v>1000</v>
      </c>
      <c r="BS33" s="10">
        <f>IF($G33=BS$5,1000,IF(BS$4=0,1000,SQRT((VLOOKUP($G33,Coords[],3,FALSE)-VLOOKUP(BS$5,Coords[],3,FALSE))^2+(VLOOKUP($G33,Coords[],4,FALSE)-VLOOKUP(BS$5,Coords[],4,FALSE))^2)))</f>
        <v>1000</v>
      </c>
      <c r="BT33" s="10">
        <f>IF($G33=BT$5,1000,IF(BT$4=0,1000,SQRT((VLOOKUP($G33,Coords[],3,FALSE)-VLOOKUP(BT$5,Coords[],3,FALSE))^2+(VLOOKUP($G33,Coords[],4,FALSE)-VLOOKUP(BT$5,Coords[],4,FALSE))^2)))</f>
        <v>1000</v>
      </c>
      <c r="BU33" s="10">
        <f>IF($G33=BU$5,1000,IF(BU$4=0,1000,SQRT((VLOOKUP($G33,Coords[],3,FALSE)-VLOOKUP(BU$5,Coords[],3,FALSE))^2+(VLOOKUP($G33,Coords[],4,FALSE)-VLOOKUP(BU$5,Coords[],4,FALSE))^2)))</f>
        <v>1000</v>
      </c>
      <c r="BV33" s="10">
        <f>IF($G33=BV$5,1000,IF(BV$4=0,1000,SQRT((VLOOKUP($G33,Coords[],3,FALSE)-VLOOKUP(BV$5,Coords[],3,FALSE))^2+(VLOOKUP($G33,Coords[],4,FALSE)-VLOOKUP(BV$5,Coords[],4,FALSE))^2)))</f>
        <v>1000</v>
      </c>
      <c r="BW33" s="10">
        <f>IF($G33=BW$5,1000,IF(BW$4=0,1000,SQRT((VLOOKUP($G33,Coords[],3,FALSE)-VLOOKUP(BW$5,Coords[],3,FALSE))^2+(VLOOKUP($G33,Coords[],4,FALSE)-VLOOKUP(BW$5,Coords[],4,FALSE))^2)))</f>
        <v>1000</v>
      </c>
      <c r="BX33" s="10">
        <f>IF($G33=BX$5,1000,IF(BX$4=0,1000,SQRT((VLOOKUP($G33,Coords[],3,FALSE)-VLOOKUP(BX$5,Coords[],3,FALSE))^2+(VLOOKUP($G33,Coords[],4,FALSE)-VLOOKUP(BX$5,Coords[],4,FALSE))^2)))</f>
        <v>1000</v>
      </c>
      <c r="BY33" s="10">
        <f>IF($G33=BY$5,1000,IF(BY$4=0,1000,SQRT((VLOOKUP($G33,Coords[],3,FALSE)-VLOOKUP(BY$5,Coords[],3,FALSE))^2+(VLOOKUP($G33,Coords[],4,FALSE)-VLOOKUP(BY$5,Coords[],4,FALSE))^2)))</f>
        <v>1000</v>
      </c>
      <c r="BZ33" s="10">
        <f>IF($G33=BZ$5,1000,IF(BZ$4=0,1000,SQRT((VLOOKUP($G33,Coords[],3,FALSE)-VLOOKUP(BZ$5,Coords[],3,FALSE))^2+(VLOOKUP($G33,Coords[],4,FALSE)-VLOOKUP(BZ$5,Coords[],4,FALSE))^2)))</f>
        <v>1000</v>
      </c>
      <c r="CA33" s="10">
        <f>IF($G33=CA$5,1000,IF(CA$4=0,1000,SQRT((VLOOKUP($G33,Coords[],3,FALSE)-VLOOKUP(CA$5,Coords[],3,FALSE))^2+(VLOOKUP($G33,Coords[],4,FALSE)-VLOOKUP(CA$5,Coords[],4,FALSE))^2)))</f>
        <v>1000</v>
      </c>
      <c r="CB33" s="10">
        <f>IF($G33=CB$5,1000,IF(CB$4=0,1000,SQRT((VLOOKUP($G33,Coords[],3,FALSE)-VLOOKUP(CB$5,Coords[],3,FALSE))^2+(VLOOKUP($G33,Coords[],4,FALSE)-VLOOKUP(CB$5,Coords[],4,FALSE))^2)))</f>
        <v>1000</v>
      </c>
      <c r="CC33" s="10">
        <f>IF($G33=CC$5,1000,IF(CC$4=0,1000,SQRT((VLOOKUP($G33,Coords[],3,FALSE)-VLOOKUP(CC$5,Coords[],3,FALSE))^2+(VLOOKUP($G33,Coords[],4,FALSE)-VLOOKUP(CC$5,Coords[],4,FALSE))^2)))</f>
        <v>1000</v>
      </c>
      <c r="CD33" s="10">
        <f>IF($G33=CD$5,1000,IF(CD$4=0,1000,SQRT((VLOOKUP($G33,Coords[],3,FALSE)-VLOOKUP(CD$5,Coords[],3,FALSE))^2+(VLOOKUP($G33,Coords[],4,FALSE)-VLOOKUP(CD$5,Coords[],4,FALSE))^2)))</f>
        <v>1000</v>
      </c>
      <c r="CE33" s="10">
        <f>IF($G33=CE$5,1000,IF(CE$4=0,1000,SQRT((VLOOKUP($G33,Coords[],3,FALSE)-VLOOKUP(CE$5,Coords[],3,FALSE))^2+(VLOOKUP($G33,Coords[],4,FALSE)-VLOOKUP(CE$5,Coords[],4,FALSE))^2)))</f>
        <v>1000</v>
      </c>
      <c r="CF33" s="4">
        <v>28</v>
      </c>
      <c r="CH33" s="5">
        <f>IF(E33=1,0,VLOOKUP($G33,$G$6:$CE$82,HLOOKUP(MIN(H33:CE33),$H33:$CE$82,((COUNT($G$6:$G$81)+2)-$G33),FALSE)+1,FALSE)*B33)</f>
        <v>0</v>
      </c>
      <c r="CI33" s="9">
        <f>VLOOKUP($G33,$G$6:$CE$82,HLOOKUP(MIN(H33:CE33),$H33:$CE$82,((COUNT($G$6:$G$81)+2)-$G33),FALSE)+1,FALSE)</f>
        <v>1000</v>
      </c>
      <c r="CJ33" s="7">
        <f>HLOOKUP(MIN(H33:CE33),$H33:$CE$82,((COUNT($G$6:$G$81)+2)-$G33),FALSE)</f>
        <v>1</v>
      </c>
      <c r="CK33">
        <f>CI33*Coords[[#This Row],[Demand]]</f>
        <v>0</v>
      </c>
    </row>
    <row r="34" spans="1:89" x14ac:dyDescent="0.25">
      <c r="A34" s="8">
        <v>29</v>
      </c>
      <c r="B34" s="3"/>
      <c r="C34" s="3"/>
      <c r="D34" s="3"/>
      <c r="E34" s="3"/>
      <c r="G34" s="4">
        <v>29</v>
      </c>
      <c r="H34" s="10">
        <f>IF($G34=H$5,1000,IF(H$4=0,1000,SQRT((VLOOKUP($G34,Coords[],3,FALSE)-VLOOKUP(H$5,Coords[],3,FALSE))^2+(VLOOKUP($G34,Coords[],4,FALSE)-VLOOKUP(H$5,Coords[],4,FALSE))^2)))</f>
        <v>1000</v>
      </c>
      <c r="I34" s="10">
        <f>IF($G34=I$5,1000,IF(I$4=0,1000,SQRT((VLOOKUP($G34,Coords[],3,FALSE)-VLOOKUP(I$5,Coords[],3,FALSE))^2+(VLOOKUP($G34,Coords[],4,FALSE)-VLOOKUP(I$5,Coords[],4,FALSE))^2)))</f>
        <v>1000</v>
      </c>
      <c r="J34" s="10">
        <f>IF($G34=J$5,1000,IF(J$4=0,1000,SQRT((VLOOKUP($G34,Coords[],3,FALSE)-VLOOKUP(J$5,Coords[],3,FALSE))^2+(VLOOKUP($G34,Coords[],4,FALSE)-VLOOKUP(J$5,Coords[],4,FALSE))^2)))</f>
        <v>1000</v>
      </c>
      <c r="K34" s="10">
        <f>IF($G34=K$5,1000,IF(K$4=0,1000,SQRT((VLOOKUP($G34,Coords[],3,FALSE)-VLOOKUP(K$5,Coords[],3,FALSE))^2+(VLOOKUP($G34,Coords[],4,FALSE)-VLOOKUP(K$5,Coords[],4,FALSE))^2)))</f>
        <v>1000</v>
      </c>
      <c r="L34" s="10">
        <f>IF($G34=L$5,1000,IF(L$4=0,1000,SQRT((VLOOKUP($G34,Coords[],3,FALSE)-VLOOKUP(L$5,Coords[],3,FALSE))^2+(VLOOKUP($G34,Coords[],4,FALSE)-VLOOKUP(L$5,Coords[],4,FALSE))^2)))</f>
        <v>1000</v>
      </c>
      <c r="M34" s="10">
        <f>IF($G34=M$5,1000,IF(M$4=0,1000,SQRT((VLOOKUP($G34,Coords[],3,FALSE)-VLOOKUP(M$5,Coords[],3,FALSE))^2+(VLOOKUP($G34,Coords[],4,FALSE)-VLOOKUP(M$5,Coords[],4,FALSE))^2)))</f>
        <v>1000</v>
      </c>
      <c r="N34" s="10">
        <f>IF($G34=N$5,1000,IF(N$4=0,1000,SQRT((VLOOKUP($G34,Coords[],3,FALSE)-VLOOKUP(N$5,Coords[],3,FALSE))^2+(VLOOKUP($G34,Coords[],4,FALSE)-VLOOKUP(N$5,Coords[],4,FALSE))^2)))</f>
        <v>1000</v>
      </c>
      <c r="O34" s="10">
        <f>IF($G34=O$5,1000,IF(O$4=0,1000,SQRT((VLOOKUP($G34,Coords[],3,FALSE)-VLOOKUP(O$5,Coords[],3,FALSE))^2+(VLOOKUP($G34,Coords[],4,FALSE)-VLOOKUP(O$5,Coords[],4,FALSE))^2)))</f>
        <v>1000</v>
      </c>
      <c r="P34" s="10">
        <f>IF($G34=P$5,1000,IF(P$4=0,1000,SQRT((VLOOKUP($G34,Coords[],3,FALSE)-VLOOKUP(P$5,Coords[],3,FALSE))^2+(VLOOKUP($G34,Coords[],4,FALSE)-VLOOKUP(P$5,Coords[],4,FALSE))^2)))</f>
        <v>1000</v>
      </c>
      <c r="Q34" s="10">
        <f>IF($G34=Q$5,1000,IF(Q$4=0,1000,SQRT((VLOOKUP($G34,Coords[],3,FALSE)-VLOOKUP(Q$5,Coords[],3,FALSE))^2+(VLOOKUP($G34,Coords[],4,FALSE)-VLOOKUP(Q$5,Coords[],4,FALSE))^2)))</f>
        <v>1000</v>
      </c>
      <c r="R34" s="10">
        <f>IF($G34=R$5,1000,IF(R$4=0,1000,SQRT((VLOOKUP($G34,Coords[],3,FALSE)-VLOOKUP(R$5,Coords[],3,FALSE))^2+(VLOOKUP($G34,Coords[],4,FALSE)-VLOOKUP(R$5,Coords[],4,FALSE))^2)))</f>
        <v>1000</v>
      </c>
      <c r="S34" s="10">
        <f>IF($G34=S$5,1000,IF(S$4=0,1000,SQRT((VLOOKUP($G34,Coords[],3,FALSE)-VLOOKUP(S$5,Coords[],3,FALSE))^2+(VLOOKUP($G34,Coords[],4,FALSE)-VLOOKUP(S$5,Coords[],4,FALSE))^2)))</f>
        <v>1000</v>
      </c>
      <c r="T34" s="10">
        <f>IF($G34=T$5,1000,IF(T$4=0,1000,SQRT((VLOOKUP($G34,Coords[],3,FALSE)-VLOOKUP(T$5,Coords[],3,FALSE))^2+(VLOOKUP($G34,Coords[],4,FALSE)-VLOOKUP(T$5,Coords[],4,FALSE))^2)))</f>
        <v>1000</v>
      </c>
      <c r="U34" s="10">
        <f>IF($G34=U$5,1000,IF(U$4=0,1000,SQRT((VLOOKUP($G34,Coords[],3,FALSE)-VLOOKUP(U$5,Coords[],3,FALSE))^2+(VLOOKUP($G34,Coords[],4,FALSE)-VLOOKUP(U$5,Coords[],4,FALSE))^2)))</f>
        <v>1000</v>
      </c>
      <c r="V34" s="10">
        <f>IF($G34=V$5,1000,IF(V$4=0,1000,SQRT((VLOOKUP($G34,Coords[],3,FALSE)-VLOOKUP(V$5,Coords[],3,FALSE))^2+(VLOOKUP($G34,Coords[],4,FALSE)-VLOOKUP(V$5,Coords[],4,FALSE))^2)))</f>
        <v>1000</v>
      </c>
      <c r="W34" s="10">
        <f>IF($G34=W$5,1000,IF(W$4=0,1000,SQRT((VLOOKUP($G34,Coords[],3,FALSE)-VLOOKUP(W$5,Coords[],3,FALSE))^2+(VLOOKUP($G34,Coords[],4,FALSE)-VLOOKUP(W$5,Coords[],4,FALSE))^2)))</f>
        <v>1000</v>
      </c>
      <c r="X34" s="10">
        <f>IF($G34=X$5,1000,IF(X$4=0,1000,SQRT((VLOOKUP($G34,Coords[],3,FALSE)-VLOOKUP(X$5,Coords[],3,FALSE))^2+(VLOOKUP($G34,Coords[],4,FALSE)-VLOOKUP(X$5,Coords[],4,FALSE))^2)))</f>
        <v>1000</v>
      </c>
      <c r="Y34" s="10">
        <f>IF($G34=Y$5,1000,IF(Y$4=0,1000,SQRT((VLOOKUP($G34,Coords[],3,FALSE)-VLOOKUP(Y$5,Coords[],3,FALSE))^2+(VLOOKUP($G34,Coords[],4,FALSE)-VLOOKUP(Y$5,Coords[],4,FALSE))^2)))</f>
        <v>1000</v>
      </c>
      <c r="Z34" s="10">
        <f>IF($G34=Z$5,1000,IF(Z$4=0,1000,SQRT((VLOOKUP($G34,Coords[],3,FALSE)-VLOOKUP(Z$5,Coords[],3,FALSE))^2+(VLOOKUP($G34,Coords[],4,FALSE)-VLOOKUP(Z$5,Coords[],4,FALSE))^2)))</f>
        <v>1000</v>
      </c>
      <c r="AA34" s="10">
        <f>IF($G34=AA$5,1000,IF(AA$4=0,1000,SQRT((VLOOKUP($G34,Coords[],3,FALSE)-VLOOKUP(AA$5,Coords[],3,FALSE))^2+(VLOOKUP($G34,Coords[],4,FALSE)-VLOOKUP(AA$5,Coords[],4,FALSE))^2)))</f>
        <v>1000</v>
      </c>
      <c r="AB34" s="10">
        <f>IF($G34=AB$5,1000,IF(AB$4=0,1000,SQRT((VLOOKUP($G34,Coords[],3,FALSE)-VLOOKUP(AB$5,Coords[],3,FALSE))^2+(VLOOKUP($G34,Coords[],4,FALSE)-VLOOKUP(AB$5,Coords[],4,FALSE))^2)))</f>
        <v>1000</v>
      </c>
      <c r="AC34" s="10">
        <f>IF($G34=AC$5,1000,IF(AC$4=0,1000,SQRT((VLOOKUP($G34,Coords[],3,FALSE)-VLOOKUP(AC$5,Coords[],3,FALSE))^2+(VLOOKUP($G34,Coords[],4,FALSE)-VLOOKUP(AC$5,Coords[],4,FALSE))^2)))</f>
        <v>1000</v>
      </c>
      <c r="AD34" s="10">
        <f>IF($G34=AD$5,1000,IF(AD$4=0,1000,SQRT((VLOOKUP($G34,Coords[],3,FALSE)-VLOOKUP(AD$5,Coords[],3,FALSE))^2+(VLOOKUP($G34,Coords[],4,FALSE)-VLOOKUP(AD$5,Coords[],4,FALSE))^2)))</f>
        <v>1000</v>
      </c>
      <c r="AE34" s="10">
        <f>IF($G34=AE$5,1000,IF(AE$4=0,1000,SQRT((VLOOKUP($G34,Coords[],3,FALSE)-VLOOKUP(AE$5,Coords[],3,FALSE))^2+(VLOOKUP($G34,Coords[],4,FALSE)-VLOOKUP(AE$5,Coords[],4,FALSE))^2)))</f>
        <v>1000</v>
      </c>
      <c r="AF34" s="10">
        <f>IF($G34=AF$5,1000,IF(AF$4=0,1000,SQRT((VLOOKUP($G34,Coords[],3,FALSE)-VLOOKUP(AF$5,Coords[],3,FALSE))^2+(VLOOKUP($G34,Coords[],4,FALSE)-VLOOKUP(AF$5,Coords[],4,FALSE))^2)))</f>
        <v>1000</v>
      </c>
      <c r="AG34" s="10">
        <f>IF($G34=AG$5,1000,IF(AG$4=0,1000,SQRT((VLOOKUP($G34,Coords[],3,FALSE)-VLOOKUP(AG$5,Coords[],3,FALSE))^2+(VLOOKUP($G34,Coords[],4,FALSE)-VLOOKUP(AG$5,Coords[],4,FALSE))^2)))</f>
        <v>1000</v>
      </c>
      <c r="AH34" s="10">
        <f>IF($G34=AH$5,1000,IF(AH$4=0,1000,SQRT((VLOOKUP($G34,Coords[],3,FALSE)-VLOOKUP(AH$5,Coords[],3,FALSE))^2+(VLOOKUP($G34,Coords[],4,FALSE)-VLOOKUP(AH$5,Coords[],4,FALSE))^2)))</f>
        <v>1000</v>
      </c>
      <c r="AI34" s="10">
        <f>IF($G34=AI$5,1000,IF(AI$4=0,1000,SQRT((VLOOKUP($G34,Coords[],3,FALSE)-VLOOKUP(AI$5,Coords[],3,FALSE))^2+(VLOOKUP($G34,Coords[],4,FALSE)-VLOOKUP(AI$5,Coords[],4,FALSE))^2)))</f>
        <v>1000</v>
      </c>
      <c r="AJ34" s="10">
        <f>IF($G34=AJ$5,1000,IF(AJ$4=0,1000,SQRT((VLOOKUP($G34,Coords[],3,FALSE)-VLOOKUP(AJ$5,Coords[],3,FALSE))^2+(VLOOKUP($G34,Coords[],4,FALSE)-VLOOKUP(AJ$5,Coords[],4,FALSE))^2)))</f>
        <v>1000</v>
      </c>
      <c r="AK34" s="10">
        <f>IF($G34=AK$5,1000,IF(AK$4=0,1000,SQRT((VLOOKUP($G34,Coords[],3,FALSE)-VLOOKUP(AK$5,Coords[],3,FALSE))^2+(VLOOKUP($G34,Coords[],4,FALSE)-VLOOKUP(AK$5,Coords[],4,FALSE))^2)))</f>
        <v>1000</v>
      </c>
      <c r="AL34" s="10">
        <f>IF($G34=AL$5,1000,IF(AL$4=0,1000,SQRT((VLOOKUP($G34,Coords[],3,FALSE)-VLOOKUP(AL$5,Coords[],3,FALSE))^2+(VLOOKUP($G34,Coords[],4,FALSE)-VLOOKUP(AL$5,Coords[],4,FALSE))^2)))</f>
        <v>1000</v>
      </c>
      <c r="AM34" s="10">
        <f>IF($G34=AM$5,1000,IF(AM$4=0,1000,SQRT((VLOOKUP($G34,Coords[],3,FALSE)-VLOOKUP(AM$5,Coords[],3,FALSE))^2+(VLOOKUP($G34,Coords[],4,FALSE)-VLOOKUP(AM$5,Coords[],4,FALSE))^2)))</f>
        <v>1000</v>
      </c>
      <c r="AN34" s="10">
        <f>IF($G34=AN$5,1000,IF(AN$4=0,1000,SQRT((VLOOKUP($G34,Coords[],3,FALSE)-VLOOKUP(AN$5,Coords[],3,FALSE))^2+(VLOOKUP($G34,Coords[],4,FALSE)-VLOOKUP(AN$5,Coords[],4,FALSE))^2)))</f>
        <v>1000</v>
      </c>
      <c r="AO34" s="10">
        <f>IF($G34=AO$5,1000,IF(AO$4=0,1000,SQRT((VLOOKUP($G34,Coords[],3,FALSE)-VLOOKUP(AO$5,Coords[],3,FALSE))^2+(VLOOKUP($G34,Coords[],4,FALSE)-VLOOKUP(AO$5,Coords[],4,FALSE))^2)))</f>
        <v>1000</v>
      </c>
      <c r="AP34" s="10">
        <f>IF($G34=AP$5,1000,IF(AP$4=0,1000,SQRT((VLOOKUP($G34,Coords[],3,FALSE)-VLOOKUP(AP$5,Coords[],3,FALSE))^2+(VLOOKUP($G34,Coords[],4,FALSE)-VLOOKUP(AP$5,Coords[],4,FALSE))^2)))</f>
        <v>1000</v>
      </c>
      <c r="AQ34" s="10">
        <f>IF($G34=AQ$5,1000,IF(AQ$4=0,1000,SQRT((VLOOKUP($G34,Coords[],3,FALSE)-VLOOKUP(AQ$5,Coords[],3,FALSE))^2+(VLOOKUP($G34,Coords[],4,FALSE)-VLOOKUP(AQ$5,Coords[],4,FALSE))^2)))</f>
        <v>1000</v>
      </c>
      <c r="AR34" s="10">
        <f>IF($G34=AR$5,1000,IF(AR$4=0,1000,SQRT((VLOOKUP($G34,Coords[],3,FALSE)-VLOOKUP(AR$5,Coords[],3,FALSE))^2+(VLOOKUP($G34,Coords[],4,FALSE)-VLOOKUP(AR$5,Coords[],4,FALSE))^2)))</f>
        <v>1000</v>
      </c>
      <c r="AS34" s="10">
        <f>IF($G34=AS$5,1000,IF(AS$4=0,1000,SQRT((VLOOKUP($G34,Coords[],3,FALSE)-VLOOKUP(AS$5,Coords[],3,FALSE))^2+(VLOOKUP($G34,Coords[],4,FALSE)-VLOOKUP(AS$5,Coords[],4,FALSE))^2)))</f>
        <v>1000</v>
      </c>
      <c r="AT34" s="10">
        <f>IF($G34=AT$5,1000,IF(AT$4=0,1000,SQRT((VLOOKUP($G34,Coords[],3,FALSE)-VLOOKUP(AT$5,Coords[],3,FALSE))^2+(VLOOKUP($G34,Coords[],4,FALSE)-VLOOKUP(AT$5,Coords[],4,FALSE))^2)))</f>
        <v>1000</v>
      </c>
      <c r="AU34" s="10">
        <f>IF($G34=AU$5,1000,IF(AU$4=0,1000,SQRT((VLOOKUP($G34,Coords[],3,FALSE)-VLOOKUP(AU$5,Coords[],3,FALSE))^2+(VLOOKUP($G34,Coords[],4,FALSE)-VLOOKUP(AU$5,Coords[],4,FALSE))^2)))</f>
        <v>1000</v>
      </c>
      <c r="AV34" s="10">
        <f>IF($G34=AV$5,1000,IF(AV$4=0,1000,SQRT((VLOOKUP($G34,Coords[],3,FALSE)-VLOOKUP(AV$5,Coords[],3,FALSE))^2+(VLOOKUP($G34,Coords[],4,FALSE)-VLOOKUP(AV$5,Coords[],4,FALSE))^2)))</f>
        <v>1000</v>
      </c>
      <c r="AW34" s="10">
        <f>IF($G34=AW$5,1000,IF(AW$4=0,1000,SQRT((VLOOKUP($G34,Coords[],3,FALSE)-VLOOKUP(AW$5,Coords[],3,FALSE))^2+(VLOOKUP($G34,Coords[],4,FALSE)-VLOOKUP(AW$5,Coords[],4,FALSE))^2)))</f>
        <v>1000</v>
      </c>
      <c r="AX34" s="10">
        <f>IF($G34=AX$5,1000,IF(AX$4=0,1000,SQRT((VLOOKUP($G34,Coords[],3,FALSE)-VLOOKUP(AX$5,Coords[],3,FALSE))^2+(VLOOKUP($G34,Coords[],4,FALSE)-VLOOKUP(AX$5,Coords[],4,FALSE))^2)))</f>
        <v>1000</v>
      </c>
      <c r="AY34" s="10">
        <f>IF($G34=AY$5,1000,IF(AY$4=0,1000,SQRT((VLOOKUP($G34,Coords[],3,FALSE)-VLOOKUP(AY$5,Coords[],3,FALSE))^2+(VLOOKUP($G34,Coords[],4,FALSE)-VLOOKUP(AY$5,Coords[],4,FALSE))^2)))</f>
        <v>1000</v>
      </c>
      <c r="AZ34" s="10">
        <f>IF($G34=AZ$5,1000,IF(AZ$4=0,1000,SQRT((VLOOKUP($G34,Coords[],3,FALSE)-VLOOKUP(AZ$5,Coords[],3,FALSE))^2+(VLOOKUP($G34,Coords[],4,FALSE)-VLOOKUP(AZ$5,Coords[],4,FALSE))^2)))</f>
        <v>1000</v>
      </c>
      <c r="BA34" s="10">
        <f>IF($G34=BA$5,1000,IF(BA$4=0,1000,SQRT((VLOOKUP($G34,Coords[],3,FALSE)-VLOOKUP(BA$5,Coords[],3,FALSE))^2+(VLOOKUP($G34,Coords[],4,FALSE)-VLOOKUP(BA$5,Coords[],4,FALSE))^2)))</f>
        <v>1000</v>
      </c>
      <c r="BB34" s="10">
        <f>IF($G34=BB$5,1000,IF(BB$4=0,1000,SQRT((VLOOKUP($G34,Coords[],3,FALSE)-VLOOKUP(BB$5,Coords[],3,FALSE))^2+(VLOOKUP($G34,Coords[],4,FALSE)-VLOOKUP(BB$5,Coords[],4,FALSE))^2)))</f>
        <v>1000</v>
      </c>
      <c r="BC34" s="10">
        <f>IF($G34=BC$5,1000,IF(BC$4=0,1000,SQRT((VLOOKUP($G34,Coords[],3,FALSE)-VLOOKUP(BC$5,Coords[],3,FALSE))^2+(VLOOKUP($G34,Coords[],4,FALSE)-VLOOKUP(BC$5,Coords[],4,FALSE))^2)))</f>
        <v>1000</v>
      </c>
      <c r="BD34" s="10">
        <f>IF($G34=BD$5,1000,IF(BD$4=0,1000,SQRT((VLOOKUP($G34,Coords[],3,FALSE)-VLOOKUP(BD$5,Coords[],3,FALSE))^2+(VLOOKUP($G34,Coords[],4,FALSE)-VLOOKUP(BD$5,Coords[],4,FALSE))^2)))</f>
        <v>1000</v>
      </c>
      <c r="BE34" s="10">
        <f>IF($G34=BE$5,1000,IF(BE$4=0,1000,SQRT((VLOOKUP($G34,Coords[],3,FALSE)-VLOOKUP(BE$5,Coords[],3,FALSE))^2+(VLOOKUP($G34,Coords[],4,FALSE)-VLOOKUP(BE$5,Coords[],4,FALSE))^2)))</f>
        <v>1000</v>
      </c>
      <c r="BF34" s="10">
        <f>IF($G34=BF$5,1000,IF(BF$4=0,1000,SQRT((VLOOKUP($G34,Coords[],3,FALSE)-VLOOKUP(BF$5,Coords[],3,FALSE))^2+(VLOOKUP($G34,Coords[],4,FALSE)-VLOOKUP(BF$5,Coords[],4,FALSE))^2)))</f>
        <v>1000</v>
      </c>
      <c r="BG34" s="10">
        <f>IF($G34=BG$5,1000,IF(BG$4=0,1000,SQRT((VLOOKUP($G34,Coords[],3,FALSE)-VLOOKUP(BG$5,Coords[],3,FALSE))^2+(VLOOKUP($G34,Coords[],4,FALSE)-VLOOKUP(BG$5,Coords[],4,FALSE))^2)))</f>
        <v>1000</v>
      </c>
      <c r="BH34" s="10">
        <f>IF($G34=BH$5,1000,IF(BH$4=0,1000,SQRT((VLOOKUP($G34,Coords[],3,FALSE)-VLOOKUP(BH$5,Coords[],3,FALSE))^2+(VLOOKUP($G34,Coords[],4,FALSE)-VLOOKUP(BH$5,Coords[],4,FALSE))^2)))</f>
        <v>1000</v>
      </c>
      <c r="BI34" s="10">
        <f>IF($G34=BI$5,1000,IF(BI$4=0,1000,SQRT((VLOOKUP($G34,Coords[],3,FALSE)-VLOOKUP(BI$5,Coords[],3,FALSE))^2+(VLOOKUP($G34,Coords[],4,FALSE)-VLOOKUP(BI$5,Coords[],4,FALSE))^2)))</f>
        <v>1000</v>
      </c>
      <c r="BJ34" s="10">
        <f>IF($G34=BJ$5,1000,IF(BJ$4=0,1000,SQRT((VLOOKUP($G34,Coords[],3,FALSE)-VLOOKUP(BJ$5,Coords[],3,FALSE))^2+(VLOOKUP($G34,Coords[],4,FALSE)-VLOOKUP(BJ$5,Coords[],4,FALSE))^2)))</f>
        <v>1000</v>
      </c>
      <c r="BK34" s="10">
        <f>IF($G34=BK$5,1000,IF(BK$4=0,1000,SQRT((VLOOKUP($G34,Coords[],3,FALSE)-VLOOKUP(BK$5,Coords[],3,FALSE))^2+(VLOOKUP($G34,Coords[],4,FALSE)-VLOOKUP(BK$5,Coords[],4,FALSE))^2)))</f>
        <v>1000</v>
      </c>
      <c r="BL34" s="10">
        <f>IF($G34=BL$5,1000,IF(BL$4=0,1000,SQRT((VLOOKUP($G34,Coords[],3,FALSE)-VLOOKUP(BL$5,Coords[],3,FALSE))^2+(VLOOKUP($G34,Coords[],4,FALSE)-VLOOKUP(BL$5,Coords[],4,FALSE))^2)))</f>
        <v>1000</v>
      </c>
      <c r="BM34" s="10">
        <f>IF($G34=BM$5,1000,IF(BM$4=0,1000,SQRT((VLOOKUP($G34,Coords[],3,FALSE)-VLOOKUP(BM$5,Coords[],3,FALSE))^2+(VLOOKUP($G34,Coords[],4,FALSE)-VLOOKUP(BM$5,Coords[],4,FALSE))^2)))</f>
        <v>1000</v>
      </c>
      <c r="BN34" s="10">
        <f>IF($G34=BN$5,1000,IF(BN$4=0,1000,SQRT((VLOOKUP($G34,Coords[],3,FALSE)-VLOOKUP(BN$5,Coords[],3,FALSE))^2+(VLOOKUP($G34,Coords[],4,FALSE)-VLOOKUP(BN$5,Coords[],4,FALSE))^2)))</f>
        <v>1000</v>
      </c>
      <c r="BO34" s="10">
        <f>IF($G34=BO$5,1000,IF(BO$4=0,1000,SQRT((VLOOKUP($G34,Coords[],3,FALSE)-VLOOKUP(BO$5,Coords[],3,FALSE))^2+(VLOOKUP($G34,Coords[],4,FALSE)-VLOOKUP(BO$5,Coords[],4,FALSE))^2)))</f>
        <v>1000</v>
      </c>
      <c r="BP34" s="10">
        <f>IF($G34=BP$5,1000,IF(BP$4=0,1000,SQRT((VLOOKUP($G34,Coords[],3,FALSE)-VLOOKUP(BP$5,Coords[],3,FALSE))^2+(VLOOKUP($G34,Coords[],4,FALSE)-VLOOKUP(BP$5,Coords[],4,FALSE))^2)))</f>
        <v>1000</v>
      </c>
      <c r="BQ34" s="10">
        <f>IF($G34=BQ$5,1000,IF(BQ$4=0,1000,SQRT((VLOOKUP($G34,Coords[],3,FALSE)-VLOOKUP(BQ$5,Coords[],3,FALSE))^2+(VLOOKUP($G34,Coords[],4,FALSE)-VLOOKUP(BQ$5,Coords[],4,FALSE))^2)))</f>
        <v>1000</v>
      </c>
      <c r="BR34" s="10">
        <f>IF($G34=BR$5,1000,IF(BR$4=0,1000,SQRT((VLOOKUP($G34,Coords[],3,FALSE)-VLOOKUP(BR$5,Coords[],3,FALSE))^2+(VLOOKUP($G34,Coords[],4,FALSE)-VLOOKUP(BR$5,Coords[],4,FALSE))^2)))</f>
        <v>1000</v>
      </c>
      <c r="BS34" s="10">
        <f>IF($G34=BS$5,1000,IF(BS$4=0,1000,SQRT((VLOOKUP($G34,Coords[],3,FALSE)-VLOOKUP(BS$5,Coords[],3,FALSE))^2+(VLOOKUP($G34,Coords[],4,FALSE)-VLOOKUP(BS$5,Coords[],4,FALSE))^2)))</f>
        <v>1000</v>
      </c>
      <c r="BT34" s="10">
        <f>IF($G34=BT$5,1000,IF(BT$4=0,1000,SQRT((VLOOKUP($G34,Coords[],3,FALSE)-VLOOKUP(BT$5,Coords[],3,FALSE))^2+(VLOOKUP($G34,Coords[],4,FALSE)-VLOOKUP(BT$5,Coords[],4,FALSE))^2)))</f>
        <v>1000</v>
      </c>
      <c r="BU34" s="10">
        <f>IF($G34=BU$5,1000,IF(BU$4=0,1000,SQRT((VLOOKUP($G34,Coords[],3,FALSE)-VLOOKUP(BU$5,Coords[],3,FALSE))^2+(VLOOKUP($G34,Coords[],4,FALSE)-VLOOKUP(BU$5,Coords[],4,FALSE))^2)))</f>
        <v>1000</v>
      </c>
      <c r="BV34" s="10">
        <f>IF($G34=BV$5,1000,IF(BV$4=0,1000,SQRT((VLOOKUP($G34,Coords[],3,FALSE)-VLOOKUP(BV$5,Coords[],3,FALSE))^2+(VLOOKUP($G34,Coords[],4,FALSE)-VLOOKUP(BV$5,Coords[],4,FALSE))^2)))</f>
        <v>1000</v>
      </c>
      <c r="BW34" s="10">
        <f>IF($G34=BW$5,1000,IF(BW$4=0,1000,SQRT((VLOOKUP($G34,Coords[],3,FALSE)-VLOOKUP(BW$5,Coords[],3,FALSE))^2+(VLOOKUP($G34,Coords[],4,FALSE)-VLOOKUP(BW$5,Coords[],4,FALSE))^2)))</f>
        <v>1000</v>
      </c>
      <c r="BX34" s="10">
        <f>IF($G34=BX$5,1000,IF(BX$4=0,1000,SQRT((VLOOKUP($G34,Coords[],3,FALSE)-VLOOKUP(BX$5,Coords[],3,FALSE))^2+(VLOOKUP($G34,Coords[],4,FALSE)-VLOOKUP(BX$5,Coords[],4,FALSE))^2)))</f>
        <v>1000</v>
      </c>
      <c r="BY34" s="10">
        <f>IF($G34=BY$5,1000,IF(BY$4=0,1000,SQRT((VLOOKUP($G34,Coords[],3,FALSE)-VLOOKUP(BY$5,Coords[],3,FALSE))^2+(VLOOKUP($G34,Coords[],4,FALSE)-VLOOKUP(BY$5,Coords[],4,FALSE))^2)))</f>
        <v>1000</v>
      </c>
      <c r="BZ34" s="10">
        <f>IF($G34=BZ$5,1000,IF(BZ$4=0,1000,SQRT((VLOOKUP($G34,Coords[],3,FALSE)-VLOOKUP(BZ$5,Coords[],3,FALSE))^2+(VLOOKUP($G34,Coords[],4,FALSE)-VLOOKUP(BZ$5,Coords[],4,FALSE))^2)))</f>
        <v>1000</v>
      </c>
      <c r="CA34" s="10">
        <f>IF($G34=CA$5,1000,IF(CA$4=0,1000,SQRT((VLOOKUP($G34,Coords[],3,FALSE)-VLOOKUP(CA$5,Coords[],3,FALSE))^2+(VLOOKUP($G34,Coords[],4,FALSE)-VLOOKUP(CA$5,Coords[],4,FALSE))^2)))</f>
        <v>1000</v>
      </c>
      <c r="CB34" s="10">
        <f>IF($G34=CB$5,1000,IF(CB$4=0,1000,SQRT((VLOOKUP($G34,Coords[],3,FALSE)-VLOOKUP(CB$5,Coords[],3,FALSE))^2+(VLOOKUP($G34,Coords[],4,FALSE)-VLOOKUP(CB$5,Coords[],4,FALSE))^2)))</f>
        <v>1000</v>
      </c>
      <c r="CC34" s="10">
        <f>IF($G34=CC$5,1000,IF(CC$4=0,1000,SQRT((VLOOKUP($G34,Coords[],3,FALSE)-VLOOKUP(CC$5,Coords[],3,FALSE))^2+(VLOOKUP($G34,Coords[],4,FALSE)-VLOOKUP(CC$5,Coords[],4,FALSE))^2)))</f>
        <v>1000</v>
      </c>
      <c r="CD34" s="10">
        <f>IF($G34=CD$5,1000,IF(CD$4=0,1000,SQRT((VLOOKUP($G34,Coords[],3,FALSE)-VLOOKUP(CD$5,Coords[],3,FALSE))^2+(VLOOKUP($G34,Coords[],4,FALSE)-VLOOKUP(CD$5,Coords[],4,FALSE))^2)))</f>
        <v>1000</v>
      </c>
      <c r="CE34" s="10">
        <f>IF($G34=CE$5,1000,IF(CE$4=0,1000,SQRT((VLOOKUP($G34,Coords[],3,FALSE)-VLOOKUP(CE$5,Coords[],3,FALSE))^2+(VLOOKUP($G34,Coords[],4,FALSE)-VLOOKUP(CE$5,Coords[],4,FALSE))^2)))</f>
        <v>1000</v>
      </c>
      <c r="CF34" s="4">
        <v>29</v>
      </c>
      <c r="CH34" s="5">
        <f>IF(E34=1,0,VLOOKUP($G34,$G$6:$CE$82,HLOOKUP(MIN(H34:CE34),$H34:$CE$82,((COUNT($G$6:$G$81)+2)-$G34),FALSE)+1,FALSE)*B34)</f>
        <v>0</v>
      </c>
      <c r="CI34" s="9">
        <f>VLOOKUP($G34,$G$6:$CE$82,HLOOKUP(MIN(H34:CE34),$H34:$CE$82,((COUNT($G$6:$G$81)+2)-$G34),FALSE)+1,FALSE)</f>
        <v>1000</v>
      </c>
      <c r="CJ34" s="7">
        <f>HLOOKUP(MIN(H34:CE34),$H34:$CE$82,((COUNT($G$6:$G$81)+2)-$G34),FALSE)</f>
        <v>1</v>
      </c>
      <c r="CK34">
        <f>CI34*Coords[[#This Row],[Demand]]</f>
        <v>0</v>
      </c>
    </row>
    <row r="35" spans="1:89" x14ac:dyDescent="0.25">
      <c r="A35" s="8">
        <v>30</v>
      </c>
      <c r="B35" s="3"/>
      <c r="C35" s="3"/>
      <c r="D35" s="3"/>
      <c r="E35" s="3"/>
      <c r="G35" s="4">
        <v>30</v>
      </c>
      <c r="H35" s="10">
        <f>IF($G35=H$5,1000,IF(H$4=0,1000,SQRT((VLOOKUP($G35,Coords[],3,FALSE)-VLOOKUP(H$5,Coords[],3,FALSE))^2+(VLOOKUP($G35,Coords[],4,FALSE)-VLOOKUP(H$5,Coords[],4,FALSE))^2)))</f>
        <v>1000</v>
      </c>
      <c r="I35" s="10">
        <f>IF($G35=I$5,1000,IF(I$4=0,1000,SQRT((VLOOKUP($G35,Coords[],3,FALSE)-VLOOKUP(I$5,Coords[],3,FALSE))^2+(VLOOKUP($G35,Coords[],4,FALSE)-VLOOKUP(I$5,Coords[],4,FALSE))^2)))</f>
        <v>1000</v>
      </c>
      <c r="J35" s="10">
        <f>IF($G35=J$5,1000,IF(J$4=0,1000,SQRT((VLOOKUP($G35,Coords[],3,FALSE)-VLOOKUP(J$5,Coords[],3,FALSE))^2+(VLOOKUP($G35,Coords[],4,FALSE)-VLOOKUP(J$5,Coords[],4,FALSE))^2)))</f>
        <v>1000</v>
      </c>
      <c r="K35" s="10">
        <f>IF($G35=K$5,1000,IF(K$4=0,1000,SQRT((VLOOKUP($G35,Coords[],3,FALSE)-VLOOKUP(K$5,Coords[],3,FALSE))^2+(VLOOKUP($G35,Coords[],4,FALSE)-VLOOKUP(K$5,Coords[],4,FALSE))^2)))</f>
        <v>1000</v>
      </c>
      <c r="L35" s="10">
        <f>IF($G35=L$5,1000,IF(L$4=0,1000,SQRT((VLOOKUP($G35,Coords[],3,FALSE)-VLOOKUP(L$5,Coords[],3,FALSE))^2+(VLOOKUP($G35,Coords[],4,FALSE)-VLOOKUP(L$5,Coords[],4,FALSE))^2)))</f>
        <v>1000</v>
      </c>
      <c r="M35" s="10">
        <f>IF($G35=M$5,1000,IF(M$4=0,1000,SQRT((VLOOKUP($G35,Coords[],3,FALSE)-VLOOKUP(M$5,Coords[],3,FALSE))^2+(VLOOKUP($G35,Coords[],4,FALSE)-VLOOKUP(M$5,Coords[],4,FALSE))^2)))</f>
        <v>1000</v>
      </c>
      <c r="N35" s="10">
        <f>IF($G35=N$5,1000,IF(N$4=0,1000,SQRT((VLOOKUP($G35,Coords[],3,FALSE)-VLOOKUP(N$5,Coords[],3,FALSE))^2+(VLOOKUP($G35,Coords[],4,FALSE)-VLOOKUP(N$5,Coords[],4,FALSE))^2)))</f>
        <v>1000</v>
      </c>
      <c r="O35" s="10">
        <f>IF($G35=O$5,1000,IF(O$4=0,1000,SQRT((VLOOKUP($G35,Coords[],3,FALSE)-VLOOKUP(O$5,Coords[],3,FALSE))^2+(VLOOKUP($G35,Coords[],4,FALSE)-VLOOKUP(O$5,Coords[],4,FALSE))^2)))</f>
        <v>1000</v>
      </c>
      <c r="P35" s="10">
        <f>IF($G35=P$5,1000,IF(P$4=0,1000,SQRT((VLOOKUP($G35,Coords[],3,FALSE)-VLOOKUP(P$5,Coords[],3,FALSE))^2+(VLOOKUP($G35,Coords[],4,FALSE)-VLOOKUP(P$5,Coords[],4,FALSE))^2)))</f>
        <v>1000</v>
      </c>
      <c r="Q35" s="10">
        <f>IF($G35=Q$5,1000,IF(Q$4=0,1000,SQRT((VLOOKUP($G35,Coords[],3,FALSE)-VLOOKUP(Q$5,Coords[],3,FALSE))^2+(VLOOKUP($G35,Coords[],4,FALSE)-VLOOKUP(Q$5,Coords[],4,FALSE))^2)))</f>
        <v>1000</v>
      </c>
      <c r="R35" s="10">
        <f>IF($G35=R$5,1000,IF(R$4=0,1000,SQRT((VLOOKUP($G35,Coords[],3,FALSE)-VLOOKUP(R$5,Coords[],3,FALSE))^2+(VLOOKUP($G35,Coords[],4,FALSE)-VLOOKUP(R$5,Coords[],4,FALSE))^2)))</f>
        <v>1000</v>
      </c>
      <c r="S35" s="10">
        <f>IF($G35=S$5,1000,IF(S$4=0,1000,SQRT((VLOOKUP($G35,Coords[],3,FALSE)-VLOOKUP(S$5,Coords[],3,FALSE))^2+(VLOOKUP($G35,Coords[],4,FALSE)-VLOOKUP(S$5,Coords[],4,FALSE))^2)))</f>
        <v>1000</v>
      </c>
      <c r="T35" s="10">
        <f>IF($G35=T$5,1000,IF(T$4=0,1000,SQRT((VLOOKUP($G35,Coords[],3,FALSE)-VLOOKUP(T$5,Coords[],3,FALSE))^2+(VLOOKUP($G35,Coords[],4,FALSE)-VLOOKUP(T$5,Coords[],4,FALSE))^2)))</f>
        <v>1000</v>
      </c>
      <c r="U35" s="10">
        <f>IF($G35=U$5,1000,IF(U$4=0,1000,SQRT((VLOOKUP($G35,Coords[],3,FALSE)-VLOOKUP(U$5,Coords[],3,FALSE))^2+(VLOOKUP($G35,Coords[],4,FALSE)-VLOOKUP(U$5,Coords[],4,FALSE))^2)))</f>
        <v>1000</v>
      </c>
      <c r="V35" s="10">
        <f>IF($G35=V$5,1000,IF(V$4=0,1000,SQRT((VLOOKUP($G35,Coords[],3,FALSE)-VLOOKUP(V$5,Coords[],3,FALSE))^2+(VLOOKUP($G35,Coords[],4,FALSE)-VLOOKUP(V$5,Coords[],4,FALSE))^2)))</f>
        <v>1000</v>
      </c>
      <c r="W35" s="10">
        <f>IF($G35=W$5,1000,IF(W$4=0,1000,SQRT((VLOOKUP($G35,Coords[],3,FALSE)-VLOOKUP(W$5,Coords[],3,FALSE))^2+(VLOOKUP($G35,Coords[],4,FALSE)-VLOOKUP(W$5,Coords[],4,FALSE))^2)))</f>
        <v>1000</v>
      </c>
      <c r="X35" s="10">
        <f>IF($G35=X$5,1000,IF(X$4=0,1000,SQRT((VLOOKUP($G35,Coords[],3,FALSE)-VLOOKUP(X$5,Coords[],3,FALSE))^2+(VLOOKUP($G35,Coords[],4,FALSE)-VLOOKUP(X$5,Coords[],4,FALSE))^2)))</f>
        <v>1000</v>
      </c>
      <c r="Y35" s="10">
        <f>IF($G35=Y$5,1000,IF(Y$4=0,1000,SQRT((VLOOKUP($G35,Coords[],3,FALSE)-VLOOKUP(Y$5,Coords[],3,FALSE))^2+(VLOOKUP($G35,Coords[],4,FALSE)-VLOOKUP(Y$5,Coords[],4,FALSE))^2)))</f>
        <v>1000</v>
      </c>
      <c r="Z35" s="10">
        <f>IF($G35=Z$5,1000,IF(Z$4=0,1000,SQRT((VLOOKUP($G35,Coords[],3,FALSE)-VLOOKUP(Z$5,Coords[],3,FALSE))^2+(VLOOKUP($G35,Coords[],4,FALSE)-VLOOKUP(Z$5,Coords[],4,FALSE))^2)))</f>
        <v>1000</v>
      </c>
      <c r="AA35" s="10">
        <f>IF($G35=AA$5,1000,IF(AA$4=0,1000,SQRT((VLOOKUP($G35,Coords[],3,FALSE)-VLOOKUP(AA$5,Coords[],3,FALSE))^2+(VLOOKUP($G35,Coords[],4,FALSE)-VLOOKUP(AA$5,Coords[],4,FALSE))^2)))</f>
        <v>1000</v>
      </c>
      <c r="AB35" s="10">
        <f>IF($G35=AB$5,1000,IF(AB$4=0,1000,SQRT((VLOOKUP($G35,Coords[],3,FALSE)-VLOOKUP(AB$5,Coords[],3,FALSE))^2+(VLOOKUP($G35,Coords[],4,FALSE)-VLOOKUP(AB$5,Coords[],4,FALSE))^2)))</f>
        <v>1000</v>
      </c>
      <c r="AC35" s="10">
        <f>IF($G35=AC$5,1000,IF(AC$4=0,1000,SQRT((VLOOKUP($G35,Coords[],3,FALSE)-VLOOKUP(AC$5,Coords[],3,FALSE))^2+(VLOOKUP($G35,Coords[],4,FALSE)-VLOOKUP(AC$5,Coords[],4,FALSE))^2)))</f>
        <v>1000</v>
      </c>
      <c r="AD35" s="10">
        <f>IF($G35=AD$5,1000,IF(AD$4=0,1000,SQRT((VLOOKUP($G35,Coords[],3,FALSE)-VLOOKUP(AD$5,Coords[],3,FALSE))^2+(VLOOKUP($G35,Coords[],4,FALSE)-VLOOKUP(AD$5,Coords[],4,FALSE))^2)))</f>
        <v>1000</v>
      </c>
      <c r="AE35" s="10">
        <f>IF($G35=AE$5,1000,IF(AE$4=0,1000,SQRT((VLOOKUP($G35,Coords[],3,FALSE)-VLOOKUP(AE$5,Coords[],3,FALSE))^2+(VLOOKUP($G35,Coords[],4,FALSE)-VLOOKUP(AE$5,Coords[],4,FALSE))^2)))</f>
        <v>1000</v>
      </c>
      <c r="AF35" s="10">
        <f>IF($G35=AF$5,1000,IF(AF$4=0,1000,SQRT((VLOOKUP($G35,Coords[],3,FALSE)-VLOOKUP(AF$5,Coords[],3,FALSE))^2+(VLOOKUP($G35,Coords[],4,FALSE)-VLOOKUP(AF$5,Coords[],4,FALSE))^2)))</f>
        <v>1000</v>
      </c>
      <c r="AG35" s="10">
        <f>IF($G35=AG$5,1000,IF(AG$4=0,1000,SQRT((VLOOKUP($G35,Coords[],3,FALSE)-VLOOKUP(AG$5,Coords[],3,FALSE))^2+(VLOOKUP($G35,Coords[],4,FALSE)-VLOOKUP(AG$5,Coords[],4,FALSE))^2)))</f>
        <v>1000</v>
      </c>
      <c r="AH35" s="10">
        <f>IF($G35=AH$5,1000,IF(AH$4=0,1000,SQRT((VLOOKUP($G35,Coords[],3,FALSE)-VLOOKUP(AH$5,Coords[],3,FALSE))^2+(VLOOKUP($G35,Coords[],4,FALSE)-VLOOKUP(AH$5,Coords[],4,FALSE))^2)))</f>
        <v>1000</v>
      </c>
      <c r="AI35" s="10">
        <f>IF($G35=AI$5,1000,IF(AI$4=0,1000,SQRT((VLOOKUP($G35,Coords[],3,FALSE)-VLOOKUP(AI$5,Coords[],3,FALSE))^2+(VLOOKUP($G35,Coords[],4,FALSE)-VLOOKUP(AI$5,Coords[],4,FALSE))^2)))</f>
        <v>1000</v>
      </c>
      <c r="AJ35" s="10">
        <f>IF($G35=AJ$5,1000,IF(AJ$4=0,1000,SQRT((VLOOKUP($G35,Coords[],3,FALSE)-VLOOKUP(AJ$5,Coords[],3,FALSE))^2+(VLOOKUP($G35,Coords[],4,FALSE)-VLOOKUP(AJ$5,Coords[],4,FALSE))^2)))</f>
        <v>1000</v>
      </c>
      <c r="AK35" s="10">
        <f>IF($G35=AK$5,1000,IF(AK$4=0,1000,SQRT((VLOOKUP($G35,Coords[],3,FALSE)-VLOOKUP(AK$5,Coords[],3,FALSE))^2+(VLOOKUP($G35,Coords[],4,FALSE)-VLOOKUP(AK$5,Coords[],4,FALSE))^2)))</f>
        <v>1000</v>
      </c>
      <c r="AL35" s="10">
        <f>IF($G35=AL$5,1000,IF(AL$4=0,1000,SQRT((VLOOKUP($G35,Coords[],3,FALSE)-VLOOKUP(AL$5,Coords[],3,FALSE))^2+(VLOOKUP($G35,Coords[],4,FALSE)-VLOOKUP(AL$5,Coords[],4,FALSE))^2)))</f>
        <v>1000</v>
      </c>
      <c r="AM35" s="10">
        <f>IF($G35=AM$5,1000,IF(AM$4=0,1000,SQRT((VLOOKUP($G35,Coords[],3,FALSE)-VLOOKUP(AM$5,Coords[],3,FALSE))^2+(VLOOKUP($G35,Coords[],4,FALSE)-VLOOKUP(AM$5,Coords[],4,FALSE))^2)))</f>
        <v>1000</v>
      </c>
      <c r="AN35" s="10">
        <f>IF($G35=AN$5,1000,IF(AN$4=0,1000,SQRT((VLOOKUP($G35,Coords[],3,FALSE)-VLOOKUP(AN$5,Coords[],3,FALSE))^2+(VLOOKUP($G35,Coords[],4,FALSE)-VLOOKUP(AN$5,Coords[],4,FALSE))^2)))</f>
        <v>1000</v>
      </c>
      <c r="AO35" s="10">
        <f>IF($G35=AO$5,1000,IF(AO$4=0,1000,SQRT((VLOOKUP($G35,Coords[],3,FALSE)-VLOOKUP(AO$5,Coords[],3,FALSE))^2+(VLOOKUP($G35,Coords[],4,FALSE)-VLOOKUP(AO$5,Coords[],4,FALSE))^2)))</f>
        <v>1000</v>
      </c>
      <c r="AP35" s="10">
        <f>IF($G35=AP$5,1000,IF(AP$4=0,1000,SQRT((VLOOKUP($G35,Coords[],3,FALSE)-VLOOKUP(AP$5,Coords[],3,FALSE))^2+(VLOOKUP($G35,Coords[],4,FALSE)-VLOOKUP(AP$5,Coords[],4,FALSE))^2)))</f>
        <v>1000</v>
      </c>
      <c r="AQ35" s="10">
        <f>IF($G35=AQ$5,1000,IF(AQ$4=0,1000,SQRT((VLOOKUP($G35,Coords[],3,FALSE)-VLOOKUP(AQ$5,Coords[],3,FALSE))^2+(VLOOKUP($G35,Coords[],4,FALSE)-VLOOKUP(AQ$5,Coords[],4,FALSE))^2)))</f>
        <v>1000</v>
      </c>
      <c r="AR35" s="10">
        <f>IF($G35=AR$5,1000,IF(AR$4=0,1000,SQRT((VLOOKUP($G35,Coords[],3,FALSE)-VLOOKUP(AR$5,Coords[],3,FALSE))^2+(VLOOKUP($G35,Coords[],4,FALSE)-VLOOKUP(AR$5,Coords[],4,FALSE))^2)))</f>
        <v>1000</v>
      </c>
      <c r="AS35" s="10">
        <f>IF($G35=AS$5,1000,IF(AS$4=0,1000,SQRT((VLOOKUP($G35,Coords[],3,FALSE)-VLOOKUP(AS$5,Coords[],3,FALSE))^2+(VLOOKUP($G35,Coords[],4,FALSE)-VLOOKUP(AS$5,Coords[],4,FALSE))^2)))</f>
        <v>1000</v>
      </c>
      <c r="AT35" s="10">
        <f>IF($G35=AT$5,1000,IF(AT$4=0,1000,SQRT((VLOOKUP($G35,Coords[],3,FALSE)-VLOOKUP(AT$5,Coords[],3,FALSE))^2+(VLOOKUP($G35,Coords[],4,FALSE)-VLOOKUP(AT$5,Coords[],4,FALSE))^2)))</f>
        <v>1000</v>
      </c>
      <c r="AU35" s="10">
        <f>IF($G35=AU$5,1000,IF(AU$4=0,1000,SQRT((VLOOKUP($G35,Coords[],3,FALSE)-VLOOKUP(AU$5,Coords[],3,FALSE))^2+(VLOOKUP($G35,Coords[],4,FALSE)-VLOOKUP(AU$5,Coords[],4,FALSE))^2)))</f>
        <v>1000</v>
      </c>
      <c r="AV35" s="10">
        <f>IF($G35=AV$5,1000,IF(AV$4=0,1000,SQRT((VLOOKUP($G35,Coords[],3,FALSE)-VLOOKUP(AV$5,Coords[],3,FALSE))^2+(VLOOKUP($G35,Coords[],4,FALSE)-VLOOKUP(AV$5,Coords[],4,FALSE))^2)))</f>
        <v>1000</v>
      </c>
      <c r="AW35" s="10">
        <f>IF($G35=AW$5,1000,IF(AW$4=0,1000,SQRT((VLOOKUP($G35,Coords[],3,FALSE)-VLOOKUP(AW$5,Coords[],3,FALSE))^2+(VLOOKUP($G35,Coords[],4,FALSE)-VLOOKUP(AW$5,Coords[],4,FALSE))^2)))</f>
        <v>1000</v>
      </c>
      <c r="AX35" s="10">
        <f>IF($G35=AX$5,1000,IF(AX$4=0,1000,SQRT((VLOOKUP($G35,Coords[],3,FALSE)-VLOOKUP(AX$5,Coords[],3,FALSE))^2+(VLOOKUP($G35,Coords[],4,FALSE)-VLOOKUP(AX$5,Coords[],4,FALSE))^2)))</f>
        <v>1000</v>
      </c>
      <c r="AY35" s="10">
        <f>IF($G35=AY$5,1000,IF(AY$4=0,1000,SQRT((VLOOKUP($G35,Coords[],3,FALSE)-VLOOKUP(AY$5,Coords[],3,FALSE))^2+(VLOOKUP($G35,Coords[],4,FALSE)-VLOOKUP(AY$5,Coords[],4,FALSE))^2)))</f>
        <v>1000</v>
      </c>
      <c r="AZ35" s="10">
        <f>IF($G35=AZ$5,1000,IF(AZ$4=0,1000,SQRT((VLOOKUP($G35,Coords[],3,FALSE)-VLOOKUP(AZ$5,Coords[],3,FALSE))^2+(VLOOKUP($G35,Coords[],4,FALSE)-VLOOKUP(AZ$5,Coords[],4,FALSE))^2)))</f>
        <v>1000</v>
      </c>
      <c r="BA35" s="10">
        <f>IF($G35=BA$5,1000,IF(BA$4=0,1000,SQRT((VLOOKUP($G35,Coords[],3,FALSE)-VLOOKUP(BA$5,Coords[],3,FALSE))^2+(VLOOKUP($G35,Coords[],4,FALSE)-VLOOKUP(BA$5,Coords[],4,FALSE))^2)))</f>
        <v>1000</v>
      </c>
      <c r="BB35" s="10">
        <f>IF($G35=BB$5,1000,IF(BB$4=0,1000,SQRT((VLOOKUP($G35,Coords[],3,FALSE)-VLOOKUP(BB$5,Coords[],3,FALSE))^2+(VLOOKUP($G35,Coords[],4,FALSE)-VLOOKUP(BB$5,Coords[],4,FALSE))^2)))</f>
        <v>1000</v>
      </c>
      <c r="BC35" s="10">
        <f>IF($G35=BC$5,1000,IF(BC$4=0,1000,SQRT((VLOOKUP($G35,Coords[],3,FALSE)-VLOOKUP(BC$5,Coords[],3,FALSE))^2+(VLOOKUP($G35,Coords[],4,FALSE)-VLOOKUP(BC$5,Coords[],4,FALSE))^2)))</f>
        <v>1000</v>
      </c>
      <c r="BD35" s="10">
        <f>IF($G35=BD$5,1000,IF(BD$4=0,1000,SQRT((VLOOKUP($G35,Coords[],3,FALSE)-VLOOKUP(BD$5,Coords[],3,FALSE))^2+(VLOOKUP($G35,Coords[],4,FALSE)-VLOOKUP(BD$5,Coords[],4,FALSE))^2)))</f>
        <v>1000</v>
      </c>
      <c r="BE35" s="10">
        <f>IF($G35=BE$5,1000,IF(BE$4=0,1000,SQRT((VLOOKUP($G35,Coords[],3,FALSE)-VLOOKUP(BE$5,Coords[],3,FALSE))^2+(VLOOKUP($G35,Coords[],4,FALSE)-VLOOKUP(BE$5,Coords[],4,FALSE))^2)))</f>
        <v>1000</v>
      </c>
      <c r="BF35" s="10">
        <f>IF($G35=BF$5,1000,IF(BF$4=0,1000,SQRT((VLOOKUP($G35,Coords[],3,FALSE)-VLOOKUP(BF$5,Coords[],3,FALSE))^2+(VLOOKUP($G35,Coords[],4,FALSE)-VLOOKUP(BF$5,Coords[],4,FALSE))^2)))</f>
        <v>1000</v>
      </c>
      <c r="BG35" s="10">
        <f>IF($G35=BG$5,1000,IF(BG$4=0,1000,SQRT((VLOOKUP($G35,Coords[],3,FALSE)-VLOOKUP(BG$5,Coords[],3,FALSE))^2+(VLOOKUP($G35,Coords[],4,FALSE)-VLOOKUP(BG$5,Coords[],4,FALSE))^2)))</f>
        <v>1000</v>
      </c>
      <c r="BH35" s="10">
        <f>IF($G35=BH$5,1000,IF(BH$4=0,1000,SQRT((VLOOKUP($G35,Coords[],3,FALSE)-VLOOKUP(BH$5,Coords[],3,FALSE))^2+(VLOOKUP($G35,Coords[],4,FALSE)-VLOOKUP(BH$5,Coords[],4,FALSE))^2)))</f>
        <v>1000</v>
      </c>
      <c r="BI35" s="10">
        <f>IF($G35=BI$5,1000,IF(BI$4=0,1000,SQRT((VLOOKUP($G35,Coords[],3,FALSE)-VLOOKUP(BI$5,Coords[],3,FALSE))^2+(VLOOKUP($G35,Coords[],4,FALSE)-VLOOKUP(BI$5,Coords[],4,FALSE))^2)))</f>
        <v>1000</v>
      </c>
      <c r="BJ35" s="10">
        <f>IF($G35=BJ$5,1000,IF(BJ$4=0,1000,SQRT((VLOOKUP($G35,Coords[],3,FALSE)-VLOOKUP(BJ$5,Coords[],3,FALSE))^2+(VLOOKUP($G35,Coords[],4,FALSE)-VLOOKUP(BJ$5,Coords[],4,FALSE))^2)))</f>
        <v>1000</v>
      </c>
      <c r="BK35" s="10">
        <f>IF($G35=BK$5,1000,IF(BK$4=0,1000,SQRT((VLOOKUP($G35,Coords[],3,FALSE)-VLOOKUP(BK$5,Coords[],3,FALSE))^2+(VLOOKUP($G35,Coords[],4,FALSE)-VLOOKUP(BK$5,Coords[],4,FALSE))^2)))</f>
        <v>1000</v>
      </c>
      <c r="BL35" s="10">
        <f>IF($G35=BL$5,1000,IF(BL$4=0,1000,SQRT((VLOOKUP($G35,Coords[],3,FALSE)-VLOOKUP(BL$5,Coords[],3,FALSE))^2+(VLOOKUP($G35,Coords[],4,FALSE)-VLOOKUP(BL$5,Coords[],4,FALSE))^2)))</f>
        <v>1000</v>
      </c>
      <c r="BM35" s="10">
        <f>IF($G35=BM$5,1000,IF(BM$4=0,1000,SQRT((VLOOKUP($G35,Coords[],3,FALSE)-VLOOKUP(BM$5,Coords[],3,FALSE))^2+(VLOOKUP($G35,Coords[],4,FALSE)-VLOOKUP(BM$5,Coords[],4,FALSE))^2)))</f>
        <v>1000</v>
      </c>
      <c r="BN35" s="10">
        <f>IF($G35=BN$5,1000,IF(BN$4=0,1000,SQRT((VLOOKUP($G35,Coords[],3,FALSE)-VLOOKUP(BN$5,Coords[],3,FALSE))^2+(VLOOKUP($G35,Coords[],4,FALSE)-VLOOKUP(BN$5,Coords[],4,FALSE))^2)))</f>
        <v>1000</v>
      </c>
      <c r="BO35" s="10">
        <f>IF($G35=BO$5,1000,IF(BO$4=0,1000,SQRT((VLOOKUP($G35,Coords[],3,FALSE)-VLOOKUP(BO$5,Coords[],3,FALSE))^2+(VLOOKUP($G35,Coords[],4,FALSE)-VLOOKUP(BO$5,Coords[],4,FALSE))^2)))</f>
        <v>1000</v>
      </c>
      <c r="BP35" s="10">
        <f>IF($G35=BP$5,1000,IF(BP$4=0,1000,SQRT((VLOOKUP($G35,Coords[],3,FALSE)-VLOOKUP(BP$5,Coords[],3,FALSE))^2+(VLOOKUP($G35,Coords[],4,FALSE)-VLOOKUP(BP$5,Coords[],4,FALSE))^2)))</f>
        <v>1000</v>
      </c>
      <c r="BQ35" s="10">
        <f>IF($G35=BQ$5,1000,IF(BQ$4=0,1000,SQRT((VLOOKUP($G35,Coords[],3,FALSE)-VLOOKUP(BQ$5,Coords[],3,FALSE))^2+(VLOOKUP($G35,Coords[],4,FALSE)-VLOOKUP(BQ$5,Coords[],4,FALSE))^2)))</f>
        <v>1000</v>
      </c>
      <c r="BR35" s="10">
        <f>IF($G35=BR$5,1000,IF(BR$4=0,1000,SQRT((VLOOKUP($G35,Coords[],3,FALSE)-VLOOKUP(BR$5,Coords[],3,FALSE))^2+(VLOOKUP($G35,Coords[],4,FALSE)-VLOOKUP(BR$5,Coords[],4,FALSE))^2)))</f>
        <v>1000</v>
      </c>
      <c r="BS35" s="10">
        <f>IF($G35=BS$5,1000,IF(BS$4=0,1000,SQRT((VLOOKUP($G35,Coords[],3,FALSE)-VLOOKUP(BS$5,Coords[],3,FALSE))^2+(VLOOKUP($G35,Coords[],4,FALSE)-VLOOKUP(BS$5,Coords[],4,FALSE))^2)))</f>
        <v>1000</v>
      </c>
      <c r="BT35" s="10">
        <f>IF($G35=BT$5,1000,IF(BT$4=0,1000,SQRT((VLOOKUP($G35,Coords[],3,FALSE)-VLOOKUP(BT$5,Coords[],3,FALSE))^2+(VLOOKUP($G35,Coords[],4,FALSE)-VLOOKUP(BT$5,Coords[],4,FALSE))^2)))</f>
        <v>1000</v>
      </c>
      <c r="BU35" s="10">
        <f>IF($G35=BU$5,1000,IF(BU$4=0,1000,SQRT((VLOOKUP($G35,Coords[],3,FALSE)-VLOOKUP(BU$5,Coords[],3,FALSE))^2+(VLOOKUP($G35,Coords[],4,FALSE)-VLOOKUP(BU$5,Coords[],4,FALSE))^2)))</f>
        <v>1000</v>
      </c>
      <c r="BV35" s="10">
        <f>IF($G35=BV$5,1000,IF(BV$4=0,1000,SQRT((VLOOKUP($G35,Coords[],3,FALSE)-VLOOKUP(BV$5,Coords[],3,FALSE))^2+(VLOOKUP($G35,Coords[],4,FALSE)-VLOOKUP(BV$5,Coords[],4,FALSE))^2)))</f>
        <v>1000</v>
      </c>
      <c r="BW35" s="10">
        <f>IF($G35=BW$5,1000,IF(BW$4=0,1000,SQRT((VLOOKUP($G35,Coords[],3,FALSE)-VLOOKUP(BW$5,Coords[],3,FALSE))^2+(VLOOKUP($G35,Coords[],4,FALSE)-VLOOKUP(BW$5,Coords[],4,FALSE))^2)))</f>
        <v>1000</v>
      </c>
      <c r="BX35" s="10">
        <f>IF($G35=BX$5,1000,IF(BX$4=0,1000,SQRT((VLOOKUP($G35,Coords[],3,FALSE)-VLOOKUP(BX$5,Coords[],3,FALSE))^2+(VLOOKUP($G35,Coords[],4,FALSE)-VLOOKUP(BX$5,Coords[],4,FALSE))^2)))</f>
        <v>1000</v>
      </c>
      <c r="BY35" s="10">
        <f>IF($G35=BY$5,1000,IF(BY$4=0,1000,SQRT((VLOOKUP($G35,Coords[],3,FALSE)-VLOOKUP(BY$5,Coords[],3,FALSE))^2+(VLOOKUP($G35,Coords[],4,FALSE)-VLOOKUP(BY$5,Coords[],4,FALSE))^2)))</f>
        <v>1000</v>
      </c>
      <c r="BZ35" s="10">
        <f>IF($G35=BZ$5,1000,IF(BZ$4=0,1000,SQRT((VLOOKUP($G35,Coords[],3,FALSE)-VLOOKUP(BZ$5,Coords[],3,FALSE))^2+(VLOOKUP($G35,Coords[],4,FALSE)-VLOOKUP(BZ$5,Coords[],4,FALSE))^2)))</f>
        <v>1000</v>
      </c>
      <c r="CA35" s="10">
        <f>IF($G35=CA$5,1000,IF(CA$4=0,1000,SQRT((VLOOKUP($G35,Coords[],3,FALSE)-VLOOKUP(CA$5,Coords[],3,FALSE))^2+(VLOOKUP($G35,Coords[],4,FALSE)-VLOOKUP(CA$5,Coords[],4,FALSE))^2)))</f>
        <v>1000</v>
      </c>
      <c r="CB35" s="10">
        <f>IF($G35=CB$5,1000,IF(CB$4=0,1000,SQRT((VLOOKUP($G35,Coords[],3,FALSE)-VLOOKUP(CB$5,Coords[],3,FALSE))^2+(VLOOKUP($G35,Coords[],4,FALSE)-VLOOKUP(CB$5,Coords[],4,FALSE))^2)))</f>
        <v>1000</v>
      </c>
      <c r="CC35" s="10">
        <f>IF($G35=CC$5,1000,IF(CC$4=0,1000,SQRT((VLOOKUP($G35,Coords[],3,FALSE)-VLOOKUP(CC$5,Coords[],3,FALSE))^2+(VLOOKUP($G35,Coords[],4,FALSE)-VLOOKUP(CC$5,Coords[],4,FALSE))^2)))</f>
        <v>1000</v>
      </c>
      <c r="CD35" s="10">
        <f>IF($G35=CD$5,1000,IF(CD$4=0,1000,SQRT((VLOOKUP($G35,Coords[],3,FALSE)-VLOOKUP(CD$5,Coords[],3,FALSE))^2+(VLOOKUP($G35,Coords[],4,FALSE)-VLOOKUP(CD$5,Coords[],4,FALSE))^2)))</f>
        <v>1000</v>
      </c>
      <c r="CE35" s="10">
        <f>IF($G35=CE$5,1000,IF(CE$4=0,1000,SQRT((VLOOKUP($G35,Coords[],3,FALSE)-VLOOKUP(CE$5,Coords[],3,FALSE))^2+(VLOOKUP($G35,Coords[],4,FALSE)-VLOOKUP(CE$5,Coords[],4,FALSE))^2)))</f>
        <v>1000</v>
      </c>
      <c r="CF35" s="4">
        <v>30</v>
      </c>
      <c r="CH35" s="5">
        <f>IF(E35=1,0,VLOOKUP($G35,$G$6:$CE$82,HLOOKUP(MIN(H35:CE35),$H35:$CE$82,((COUNT($G$6:$G$81)+2)-$G35),FALSE)+1,FALSE)*B35)</f>
        <v>0</v>
      </c>
      <c r="CI35" s="9">
        <f>VLOOKUP($G35,$G$6:$CE$82,HLOOKUP(MIN(H35:CE35),$H35:$CE$82,((COUNT($G$6:$G$81)+2)-$G35),FALSE)+1,FALSE)</f>
        <v>1000</v>
      </c>
      <c r="CJ35" s="7">
        <f>HLOOKUP(MIN(H35:CE35),$H35:$CE$82,((COUNT($G$6:$G$81)+2)-$G35),FALSE)</f>
        <v>1</v>
      </c>
      <c r="CK35">
        <f>CI35*Coords[[#This Row],[Demand]]</f>
        <v>0</v>
      </c>
    </row>
    <row r="36" spans="1:89" x14ac:dyDescent="0.25">
      <c r="A36" s="8">
        <v>31</v>
      </c>
      <c r="B36" s="3"/>
      <c r="C36" s="3"/>
      <c r="D36" s="3"/>
      <c r="E36" s="3"/>
      <c r="G36" s="4">
        <v>31</v>
      </c>
      <c r="H36" s="10">
        <f>IF($G36=H$5,1000,IF(H$4=0,1000,SQRT((VLOOKUP($G36,Coords[],3,FALSE)-VLOOKUP(H$5,Coords[],3,FALSE))^2+(VLOOKUP($G36,Coords[],4,FALSE)-VLOOKUP(H$5,Coords[],4,FALSE))^2)))</f>
        <v>1000</v>
      </c>
      <c r="I36" s="10">
        <f>IF($G36=I$5,1000,IF(I$4=0,1000,SQRT((VLOOKUP($G36,Coords[],3,FALSE)-VLOOKUP(I$5,Coords[],3,FALSE))^2+(VLOOKUP($G36,Coords[],4,FALSE)-VLOOKUP(I$5,Coords[],4,FALSE))^2)))</f>
        <v>1000</v>
      </c>
      <c r="J36" s="10">
        <f>IF($G36=J$5,1000,IF(J$4=0,1000,SQRT((VLOOKUP($G36,Coords[],3,FALSE)-VLOOKUP(J$5,Coords[],3,FALSE))^2+(VLOOKUP($G36,Coords[],4,FALSE)-VLOOKUP(J$5,Coords[],4,FALSE))^2)))</f>
        <v>1000</v>
      </c>
      <c r="K36" s="10">
        <f>IF($G36=K$5,1000,IF(K$4=0,1000,SQRT((VLOOKUP($G36,Coords[],3,FALSE)-VLOOKUP(K$5,Coords[],3,FALSE))^2+(VLOOKUP($G36,Coords[],4,FALSE)-VLOOKUP(K$5,Coords[],4,FALSE))^2)))</f>
        <v>1000</v>
      </c>
      <c r="L36" s="10">
        <f>IF($G36=L$5,1000,IF(L$4=0,1000,SQRT((VLOOKUP($G36,Coords[],3,FALSE)-VLOOKUP(L$5,Coords[],3,FALSE))^2+(VLOOKUP($G36,Coords[],4,FALSE)-VLOOKUP(L$5,Coords[],4,FALSE))^2)))</f>
        <v>1000</v>
      </c>
      <c r="M36" s="10">
        <f>IF($G36=M$5,1000,IF(M$4=0,1000,SQRT((VLOOKUP($G36,Coords[],3,FALSE)-VLOOKUP(M$5,Coords[],3,FALSE))^2+(VLOOKUP($G36,Coords[],4,FALSE)-VLOOKUP(M$5,Coords[],4,FALSE))^2)))</f>
        <v>1000</v>
      </c>
      <c r="N36" s="10">
        <f>IF($G36=N$5,1000,IF(N$4=0,1000,SQRT((VLOOKUP($G36,Coords[],3,FALSE)-VLOOKUP(N$5,Coords[],3,FALSE))^2+(VLOOKUP($G36,Coords[],4,FALSE)-VLOOKUP(N$5,Coords[],4,FALSE))^2)))</f>
        <v>1000</v>
      </c>
      <c r="O36" s="10">
        <f>IF($G36=O$5,1000,IF(O$4=0,1000,SQRT((VLOOKUP($G36,Coords[],3,FALSE)-VLOOKUP(O$5,Coords[],3,FALSE))^2+(VLOOKUP($G36,Coords[],4,FALSE)-VLOOKUP(O$5,Coords[],4,FALSE))^2)))</f>
        <v>1000</v>
      </c>
      <c r="P36" s="10">
        <f>IF($G36=P$5,1000,IF(P$4=0,1000,SQRT((VLOOKUP($G36,Coords[],3,FALSE)-VLOOKUP(P$5,Coords[],3,FALSE))^2+(VLOOKUP($G36,Coords[],4,FALSE)-VLOOKUP(P$5,Coords[],4,FALSE))^2)))</f>
        <v>1000</v>
      </c>
      <c r="Q36" s="10">
        <f>IF($G36=Q$5,1000,IF(Q$4=0,1000,SQRT((VLOOKUP($G36,Coords[],3,FALSE)-VLOOKUP(Q$5,Coords[],3,FALSE))^2+(VLOOKUP($G36,Coords[],4,FALSE)-VLOOKUP(Q$5,Coords[],4,FALSE))^2)))</f>
        <v>1000</v>
      </c>
      <c r="R36" s="10">
        <f>IF($G36=R$5,1000,IF(R$4=0,1000,SQRT((VLOOKUP($G36,Coords[],3,FALSE)-VLOOKUP(R$5,Coords[],3,FALSE))^2+(VLOOKUP($G36,Coords[],4,FALSE)-VLOOKUP(R$5,Coords[],4,FALSE))^2)))</f>
        <v>1000</v>
      </c>
      <c r="S36" s="10">
        <f>IF($G36=S$5,1000,IF(S$4=0,1000,SQRT((VLOOKUP($G36,Coords[],3,FALSE)-VLOOKUP(S$5,Coords[],3,FALSE))^2+(VLOOKUP($G36,Coords[],4,FALSE)-VLOOKUP(S$5,Coords[],4,FALSE))^2)))</f>
        <v>1000</v>
      </c>
      <c r="T36" s="10">
        <f>IF($G36=T$5,1000,IF(T$4=0,1000,SQRT((VLOOKUP($G36,Coords[],3,FALSE)-VLOOKUP(T$5,Coords[],3,FALSE))^2+(VLOOKUP($G36,Coords[],4,FALSE)-VLOOKUP(T$5,Coords[],4,FALSE))^2)))</f>
        <v>1000</v>
      </c>
      <c r="U36" s="10">
        <f>IF($G36=U$5,1000,IF(U$4=0,1000,SQRT((VLOOKUP($G36,Coords[],3,FALSE)-VLOOKUP(U$5,Coords[],3,FALSE))^2+(VLOOKUP($G36,Coords[],4,FALSE)-VLOOKUP(U$5,Coords[],4,FALSE))^2)))</f>
        <v>1000</v>
      </c>
      <c r="V36" s="10">
        <f>IF($G36=V$5,1000,IF(V$4=0,1000,SQRT((VLOOKUP($G36,Coords[],3,FALSE)-VLOOKUP(V$5,Coords[],3,FALSE))^2+(VLOOKUP($G36,Coords[],4,FALSE)-VLOOKUP(V$5,Coords[],4,FALSE))^2)))</f>
        <v>1000</v>
      </c>
      <c r="W36" s="10">
        <f>IF($G36=W$5,1000,IF(W$4=0,1000,SQRT((VLOOKUP($G36,Coords[],3,FALSE)-VLOOKUP(W$5,Coords[],3,FALSE))^2+(VLOOKUP($G36,Coords[],4,FALSE)-VLOOKUP(W$5,Coords[],4,FALSE))^2)))</f>
        <v>1000</v>
      </c>
      <c r="X36" s="10">
        <f>IF($G36=X$5,1000,IF(X$4=0,1000,SQRT((VLOOKUP($G36,Coords[],3,FALSE)-VLOOKUP(X$5,Coords[],3,FALSE))^2+(VLOOKUP($G36,Coords[],4,FALSE)-VLOOKUP(X$5,Coords[],4,FALSE))^2)))</f>
        <v>1000</v>
      </c>
      <c r="Y36" s="10">
        <f>IF($G36=Y$5,1000,IF(Y$4=0,1000,SQRT((VLOOKUP($G36,Coords[],3,FALSE)-VLOOKUP(Y$5,Coords[],3,FALSE))^2+(VLOOKUP($G36,Coords[],4,FALSE)-VLOOKUP(Y$5,Coords[],4,FALSE))^2)))</f>
        <v>1000</v>
      </c>
      <c r="Z36" s="10">
        <f>IF($G36=Z$5,1000,IF(Z$4=0,1000,SQRT((VLOOKUP($G36,Coords[],3,FALSE)-VLOOKUP(Z$5,Coords[],3,FALSE))^2+(VLOOKUP($G36,Coords[],4,FALSE)-VLOOKUP(Z$5,Coords[],4,FALSE))^2)))</f>
        <v>1000</v>
      </c>
      <c r="AA36" s="10">
        <f>IF($G36=AA$5,1000,IF(AA$4=0,1000,SQRT((VLOOKUP($G36,Coords[],3,FALSE)-VLOOKUP(AA$5,Coords[],3,FALSE))^2+(VLOOKUP($G36,Coords[],4,FALSE)-VLOOKUP(AA$5,Coords[],4,FALSE))^2)))</f>
        <v>1000</v>
      </c>
      <c r="AB36" s="10">
        <f>IF($G36=AB$5,1000,IF(AB$4=0,1000,SQRT((VLOOKUP($G36,Coords[],3,FALSE)-VLOOKUP(AB$5,Coords[],3,FALSE))^2+(VLOOKUP($G36,Coords[],4,FALSE)-VLOOKUP(AB$5,Coords[],4,FALSE))^2)))</f>
        <v>1000</v>
      </c>
      <c r="AC36" s="10">
        <f>IF($G36=AC$5,1000,IF(AC$4=0,1000,SQRT((VLOOKUP($G36,Coords[],3,FALSE)-VLOOKUP(AC$5,Coords[],3,FALSE))^2+(VLOOKUP($G36,Coords[],4,FALSE)-VLOOKUP(AC$5,Coords[],4,FALSE))^2)))</f>
        <v>1000</v>
      </c>
      <c r="AD36" s="10">
        <f>IF($G36=AD$5,1000,IF(AD$4=0,1000,SQRT((VLOOKUP($G36,Coords[],3,FALSE)-VLOOKUP(AD$5,Coords[],3,FALSE))^2+(VLOOKUP($G36,Coords[],4,FALSE)-VLOOKUP(AD$5,Coords[],4,FALSE))^2)))</f>
        <v>1000</v>
      </c>
      <c r="AE36" s="10">
        <f>IF($G36=AE$5,1000,IF(AE$4=0,1000,SQRT((VLOOKUP($G36,Coords[],3,FALSE)-VLOOKUP(AE$5,Coords[],3,FALSE))^2+(VLOOKUP($G36,Coords[],4,FALSE)-VLOOKUP(AE$5,Coords[],4,FALSE))^2)))</f>
        <v>1000</v>
      </c>
      <c r="AF36" s="10">
        <f>IF($G36=AF$5,1000,IF(AF$4=0,1000,SQRT((VLOOKUP($G36,Coords[],3,FALSE)-VLOOKUP(AF$5,Coords[],3,FALSE))^2+(VLOOKUP($G36,Coords[],4,FALSE)-VLOOKUP(AF$5,Coords[],4,FALSE))^2)))</f>
        <v>1000</v>
      </c>
      <c r="AG36" s="10">
        <f>IF($G36=AG$5,1000,IF(AG$4=0,1000,SQRT((VLOOKUP($G36,Coords[],3,FALSE)-VLOOKUP(AG$5,Coords[],3,FALSE))^2+(VLOOKUP($G36,Coords[],4,FALSE)-VLOOKUP(AG$5,Coords[],4,FALSE))^2)))</f>
        <v>1000</v>
      </c>
      <c r="AH36" s="10">
        <f>IF($G36=AH$5,1000,IF(AH$4=0,1000,SQRT((VLOOKUP($G36,Coords[],3,FALSE)-VLOOKUP(AH$5,Coords[],3,FALSE))^2+(VLOOKUP($G36,Coords[],4,FALSE)-VLOOKUP(AH$5,Coords[],4,FALSE))^2)))</f>
        <v>1000</v>
      </c>
      <c r="AI36" s="10">
        <f>IF($G36=AI$5,1000,IF(AI$4=0,1000,SQRT((VLOOKUP($G36,Coords[],3,FALSE)-VLOOKUP(AI$5,Coords[],3,FALSE))^2+(VLOOKUP($G36,Coords[],4,FALSE)-VLOOKUP(AI$5,Coords[],4,FALSE))^2)))</f>
        <v>1000</v>
      </c>
      <c r="AJ36" s="10">
        <f>IF($G36=AJ$5,1000,IF(AJ$4=0,1000,SQRT((VLOOKUP($G36,Coords[],3,FALSE)-VLOOKUP(AJ$5,Coords[],3,FALSE))^2+(VLOOKUP($G36,Coords[],4,FALSE)-VLOOKUP(AJ$5,Coords[],4,FALSE))^2)))</f>
        <v>1000</v>
      </c>
      <c r="AK36" s="10">
        <f>IF($G36=AK$5,1000,IF(AK$4=0,1000,SQRT((VLOOKUP($G36,Coords[],3,FALSE)-VLOOKUP(AK$5,Coords[],3,FALSE))^2+(VLOOKUP($G36,Coords[],4,FALSE)-VLOOKUP(AK$5,Coords[],4,FALSE))^2)))</f>
        <v>1000</v>
      </c>
      <c r="AL36" s="10">
        <f>IF($G36=AL$5,1000,IF(AL$4=0,1000,SQRT((VLOOKUP($G36,Coords[],3,FALSE)-VLOOKUP(AL$5,Coords[],3,FALSE))^2+(VLOOKUP($G36,Coords[],4,FALSE)-VLOOKUP(AL$5,Coords[],4,FALSE))^2)))</f>
        <v>1000</v>
      </c>
      <c r="AM36" s="10">
        <f>IF($G36=AM$5,1000,IF(AM$4=0,1000,SQRT((VLOOKUP($G36,Coords[],3,FALSE)-VLOOKUP(AM$5,Coords[],3,FALSE))^2+(VLOOKUP($G36,Coords[],4,FALSE)-VLOOKUP(AM$5,Coords[],4,FALSE))^2)))</f>
        <v>1000</v>
      </c>
      <c r="AN36" s="10">
        <f>IF($G36=AN$5,1000,IF(AN$4=0,1000,SQRT((VLOOKUP($G36,Coords[],3,FALSE)-VLOOKUP(AN$5,Coords[],3,FALSE))^2+(VLOOKUP($G36,Coords[],4,FALSE)-VLOOKUP(AN$5,Coords[],4,FALSE))^2)))</f>
        <v>1000</v>
      </c>
      <c r="AO36" s="10">
        <f>IF($G36=AO$5,1000,IF(AO$4=0,1000,SQRT((VLOOKUP($G36,Coords[],3,FALSE)-VLOOKUP(AO$5,Coords[],3,FALSE))^2+(VLOOKUP($G36,Coords[],4,FALSE)-VLOOKUP(AO$5,Coords[],4,FALSE))^2)))</f>
        <v>1000</v>
      </c>
      <c r="AP36" s="10">
        <f>IF($G36=AP$5,1000,IF(AP$4=0,1000,SQRT((VLOOKUP($G36,Coords[],3,FALSE)-VLOOKUP(AP$5,Coords[],3,FALSE))^2+(VLOOKUP($G36,Coords[],4,FALSE)-VLOOKUP(AP$5,Coords[],4,FALSE))^2)))</f>
        <v>1000</v>
      </c>
      <c r="AQ36" s="10">
        <f>IF($G36=AQ$5,1000,IF(AQ$4=0,1000,SQRT((VLOOKUP($G36,Coords[],3,FALSE)-VLOOKUP(AQ$5,Coords[],3,FALSE))^2+(VLOOKUP($G36,Coords[],4,FALSE)-VLOOKUP(AQ$5,Coords[],4,FALSE))^2)))</f>
        <v>1000</v>
      </c>
      <c r="AR36" s="10">
        <f>IF($G36=AR$5,1000,IF(AR$4=0,1000,SQRT((VLOOKUP($G36,Coords[],3,FALSE)-VLOOKUP(AR$5,Coords[],3,FALSE))^2+(VLOOKUP($G36,Coords[],4,FALSE)-VLOOKUP(AR$5,Coords[],4,FALSE))^2)))</f>
        <v>1000</v>
      </c>
      <c r="AS36" s="10">
        <f>IF($G36=AS$5,1000,IF(AS$4=0,1000,SQRT((VLOOKUP($G36,Coords[],3,FALSE)-VLOOKUP(AS$5,Coords[],3,FALSE))^2+(VLOOKUP($G36,Coords[],4,FALSE)-VLOOKUP(AS$5,Coords[],4,FALSE))^2)))</f>
        <v>1000</v>
      </c>
      <c r="AT36" s="10">
        <f>IF($G36=AT$5,1000,IF(AT$4=0,1000,SQRT((VLOOKUP($G36,Coords[],3,FALSE)-VLOOKUP(AT$5,Coords[],3,FALSE))^2+(VLOOKUP($G36,Coords[],4,FALSE)-VLOOKUP(AT$5,Coords[],4,FALSE))^2)))</f>
        <v>1000</v>
      </c>
      <c r="AU36" s="10">
        <f>IF($G36=AU$5,1000,IF(AU$4=0,1000,SQRT((VLOOKUP($G36,Coords[],3,FALSE)-VLOOKUP(AU$5,Coords[],3,FALSE))^2+(VLOOKUP($G36,Coords[],4,FALSE)-VLOOKUP(AU$5,Coords[],4,FALSE))^2)))</f>
        <v>1000</v>
      </c>
      <c r="AV36" s="10">
        <f>IF($G36=AV$5,1000,IF(AV$4=0,1000,SQRT((VLOOKUP($G36,Coords[],3,FALSE)-VLOOKUP(AV$5,Coords[],3,FALSE))^2+(VLOOKUP($G36,Coords[],4,FALSE)-VLOOKUP(AV$5,Coords[],4,FALSE))^2)))</f>
        <v>1000</v>
      </c>
      <c r="AW36" s="10">
        <f>IF($G36=AW$5,1000,IF(AW$4=0,1000,SQRT((VLOOKUP($G36,Coords[],3,FALSE)-VLOOKUP(AW$5,Coords[],3,FALSE))^2+(VLOOKUP($G36,Coords[],4,FALSE)-VLOOKUP(AW$5,Coords[],4,FALSE))^2)))</f>
        <v>1000</v>
      </c>
      <c r="AX36" s="10">
        <f>IF($G36=AX$5,1000,IF(AX$4=0,1000,SQRT((VLOOKUP($G36,Coords[],3,FALSE)-VLOOKUP(AX$5,Coords[],3,FALSE))^2+(VLOOKUP($G36,Coords[],4,FALSE)-VLOOKUP(AX$5,Coords[],4,FALSE))^2)))</f>
        <v>1000</v>
      </c>
      <c r="AY36" s="10">
        <f>IF($G36=AY$5,1000,IF(AY$4=0,1000,SQRT((VLOOKUP($G36,Coords[],3,FALSE)-VLOOKUP(AY$5,Coords[],3,FALSE))^2+(VLOOKUP($G36,Coords[],4,FALSE)-VLOOKUP(AY$5,Coords[],4,FALSE))^2)))</f>
        <v>1000</v>
      </c>
      <c r="AZ36" s="10">
        <f>IF($G36=AZ$5,1000,IF(AZ$4=0,1000,SQRT((VLOOKUP($G36,Coords[],3,FALSE)-VLOOKUP(AZ$5,Coords[],3,FALSE))^2+(VLOOKUP($G36,Coords[],4,FALSE)-VLOOKUP(AZ$5,Coords[],4,FALSE))^2)))</f>
        <v>1000</v>
      </c>
      <c r="BA36" s="10">
        <f>IF($G36=BA$5,1000,IF(BA$4=0,1000,SQRT((VLOOKUP($G36,Coords[],3,FALSE)-VLOOKUP(BA$5,Coords[],3,FALSE))^2+(VLOOKUP($G36,Coords[],4,FALSE)-VLOOKUP(BA$5,Coords[],4,FALSE))^2)))</f>
        <v>1000</v>
      </c>
      <c r="BB36" s="10">
        <f>IF($G36=BB$5,1000,IF(BB$4=0,1000,SQRT((VLOOKUP($G36,Coords[],3,FALSE)-VLOOKUP(BB$5,Coords[],3,FALSE))^2+(VLOOKUP($G36,Coords[],4,FALSE)-VLOOKUP(BB$5,Coords[],4,FALSE))^2)))</f>
        <v>1000</v>
      </c>
      <c r="BC36" s="10">
        <f>IF($G36=BC$5,1000,IF(BC$4=0,1000,SQRT((VLOOKUP($G36,Coords[],3,FALSE)-VLOOKUP(BC$5,Coords[],3,FALSE))^2+(VLOOKUP($G36,Coords[],4,FALSE)-VLOOKUP(BC$5,Coords[],4,FALSE))^2)))</f>
        <v>1000</v>
      </c>
      <c r="BD36" s="10">
        <f>IF($G36=BD$5,1000,IF(BD$4=0,1000,SQRT((VLOOKUP($G36,Coords[],3,FALSE)-VLOOKUP(BD$5,Coords[],3,FALSE))^2+(VLOOKUP($G36,Coords[],4,FALSE)-VLOOKUP(BD$5,Coords[],4,FALSE))^2)))</f>
        <v>1000</v>
      </c>
      <c r="BE36" s="10">
        <f>IF($G36=BE$5,1000,IF(BE$4=0,1000,SQRT((VLOOKUP($G36,Coords[],3,FALSE)-VLOOKUP(BE$5,Coords[],3,FALSE))^2+(VLOOKUP($G36,Coords[],4,FALSE)-VLOOKUP(BE$5,Coords[],4,FALSE))^2)))</f>
        <v>1000</v>
      </c>
      <c r="BF36" s="10">
        <f>IF($G36=BF$5,1000,IF(BF$4=0,1000,SQRT((VLOOKUP($G36,Coords[],3,FALSE)-VLOOKUP(BF$5,Coords[],3,FALSE))^2+(VLOOKUP($G36,Coords[],4,FALSE)-VLOOKUP(BF$5,Coords[],4,FALSE))^2)))</f>
        <v>1000</v>
      </c>
      <c r="BG36" s="10">
        <f>IF($G36=BG$5,1000,IF(BG$4=0,1000,SQRT((VLOOKUP($G36,Coords[],3,FALSE)-VLOOKUP(BG$5,Coords[],3,FALSE))^2+(VLOOKUP($G36,Coords[],4,FALSE)-VLOOKUP(BG$5,Coords[],4,FALSE))^2)))</f>
        <v>1000</v>
      </c>
      <c r="BH36" s="10">
        <f>IF($G36=BH$5,1000,IF(BH$4=0,1000,SQRT((VLOOKUP($G36,Coords[],3,FALSE)-VLOOKUP(BH$5,Coords[],3,FALSE))^2+(VLOOKUP($G36,Coords[],4,FALSE)-VLOOKUP(BH$5,Coords[],4,FALSE))^2)))</f>
        <v>1000</v>
      </c>
      <c r="BI36" s="10">
        <f>IF($G36=BI$5,1000,IF(BI$4=0,1000,SQRT((VLOOKUP($G36,Coords[],3,FALSE)-VLOOKUP(BI$5,Coords[],3,FALSE))^2+(VLOOKUP($G36,Coords[],4,FALSE)-VLOOKUP(BI$5,Coords[],4,FALSE))^2)))</f>
        <v>1000</v>
      </c>
      <c r="BJ36" s="10">
        <f>IF($G36=BJ$5,1000,IF(BJ$4=0,1000,SQRT((VLOOKUP($G36,Coords[],3,FALSE)-VLOOKUP(BJ$5,Coords[],3,FALSE))^2+(VLOOKUP($G36,Coords[],4,FALSE)-VLOOKUP(BJ$5,Coords[],4,FALSE))^2)))</f>
        <v>1000</v>
      </c>
      <c r="BK36" s="10">
        <f>IF($G36=BK$5,1000,IF(BK$4=0,1000,SQRT((VLOOKUP($G36,Coords[],3,FALSE)-VLOOKUP(BK$5,Coords[],3,FALSE))^2+(VLOOKUP($G36,Coords[],4,FALSE)-VLOOKUP(BK$5,Coords[],4,FALSE))^2)))</f>
        <v>1000</v>
      </c>
      <c r="BL36" s="10">
        <f>IF($G36=BL$5,1000,IF(BL$4=0,1000,SQRT((VLOOKUP($G36,Coords[],3,FALSE)-VLOOKUP(BL$5,Coords[],3,FALSE))^2+(VLOOKUP($G36,Coords[],4,FALSE)-VLOOKUP(BL$5,Coords[],4,FALSE))^2)))</f>
        <v>1000</v>
      </c>
      <c r="BM36" s="10">
        <f>IF($G36=BM$5,1000,IF(BM$4=0,1000,SQRT((VLOOKUP($G36,Coords[],3,FALSE)-VLOOKUP(BM$5,Coords[],3,FALSE))^2+(VLOOKUP($G36,Coords[],4,FALSE)-VLOOKUP(BM$5,Coords[],4,FALSE))^2)))</f>
        <v>1000</v>
      </c>
      <c r="BN36" s="10">
        <f>IF($G36=BN$5,1000,IF(BN$4=0,1000,SQRT((VLOOKUP($G36,Coords[],3,FALSE)-VLOOKUP(BN$5,Coords[],3,FALSE))^2+(VLOOKUP($G36,Coords[],4,FALSE)-VLOOKUP(BN$5,Coords[],4,FALSE))^2)))</f>
        <v>1000</v>
      </c>
      <c r="BO36" s="10">
        <f>IF($G36=BO$5,1000,IF(BO$4=0,1000,SQRT((VLOOKUP($G36,Coords[],3,FALSE)-VLOOKUP(BO$5,Coords[],3,FALSE))^2+(VLOOKUP($G36,Coords[],4,FALSE)-VLOOKUP(BO$5,Coords[],4,FALSE))^2)))</f>
        <v>1000</v>
      </c>
      <c r="BP36" s="10">
        <f>IF($G36=BP$5,1000,IF(BP$4=0,1000,SQRT((VLOOKUP($G36,Coords[],3,FALSE)-VLOOKUP(BP$5,Coords[],3,FALSE))^2+(VLOOKUP($G36,Coords[],4,FALSE)-VLOOKUP(BP$5,Coords[],4,FALSE))^2)))</f>
        <v>1000</v>
      </c>
      <c r="BQ36" s="10">
        <f>IF($G36=BQ$5,1000,IF(BQ$4=0,1000,SQRT((VLOOKUP($G36,Coords[],3,FALSE)-VLOOKUP(BQ$5,Coords[],3,FALSE))^2+(VLOOKUP($G36,Coords[],4,FALSE)-VLOOKUP(BQ$5,Coords[],4,FALSE))^2)))</f>
        <v>1000</v>
      </c>
      <c r="BR36" s="10">
        <f>IF($G36=BR$5,1000,IF(BR$4=0,1000,SQRT((VLOOKUP($G36,Coords[],3,FALSE)-VLOOKUP(BR$5,Coords[],3,FALSE))^2+(VLOOKUP($G36,Coords[],4,FALSE)-VLOOKUP(BR$5,Coords[],4,FALSE))^2)))</f>
        <v>1000</v>
      </c>
      <c r="BS36" s="10">
        <f>IF($G36=BS$5,1000,IF(BS$4=0,1000,SQRT((VLOOKUP($G36,Coords[],3,FALSE)-VLOOKUP(BS$5,Coords[],3,FALSE))^2+(VLOOKUP($G36,Coords[],4,FALSE)-VLOOKUP(BS$5,Coords[],4,FALSE))^2)))</f>
        <v>1000</v>
      </c>
      <c r="BT36" s="10">
        <f>IF($G36=BT$5,1000,IF(BT$4=0,1000,SQRT((VLOOKUP($G36,Coords[],3,FALSE)-VLOOKUP(BT$5,Coords[],3,FALSE))^2+(VLOOKUP($G36,Coords[],4,FALSE)-VLOOKUP(BT$5,Coords[],4,FALSE))^2)))</f>
        <v>1000</v>
      </c>
      <c r="BU36" s="10">
        <f>IF($G36=BU$5,1000,IF(BU$4=0,1000,SQRT((VLOOKUP($G36,Coords[],3,FALSE)-VLOOKUP(BU$5,Coords[],3,FALSE))^2+(VLOOKUP($G36,Coords[],4,FALSE)-VLOOKUP(BU$5,Coords[],4,FALSE))^2)))</f>
        <v>1000</v>
      </c>
      <c r="BV36" s="10">
        <f>IF($G36=BV$5,1000,IF(BV$4=0,1000,SQRT((VLOOKUP($G36,Coords[],3,FALSE)-VLOOKUP(BV$5,Coords[],3,FALSE))^2+(VLOOKUP($G36,Coords[],4,FALSE)-VLOOKUP(BV$5,Coords[],4,FALSE))^2)))</f>
        <v>1000</v>
      </c>
      <c r="BW36" s="10">
        <f>IF($G36=BW$5,1000,IF(BW$4=0,1000,SQRT((VLOOKUP($G36,Coords[],3,FALSE)-VLOOKUP(BW$5,Coords[],3,FALSE))^2+(VLOOKUP($G36,Coords[],4,FALSE)-VLOOKUP(BW$5,Coords[],4,FALSE))^2)))</f>
        <v>1000</v>
      </c>
      <c r="BX36" s="10">
        <f>IF($G36=BX$5,1000,IF(BX$4=0,1000,SQRT((VLOOKUP($G36,Coords[],3,FALSE)-VLOOKUP(BX$5,Coords[],3,FALSE))^2+(VLOOKUP($G36,Coords[],4,FALSE)-VLOOKUP(BX$5,Coords[],4,FALSE))^2)))</f>
        <v>1000</v>
      </c>
      <c r="BY36" s="10">
        <f>IF($G36=BY$5,1000,IF(BY$4=0,1000,SQRT((VLOOKUP($G36,Coords[],3,FALSE)-VLOOKUP(BY$5,Coords[],3,FALSE))^2+(VLOOKUP($G36,Coords[],4,FALSE)-VLOOKUP(BY$5,Coords[],4,FALSE))^2)))</f>
        <v>1000</v>
      </c>
      <c r="BZ36" s="10">
        <f>IF($G36=BZ$5,1000,IF(BZ$4=0,1000,SQRT((VLOOKUP($G36,Coords[],3,FALSE)-VLOOKUP(BZ$5,Coords[],3,FALSE))^2+(VLOOKUP($G36,Coords[],4,FALSE)-VLOOKUP(BZ$5,Coords[],4,FALSE))^2)))</f>
        <v>1000</v>
      </c>
      <c r="CA36" s="10">
        <f>IF($G36=CA$5,1000,IF(CA$4=0,1000,SQRT((VLOOKUP($G36,Coords[],3,FALSE)-VLOOKUP(CA$5,Coords[],3,FALSE))^2+(VLOOKUP($G36,Coords[],4,FALSE)-VLOOKUP(CA$5,Coords[],4,FALSE))^2)))</f>
        <v>1000</v>
      </c>
      <c r="CB36" s="10">
        <f>IF($G36=CB$5,1000,IF(CB$4=0,1000,SQRT((VLOOKUP($G36,Coords[],3,FALSE)-VLOOKUP(CB$5,Coords[],3,FALSE))^2+(VLOOKUP($G36,Coords[],4,FALSE)-VLOOKUP(CB$5,Coords[],4,FALSE))^2)))</f>
        <v>1000</v>
      </c>
      <c r="CC36" s="10">
        <f>IF($G36=CC$5,1000,IF(CC$4=0,1000,SQRT((VLOOKUP($G36,Coords[],3,FALSE)-VLOOKUP(CC$5,Coords[],3,FALSE))^2+(VLOOKUP($G36,Coords[],4,FALSE)-VLOOKUP(CC$5,Coords[],4,FALSE))^2)))</f>
        <v>1000</v>
      </c>
      <c r="CD36" s="10">
        <f>IF($G36=CD$5,1000,IF(CD$4=0,1000,SQRT((VLOOKUP($G36,Coords[],3,FALSE)-VLOOKUP(CD$5,Coords[],3,FALSE))^2+(VLOOKUP($G36,Coords[],4,FALSE)-VLOOKUP(CD$5,Coords[],4,FALSE))^2)))</f>
        <v>1000</v>
      </c>
      <c r="CE36" s="10">
        <f>IF($G36=CE$5,1000,IF(CE$4=0,1000,SQRT((VLOOKUP($G36,Coords[],3,FALSE)-VLOOKUP(CE$5,Coords[],3,FALSE))^2+(VLOOKUP($G36,Coords[],4,FALSE)-VLOOKUP(CE$5,Coords[],4,FALSE))^2)))</f>
        <v>1000</v>
      </c>
      <c r="CF36" s="4">
        <v>31</v>
      </c>
      <c r="CH36" s="5">
        <f>IF(E36=1,0,VLOOKUP($G36,$G$6:$CE$82,HLOOKUP(MIN(H36:CE36),$H36:$CE$82,((COUNT($G$6:$G$81)+2)-$G36),FALSE)+1,FALSE)*B36)</f>
        <v>0</v>
      </c>
      <c r="CI36" s="9">
        <f>VLOOKUP($G36,$G$6:$CE$82,HLOOKUP(MIN(H36:CE36),$H36:$CE$82,((COUNT($G$6:$G$81)+2)-$G36),FALSE)+1,FALSE)</f>
        <v>1000</v>
      </c>
      <c r="CJ36" s="7">
        <f>HLOOKUP(MIN(H36:CE36),$H36:$CE$82,((COUNT($G$6:$G$81)+2)-$G36),FALSE)</f>
        <v>1</v>
      </c>
      <c r="CK36">
        <f>CI36*Coords[[#This Row],[Demand]]</f>
        <v>0</v>
      </c>
    </row>
    <row r="37" spans="1:89" x14ac:dyDescent="0.25">
      <c r="A37" s="8">
        <v>32</v>
      </c>
      <c r="B37" s="3"/>
      <c r="C37" s="3"/>
      <c r="D37" s="3"/>
      <c r="E37" s="3"/>
      <c r="G37" s="4">
        <v>32</v>
      </c>
      <c r="H37" s="10">
        <f>IF($G37=H$5,1000,IF(H$4=0,1000,SQRT((VLOOKUP($G37,Coords[],3,FALSE)-VLOOKUP(H$5,Coords[],3,FALSE))^2+(VLOOKUP($G37,Coords[],4,FALSE)-VLOOKUP(H$5,Coords[],4,FALSE))^2)))</f>
        <v>1000</v>
      </c>
      <c r="I37" s="10">
        <f>IF($G37=I$5,1000,IF(I$4=0,1000,SQRT((VLOOKUP($G37,Coords[],3,FALSE)-VLOOKUP(I$5,Coords[],3,FALSE))^2+(VLOOKUP($G37,Coords[],4,FALSE)-VLOOKUP(I$5,Coords[],4,FALSE))^2)))</f>
        <v>1000</v>
      </c>
      <c r="J37" s="10">
        <f>IF($G37=J$5,1000,IF(J$4=0,1000,SQRT((VLOOKUP($G37,Coords[],3,FALSE)-VLOOKUP(J$5,Coords[],3,FALSE))^2+(VLOOKUP($G37,Coords[],4,FALSE)-VLOOKUP(J$5,Coords[],4,FALSE))^2)))</f>
        <v>1000</v>
      </c>
      <c r="K37" s="10">
        <f>IF($G37=K$5,1000,IF(K$4=0,1000,SQRT((VLOOKUP($G37,Coords[],3,FALSE)-VLOOKUP(K$5,Coords[],3,FALSE))^2+(VLOOKUP($G37,Coords[],4,FALSE)-VLOOKUP(K$5,Coords[],4,FALSE))^2)))</f>
        <v>1000</v>
      </c>
      <c r="L37" s="10">
        <f>IF($G37=L$5,1000,IF(L$4=0,1000,SQRT((VLOOKUP($G37,Coords[],3,FALSE)-VLOOKUP(L$5,Coords[],3,FALSE))^2+(VLOOKUP($G37,Coords[],4,FALSE)-VLOOKUP(L$5,Coords[],4,FALSE))^2)))</f>
        <v>1000</v>
      </c>
      <c r="M37" s="10">
        <f>IF($G37=M$5,1000,IF(M$4=0,1000,SQRT((VLOOKUP($G37,Coords[],3,FALSE)-VLOOKUP(M$5,Coords[],3,FALSE))^2+(VLOOKUP($G37,Coords[],4,FALSE)-VLOOKUP(M$5,Coords[],4,FALSE))^2)))</f>
        <v>1000</v>
      </c>
      <c r="N37" s="10">
        <f>IF($G37=N$5,1000,IF(N$4=0,1000,SQRT((VLOOKUP($G37,Coords[],3,FALSE)-VLOOKUP(N$5,Coords[],3,FALSE))^2+(VLOOKUP($G37,Coords[],4,FALSE)-VLOOKUP(N$5,Coords[],4,FALSE))^2)))</f>
        <v>1000</v>
      </c>
      <c r="O37" s="10">
        <f>IF($G37=O$5,1000,IF(O$4=0,1000,SQRT((VLOOKUP($G37,Coords[],3,FALSE)-VLOOKUP(O$5,Coords[],3,FALSE))^2+(VLOOKUP($G37,Coords[],4,FALSE)-VLOOKUP(O$5,Coords[],4,FALSE))^2)))</f>
        <v>1000</v>
      </c>
      <c r="P37" s="10">
        <f>IF($G37=P$5,1000,IF(P$4=0,1000,SQRT((VLOOKUP($G37,Coords[],3,FALSE)-VLOOKUP(P$5,Coords[],3,FALSE))^2+(VLOOKUP($G37,Coords[],4,FALSE)-VLOOKUP(P$5,Coords[],4,FALSE))^2)))</f>
        <v>1000</v>
      </c>
      <c r="Q37" s="10">
        <f>IF($G37=Q$5,1000,IF(Q$4=0,1000,SQRT((VLOOKUP($G37,Coords[],3,FALSE)-VLOOKUP(Q$5,Coords[],3,FALSE))^2+(VLOOKUP($G37,Coords[],4,FALSE)-VLOOKUP(Q$5,Coords[],4,FALSE))^2)))</f>
        <v>1000</v>
      </c>
      <c r="R37" s="10">
        <f>IF($G37=R$5,1000,IF(R$4=0,1000,SQRT((VLOOKUP($G37,Coords[],3,FALSE)-VLOOKUP(R$5,Coords[],3,FALSE))^2+(VLOOKUP($G37,Coords[],4,FALSE)-VLOOKUP(R$5,Coords[],4,FALSE))^2)))</f>
        <v>1000</v>
      </c>
      <c r="S37" s="10">
        <f>IF($G37=S$5,1000,IF(S$4=0,1000,SQRT((VLOOKUP($G37,Coords[],3,FALSE)-VLOOKUP(S$5,Coords[],3,FALSE))^2+(VLOOKUP($G37,Coords[],4,FALSE)-VLOOKUP(S$5,Coords[],4,FALSE))^2)))</f>
        <v>1000</v>
      </c>
      <c r="T37" s="10">
        <f>IF($G37=T$5,1000,IF(T$4=0,1000,SQRT((VLOOKUP($G37,Coords[],3,FALSE)-VLOOKUP(T$5,Coords[],3,FALSE))^2+(VLOOKUP($G37,Coords[],4,FALSE)-VLOOKUP(T$5,Coords[],4,FALSE))^2)))</f>
        <v>1000</v>
      </c>
      <c r="U37" s="10">
        <f>IF($G37=U$5,1000,IF(U$4=0,1000,SQRT((VLOOKUP($G37,Coords[],3,FALSE)-VLOOKUP(U$5,Coords[],3,FALSE))^2+(VLOOKUP($G37,Coords[],4,FALSE)-VLOOKUP(U$5,Coords[],4,FALSE))^2)))</f>
        <v>1000</v>
      </c>
      <c r="V37" s="10">
        <f>IF($G37=V$5,1000,IF(V$4=0,1000,SQRT((VLOOKUP($G37,Coords[],3,FALSE)-VLOOKUP(V$5,Coords[],3,FALSE))^2+(VLOOKUP($G37,Coords[],4,FALSE)-VLOOKUP(V$5,Coords[],4,FALSE))^2)))</f>
        <v>1000</v>
      </c>
      <c r="W37" s="10">
        <f>IF($G37=W$5,1000,IF(W$4=0,1000,SQRT((VLOOKUP($G37,Coords[],3,FALSE)-VLOOKUP(W$5,Coords[],3,FALSE))^2+(VLOOKUP($G37,Coords[],4,FALSE)-VLOOKUP(W$5,Coords[],4,FALSE))^2)))</f>
        <v>1000</v>
      </c>
      <c r="X37" s="10">
        <f>IF($G37=X$5,1000,IF(X$4=0,1000,SQRT((VLOOKUP($G37,Coords[],3,FALSE)-VLOOKUP(X$5,Coords[],3,FALSE))^2+(VLOOKUP($G37,Coords[],4,FALSE)-VLOOKUP(X$5,Coords[],4,FALSE))^2)))</f>
        <v>1000</v>
      </c>
      <c r="Y37" s="10">
        <f>IF($G37=Y$5,1000,IF(Y$4=0,1000,SQRT((VLOOKUP($G37,Coords[],3,FALSE)-VLOOKUP(Y$5,Coords[],3,FALSE))^2+(VLOOKUP($G37,Coords[],4,FALSE)-VLOOKUP(Y$5,Coords[],4,FALSE))^2)))</f>
        <v>1000</v>
      </c>
      <c r="Z37" s="10">
        <f>IF($G37=Z$5,1000,IF(Z$4=0,1000,SQRT((VLOOKUP($G37,Coords[],3,FALSE)-VLOOKUP(Z$5,Coords[],3,FALSE))^2+(VLOOKUP($G37,Coords[],4,FALSE)-VLOOKUP(Z$5,Coords[],4,FALSE))^2)))</f>
        <v>1000</v>
      </c>
      <c r="AA37" s="10">
        <f>IF($G37=AA$5,1000,IF(AA$4=0,1000,SQRT((VLOOKUP($G37,Coords[],3,FALSE)-VLOOKUP(AA$5,Coords[],3,FALSE))^2+(VLOOKUP($G37,Coords[],4,FALSE)-VLOOKUP(AA$5,Coords[],4,FALSE))^2)))</f>
        <v>1000</v>
      </c>
      <c r="AB37" s="10">
        <f>IF($G37=AB$5,1000,IF(AB$4=0,1000,SQRT((VLOOKUP($G37,Coords[],3,FALSE)-VLOOKUP(AB$5,Coords[],3,FALSE))^2+(VLOOKUP($G37,Coords[],4,FALSE)-VLOOKUP(AB$5,Coords[],4,FALSE))^2)))</f>
        <v>1000</v>
      </c>
      <c r="AC37" s="10">
        <f>IF($G37=AC$5,1000,IF(AC$4=0,1000,SQRT((VLOOKUP($G37,Coords[],3,FALSE)-VLOOKUP(AC$5,Coords[],3,FALSE))^2+(VLOOKUP($G37,Coords[],4,FALSE)-VLOOKUP(AC$5,Coords[],4,FALSE))^2)))</f>
        <v>1000</v>
      </c>
      <c r="AD37" s="10">
        <f>IF($G37=AD$5,1000,IF(AD$4=0,1000,SQRT((VLOOKUP($G37,Coords[],3,FALSE)-VLOOKUP(AD$5,Coords[],3,FALSE))^2+(VLOOKUP($G37,Coords[],4,FALSE)-VLOOKUP(AD$5,Coords[],4,FALSE))^2)))</f>
        <v>1000</v>
      </c>
      <c r="AE37" s="10">
        <f>IF($G37=AE$5,1000,IF(AE$4=0,1000,SQRT((VLOOKUP($G37,Coords[],3,FALSE)-VLOOKUP(AE$5,Coords[],3,FALSE))^2+(VLOOKUP($G37,Coords[],4,FALSE)-VLOOKUP(AE$5,Coords[],4,FALSE))^2)))</f>
        <v>1000</v>
      </c>
      <c r="AF37" s="10">
        <f>IF($G37=AF$5,1000,IF(AF$4=0,1000,SQRT((VLOOKUP($G37,Coords[],3,FALSE)-VLOOKUP(AF$5,Coords[],3,FALSE))^2+(VLOOKUP($G37,Coords[],4,FALSE)-VLOOKUP(AF$5,Coords[],4,FALSE))^2)))</f>
        <v>1000</v>
      </c>
      <c r="AG37" s="10">
        <f>IF($G37=AG$5,1000,IF(AG$4=0,1000,SQRT((VLOOKUP($G37,Coords[],3,FALSE)-VLOOKUP(AG$5,Coords[],3,FALSE))^2+(VLOOKUP($G37,Coords[],4,FALSE)-VLOOKUP(AG$5,Coords[],4,FALSE))^2)))</f>
        <v>1000</v>
      </c>
      <c r="AH37" s="10">
        <f>IF($G37=AH$5,1000,IF(AH$4=0,1000,SQRT((VLOOKUP($G37,Coords[],3,FALSE)-VLOOKUP(AH$5,Coords[],3,FALSE))^2+(VLOOKUP($G37,Coords[],4,FALSE)-VLOOKUP(AH$5,Coords[],4,FALSE))^2)))</f>
        <v>1000</v>
      </c>
      <c r="AI37" s="10">
        <f>IF($G37=AI$5,1000,IF(AI$4=0,1000,SQRT((VLOOKUP($G37,Coords[],3,FALSE)-VLOOKUP(AI$5,Coords[],3,FALSE))^2+(VLOOKUP($G37,Coords[],4,FALSE)-VLOOKUP(AI$5,Coords[],4,FALSE))^2)))</f>
        <v>1000</v>
      </c>
      <c r="AJ37" s="10">
        <f>IF($G37=AJ$5,1000,IF(AJ$4=0,1000,SQRT((VLOOKUP($G37,Coords[],3,FALSE)-VLOOKUP(AJ$5,Coords[],3,FALSE))^2+(VLOOKUP($G37,Coords[],4,FALSE)-VLOOKUP(AJ$5,Coords[],4,FALSE))^2)))</f>
        <v>1000</v>
      </c>
      <c r="AK37" s="10">
        <f>IF($G37=AK$5,1000,IF(AK$4=0,1000,SQRT((VLOOKUP($G37,Coords[],3,FALSE)-VLOOKUP(AK$5,Coords[],3,FALSE))^2+(VLOOKUP($G37,Coords[],4,FALSE)-VLOOKUP(AK$5,Coords[],4,FALSE))^2)))</f>
        <v>1000</v>
      </c>
      <c r="AL37" s="10">
        <f>IF($G37=AL$5,1000,IF(AL$4=0,1000,SQRT((VLOOKUP($G37,Coords[],3,FALSE)-VLOOKUP(AL$5,Coords[],3,FALSE))^2+(VLOOKUP($G37,Coords[],4,FALSE)-VLOOKUP(AL$5,Coords[],4,FALSE))^2)))</f>
        <v>1000</v>
      </c>
      <c r="AM37" s="10">
        <f>IF($G37=AM$5,1000,IF(AM$4=0,1000,SQRT((VLOOKUP($G37,Coords[],3,FALSE)-VLOOKUP(AM$5,Coords[],3,FALSE))^2+(VLOOKUP($G37,Coords[],4,FALSE)-VLOOKUP(AM$5,Coords[],4,FALSE))^2)))</f>
        <v>1000</v>
      </c>
      <c r="AN37" s="10">
        <f>IF($G37=AN$5,1000,IF(AN$4=0,1000,SQRT((VLOOKUP($G37,Coords[],3,FALSE)-VLOOKUP(AN$5,Coords[],3,FALSE))^2+(VLOOKUP($G37,Coords[],4,FALSE)-VLOOKUP(AN$5,Coords[],4,FALSE))^2)))</f>
        <v>1000</v>
      </c>
      <c r="AO37" s="10">
        <f>IF($G37=AO$5,1000,IF(AO$4=0,1000,SQRT((VLOOKUP($G37,Coords[],3,FALSE)-VLOOKUP(AO$5,Coords[],3,FALSE))^2+(VLOOKUP($G37,Coords[],4,FALSE)-VLOOKUP(AO$5,Coords[],4,FALSE))^2)))</f>
        <v>1000</v>
      </c>
      <c r="AP37" s="10">
        <f>IF($G37=AP$5,1000,IF(AP$4=0,1000,SQRT((VLOOKUP($G37,Coords[],3,FALSE)-VLOOKUP(AP$5,Coords[],3,FALSE))^2+(VLOOKUP($G37,Coords[],4,FALSE)-VLOOKUP(AP$5,Coords[],4,FALSE))^2)))</f>
        <v>1000</v>
      </c>
      <c r="AQ37" s="10">
        <f>IF($G37=AQ$5,1000,IF(AQ$4=0,1000,SQRT((VLOOKUP($G37,Coords[],3,FALSE)-VLOOKUP(AQ$5,Coords[],3,FALSE))^2+(VLOOKUP($G37,Coords[],4,FALSE)-VLOOKUP(AQ$5,Coords[],4,FALSE))^2)))</f>
        <v>1000</v>
      </c>
      <c r="AR37" s="10">
        <f>IF($G37=AR$5,1000,IF(AR$4=0,1000,SQRT((VLOOKUP($G37,Coords[],3,FALSE)-VLOOKUP(AR$5,Coords[],3,FALSE))^2+(VLOOKUP($G37,Coords[],4,FALSE)-VLOOKUP(AR$5,Coords[],4,FALSE))^2)))</f>
        <v>1000</v>
      </c>
      <c r="AS37" s="10">
        <f>IF($G37=AS$5,1000,IF(AS$4=0,1000,SQRT((VLOOKUP($G37,Coords[],3,FALSE)-VLOOKUP(AS$5,Coords[],3,FALSE))^2+(VLOOKUP($G37,Coords[],4,FALSE)-VLOOKUP(AS$5,Coords[],4,FALSE))^2)))</f>
        <v>1000</v>
      </c>
      <c r="AT37" s="10">
        <f>IF($G37=AT$5,1000,IF(AT$4=0,1000,SQRT((VLOOKUP($G37,Coords[],3,FALSE)-VLOOKUP(AT$5,Coords[],3,FALSE))^2+(VLOOKUP($G37,Coords[],4,FALSE)-VLOOKUP(AT$5,Coords[],4,FALSE))^2)))</f>
        <v>1000</v>
      </c>
      <c r="AU37" s="10">
        <f>IF($G37=AU$5,1000,IF(AU$4=0,1000,SQRT((VLOOKUP($G37,Coords[],3,FALSE)-VLOOKUP(AU$5,Coords[],3,FALSE))^2+(VLOOKUP($G37,Coords[],4,FALSE)-VLOOKUP(AU$5,Coords[],4,FALSE))^2)))</f>
        <v>1000</v>
      </c>
      <c r="AV37" s="10">
        <f>IF($G37=AV$5,1000,IF(AV$4=0,1000,SQRT((VLOOKUP($G37,Coords[],3,FALSE)-VLOOKUP(AV$5,Coords[],3,FALSE))^2+(VLOOKUP($G37,Coords[],4,FALSE)-VLOOKUP(AV$5,Coords[],4,FALSE))^2)))</f>
        <v>1000</v>
      </c>
      <c r="AW37" s="10">
        <f>IF($G37=AW$5,1000,IF(AW$4=0,1000,SQRT((VLOOKUP($G37,Coords[],3,FALSE)-VLOOKUP(AW$5,Coords[],3,FALSE))^2+(VLOOKUP($G37,Coords[],4,FALSE)-VLOOKUP(AW$5,Coords[],4,FALSE))^2)))</f>
        <v>1000</v>
      </c>
      <c r="AX37" s="10">
        <f>IF($G37=AX$5,1000,IF(AX$4=0,1000,SQRT((VLOOKUP($G37,Coords[],3,FALSE)-VLOOKUP(AX$5,Coords[],3,FALSE))^2+(VLOOKUP($G37,Coords[],4,FALSE)-VLOOKUP(AX$5,Coords[],4,FALSE))^2)))</f>
        <v>1000</v>
      </c>
      <c r="AY37" s="10">
        <f>IF($G37=AY$5,1000,IF(AY$4=0,1000,SQRT((VLOOKUP($G37,Coords[],3,FALSE)-VLOOKUP(AY$5,Coords[],3,FALSE))^2+(VLOOKUP($G37,Coords[],4,FALSE)-VLOOKUP(AY$5,Coords[],4,FALSE))^2)))</f>
        <v>1000</v>
      </c>
      <c r="AZ37" s="10">
        <f>IF($G37=AZ$5,1000,IF(AZ$4=0,1000,SQRT((VLOOKUP($G37,Coords[],3,FALSE)-VLOOKUP(AZ$5,Coords[],3,FALSE))^2+(VLOOKUP($G37,Coords[],4,FALSE)-VLOOKUP(AZ$5,Coords[],4,FALSE))^2)))</f>
        <v>1000</v>
      </c>
      <c r="BA37" s="10">
        <f>IF($G37=BA$5,1000,IF(BA$4=0,1000,SQRT((VLOOKUP($G37,Coords[],3,FALSE)-VLOOKUP(BA$5,Coords[],3,FALSE))^2+(VLOOKUP($G37,Coords[],4,FALSE)-VLOOKUP(BA$5,Coords[],4,FALSE))^2)))</f>
        <v>1000</v>
      </c>
      <c r="BB37" s="10">
        <f>IF($G37=BB$5,1000,IF(BB$4=0,1000,SQRT((VLOOKUP($G37,Coords[],3,FALSE)-VLOOKUP(BB$5,Coords[],3,FALSE))^2+(VLOOKUP($G37,Coords[],4,FALSE)-VLOOKUP(BB$5,Coords[],4,FALSE))^2)))</f>
        <v>1000</v>
      </c>
      <c r="BC37" s="10">
        <f>IF($G37=BC$5,1000,IF(BC$4=0,1000,SQRT((VLOOKUP($G37,Coords[],3,FALSE)-VLOOKUP(BC$5,Coords[],3,FALSE))^2+(VLOOKUP($G37,Coords[],4,FALSE)-VLOOKUP(BC$5,Coords[],4,FALSE))^2)))</f>
        <v>1000</v>
      </c>
      <c r="BD37" s="10">
        <f>IF($G37=BD$5,1000,IF(BD$4=0,1000,SQRT((VLOOKUP($G37,Coords[],3,FALSE)-VLOOKUP(BD$5,Coords[],3,FALSE))^2+(VLOOKUP($G37,Coords[],4,FALSE)-VLOOKUP(BD$5,Coords[],4,FALSE))^2)))</f>
        <v>1000</v>
      </c>
      <c r="BE37" s="10">
        <f>IF($G37=BE$5,1000,IF(BE$4=0,1000,SQRT((VLOOKUP($G37,Coords[],3,FALSE)-VLOOKUP(BE$5,Coords[],3,FALSE))^2+(VLOOKUP($G37,Coords[],4,FALSE)-VLOOKUP(BE$5,Coords[],4,FALSE))^2)))</f>
        <v>1000</v>
      </c>
      <c r="BF37" s="10">
        <f>IF($G37=BF$5,1000,IF(BF$4=0,1000,SQRT((VLOOKUP($G37,Coords[],3,FALSE)-VLOOKUP(BF$5,Coords[],3,FALSE))^2+(VLOOKUP($G37,Coords[],4,FALSE)-VLOOKUP(BF$5,Coords[],4,FALSE))^2)))</f>
        <v>1000</v>
      </c>
      <c r="BG37" s="10">
        <f>IF($G37=BG$5,1000,IF(BG$4=0,1000,SQRT((VLOOKUP($G37,Coords[],3,FALSE)-VLOOKUP(BG$5,Coords[],3,FALSE))^2+(VLOOKUP($G37,Coords[],4,FALSE)-VLOOKUP(BG$5,Coords[],4,FALSE))^2)))</f>
        <v>1000</v>
      </c>
      <c r="BH37" s="10">
        <f>IF($G37=BH$5,1000,IF(BH$4=0,1000,SQRT((VLOOKUP($G37,Coords[],3,FALSE)-VLOOKUP(BH$5,Coords[],3,FALSE))^2+(VLOOKUP($G37,Coords[],4,FALSE)-VLOOKUP(BH$5,Coords[],4,FALSE))^2)))</f>
        <v>1000</v>
      </c>
      <c r="BI37" s="10">
        <f>IF($G37=BI$5,1000,IF(BI$4=0,1000,SQRT((VLOOKUP($G37,Coords[],3,FALSE)-VLOOKUP(BI$5,Coords[],3,FALSE))^2+(VLOOKUP($G37,Coords[],4,FALSE)-VLOOKUP(BI$5,Coords[],4,FALSE))^2)))</f>
        <v>1000</v>
      </c>
      <c r="BJ37" s="10">
        <f>IF($G37=BJ$5,1000,IF(BJ$4=0,1000,SQRT((VLOOKUP($G37,Coords[],3,FALSE)-VLOOKUP(BJ$5,Coords[],3,FALSE))^2+(VLOOKUP($G37,Coords[],4,FALSE)-VLOOKUP(BJ$5,Coords[],4,FALSE))^2)))</f>
        <v>1000</v>
      </c>
      <c r="BK37" s="10">
        <f>IF($G37=BK$5,1000,IF(BK$4=0,1000,SQRT((VLOOKUP($G37,Coords[],3,FALSE)-VLOOKUP(BK$5,Coords[],3,FALSE))^2+(VLOOKUP($G37,Coords[],4,FALSE)-VLOOKUP(BK$5,Coords[],4,FALSE))^2)))</f>
        <v>1000</v>
      </c>
      <c r="BL37" s="10">
        <f>IF($G37=BL$5,1000,IF(BL$4=0,1000,SQRT((VLOOKUP($G37,Coords[],3,FALSE)-VLOOKUP(BL$5,Coords[],3,FALSE))^2+(VLOOKUP($G37,Coords[],4,FALSE)-VLOOKUP(BL$5,Coords[],4,FALSE))^2)))</f>
        <v>1000</v>
      </c>
      <c r="BM37" s="10">
        <f>IF($G37=BM$5,1000,IF(BM$4=0,1000,SQRT((VLOOKUP($G37,Coords[],3,FALSE)-VLOOKUP(BM$5,Coords[],3,FALSE))^2+(VLOOKUP($G37,Coords[],4,FALSE)-VLOOKUP(BM$5,Coords[],4,FALSE))^2)))</f>
        <v>1000</v>
      </c>
      <c r="BN37" s="10">
        <f>IF($G37=BN$5,1000,IF(BN$4=0,1000,SQRT((VLOOKUP($G37,Coords[],3,FALSE)-VLOOKUP(BN$5,Coords[],3,FALSE))^2+(VLOOKUP($G37,Coords[],4,FALSE)-VLOOKUP(BN$5,Coords[],4,FALSE))^2)))</f>
        <v>1000</v>
      </c>
      <c r="BO37" s="10">
        <f>IF($G37=BO$5,1000,IF(BO$4=0,1000,SQRT((VLOOKUP($G37,Coords[],3,FALSE)-VLOOKUP(BO$5,Coords[],3,FALSE))^2+(VLOOKUP($G37,Coords[],4,FALSE)-VLOOKUP(BO$5,Coords[],4,FALSE))^2)))</f>
        <v>1000</v>
      </c>
      <c r="BP37" s="10">
        <f>IF($G37=BP$5,1000,IF(BP$4=0,1000,SQRT((VLOOKUP($G37,Coords[],3,FALSE)-VLOOKUP(BP$5,Coords[],3,FALSE))^2+(VLOOKUP($G37,Coords[],4,FALSE)-VLOOKUP(BP$5,Coords[],4,FALSE))^2)))</f>
        <v>1000</v>
      </c>
      <c r="BQ37" s="10">
        <f>IF($G37=BQ$5,1000,IF(BQ$4=0,1000,SQRT((VLOOKUP($G37,Coords[],3,FALSE)-VLOOKUP(BQ$5,Coords[],3,FALSE))^2+(VLOOKUP($G37,Coords[],4,FALSE)-VLOOKUP(BQ$5,Coords[],4,FALSE))^2)))</f>
        <v>1000</v>
      </c>
      <c r="BR37" s="10">
        <f>IF($G37=BR$5,1000,IF(BR$4=0,1000,SQRT((VLOOKUP($G37,Coords[],3,FALSE)-VLOOKUP(BR$5,Coords[],3,FALSE))^2+(VLOOKUP($G37,Coords[],4,FALSE)-VLOOKUP(BR$5,Coords[],4,FALSE))^2)))</f>
        <v>1000</v>
      </c>
      <c r="BS37" s="10">
        <f>IF($G37=BS$5,1000,IF(BS$4=0,1000,SQRT((VLOOKUP($G37,Coords[],3,FALSE)-VLOOKUP(BS$5,Coords[],3,FALSE))^2+(VLOOKUP($G37,Coords[],4,FALSE)-VLOOKUP(BS$5,Coords[],4,FALSE))^2)))</f>
        <v>1000</v>
      </c>
      <c r="BT37" s="10">
        <f>IF($G37=BT$5,1000,IF(BT$4=0,1000,SQRT((VLOOKUP($G37,Coords[],3,FALSE)-VLOOKUP(BT$5,Coords[],3,FALSE))^2+(VLOOKUP($G37,Coords[],4,FALSE)-VLOOKUP(BT$5,Coords[],4,FALSE))^2)))</f>
        <v>1000</v>
      </c>
      <c r="BU37" s="10">
        <f>IF($G37=BU$5,1000,IF(BU$4=0,1000,SQRT((VLOOKUP($G37,Coords[],3,FALSE)-VLOOKUP(BU$5,Coords[],3,FALSE))^2+(VLOOKUP($G37,Coords[],4,FALSE)-VLOOKUP(BU$5,Coords[],4,FALSE))^2)))</f>
        <v>1000</v>
      </c>
      <c r="BV37" s="10">
        <f>IF($G37=BV$5,1000,IF(BV$4=0,1000,SQRT((VLOOKUP($G37,Coords[],3,FALSE)-VLOOKUP(BV$5,Coords[],3,FALSE))^2+(VLOOKUP($G37,Coords[],4,FALSE)-VLOOKUP(BV$5,Coords[],4,FALSE))^2)))</f>
        <v>1000</v>
      </c>
      <c r="BW37" s="10">
        <f>IF($G37=BW$5,1000,IF(BW$4=0,1000,SQRT((VLOOKUP($G37,Coords[],3,FALSE)-VLOOKUP(BW$5,Coords[],3,FALSE))^2+(VLOOKUP($G37,Coords[],4,FALSE)-VLOOKUP(BW$5,Coords[],4,FALSE))^2)))</f>
        <v>1000</v>
      </c>
      <c r="BX37" s="10">
        <f>IF($G37=BX$5,1000,IF(BX$4=0,1000,SQRT((VLOOKUP($G37,Coords[],3,FALSE)-VLOOKUP(BX$5,Coords[],3,FALSE))^2+(VLOOKUP($G37,Coords[],4,FALSE)-VLOOKUP(BX$5,Coords[],4,FALSE))^2)))</f>
        <v>1000</v>
      </c>
      <c r="BY37" s="10">
        <f>IF($G37=BY$5,1000,IF(BY$4=0,1000,SQRT((VLOOKUP($G37,Coords[],3,FALSE)-VLOOKUP(BY$5,Coords[],3,FALSE))^2+(VLOOKUP($G37,Coords[],4,FALSE)-VLOOKUP(BY$5,Coords[],4,FALSE))^2)))</f>
        <v>1000</v>
      </c>
      <c r="BZ37" s="10">
        <f>IF($G37=BZ$5,1000,IF(BZ$4=0,1000,SQRT((VLOOKUP($G37,Coords[],3,FALSE)-VLOOKUP(BZ$5,Coords[],3,FALSE))^2+(VLOOKUP($G37,Coords[],4,FALSE)-VLOOKUP(BZ$5,Coords[],4,FALSE))^2)))</f>
        <v>1000</v>
      </c>
      <c r="CA37" s="10">
        <f>IF($G37=CA$5,1000,IF(CA$4=0,1000,SQRT((VLOOKUP($G37,Coords[],3,FALSE)-VLOOKUP(CA$5,Coords[],3,FALSE))^2+(VLOOKUP($G37,Coords[],4,FALSE)-VLOOKUP(CA$5,Coords[],4,FALSE))^2)))</f>
        <v>1000</v>
      </c>
      <c r="CB37" s="10">
        <f>IF($G37=CB$5,1000,IF(CB$4=0,1000,SQRT((VLOOKUP($G37,Coords[],3,FALSE)-VLOOKUP(CB$5,Coords[],3,FALSE))^2+(VLOOKUP($G37,Coords[],4,FALSE)-VLOOKUP(CB$5,Coords[],4,FALSE))^2)))</f>
        <v>1000</v>
      </c>
      <c r="CC37" s="10">
        <f>IF($G37=CC$5,1000,IF(CC$4=0,1000,SQRT((VLOOKUP($G37,Coords[],3,FALSE)-VLOOKUP(CC$5,Coords[],3,FALSE))^2+(VLOOKUP($G37,Coords[],4,FALSE)-VLOOKUP(CC$5,Coords[],4,FALSE))^2)))</f>
        <v>1000</v>
      </c>
      <c r="CD37" s="10">
        <f>IF($G37=CD$5,1000,IF(CD$4=0,1000,SQRT((VLOOKUP($G37,Coords[],3,FALSE)-VLOOKUP(CD$5,Coords[],3,FALSE))^2+(VLOOKUP($G37,Coords[],4,FALSE)-VLOOKUP(CD$5,Coords[],4,FALSE))^2)))</f>
        <v>1000</v>
      </c>
      <c r="CE37" s="10">
        <f>IF($G37=CE$5,1000,IF(CE$4=0,1000,SQRT((VLOOKUP($G37,Coords[],3,FALSE)-VLOOKUP(CE$5,Coords[],3,FALSE))^2+(VLOOKUP($G37,Coords[],4,FALSE)-VLOOKUP(CE$5,Coords[],4,FALSE))^2)))</f>
        <v>1000</v>
      </c>
      <c r="CF37" s="4">
        <v>32</v>
      </c>
      <c r="CH37" s="5">
        <f>IF(E37=1,0,VLOOKUP($G37,$G$6:$CE$82,HLOOKUP(MIN(H37:CE37),$H37:$CE$82,((COUNT($G$6:$G$81)+2)-$G37),FALSE)+1,FALSE)*B37)</f>
        <v>0</v>
      </c>
      <c r="CI37" s="9">
        <f>VLOOKUP($G37,$G$6:$CE$82,HLOOKUP(MIN(H37:CE37),$H37:$CE$82,((COUNT($G$6:$G$81)+2)-$G37),FALSE)+1,FALSE)</f>
        <v>1000</v>
      </c>
      <c r="CJ37" s="7">
        <f>HLOOKUP(MIN(H37:CE37),$H37:$CE$82,((COUNT($G$6:$G$81)+2)-$G37),FALSE)</f>
        <v>1</v>
      </c>
      <c r="CK37">
        <f>CI37*Coords[[#This Row],[Demand]]</f>
        <v>0</v>
      </c>
    </row>
    <row r="38" spans="1:89" x14ac:dyDescent="0.25">
      <c r="A38" s="8">
        <v>33</v>
      </c>
      <c r="B38" s="3"/>
      <c r="C38" s="3"/>
      <c r="D38" s="3"/>
      <c r="E38" s="3"/>
      <c r="G38" s="4">
        <v>33</v>
      </c>
      <c r="H38" s="10">
        <f>IF($G38=H$5,1000,IF(H$4=0,1000,SQRT((VLOOKUP($G38,Coords[],3,FALSE)-VLOOKUP(H$5,Coords[],3,FALSE))^2+(VLOOKUP($G38,Coords[],4,FALSE)-VLOOKUP(H$5,Coords[],4,FALSE))^2)))</f>
        <v>1000</v>
      </c>
      <c r="I38" s="10">
        <f>IF($G38=I$5,1000,IF(I$4=0,1000,SQRT((VLOOKUP($G38,Coords[],3,FALSE)-VLOOKUP(I$5,Coords[],3,FALSE))^2+(VLOOKUP($G38,Coords[],4,FALSE)-VLOOKUP(I$5,Coords[],4,FALSE))^2)))</f>
        <v>1000</v>
      </c>
      <c r="J38" s="10">
        <f>IF($G38=J$5,1000,IF(J$4=0,1000,SQRT((VLOOKUP($G38,Coords[],3,FALSE)-VLOOKUP(J$5,Coords[],3,FALSE))^2+(VLOOKUP($G38,Coords[],4,FALSE)-VLOOKUP(J$5,Coords[],4,FALSE))^2)))</f>
        <v>1000</v>
      </c>
      <c r="K38" s="10">
        <f>IF($G38=K$5,1000,IF(K$4=0,1000,SQRT((VLOOKUP($G38,Coords[],3,FALSE)-VLOOKUP(K$5,Coords[],3,FALSE))^2+(VLOOKUP($G38,Coords[],4,FALSE)-VLOOKUP(K$5,Coords[],4,FALSE))^2)))</f>
        <v>1000</v>
      </c>
      <c r="L38" s="10">
        <f>IF($G38=L$5,1000,IF(L$4=0,1000,SQRT((VLOOKUP($G38,Coords[],3,FALSE)-VLOOKUP(L$5,Coords[],3,FALSE))^2+(VLOOKUP($G38,Coords[],4,FALSE)-VLOOKUP(L$5,Coords[],4,FALSE))^2)))</f>
        <v>1000</v>
      </c>
      <c r="M38" s="10">
        <f>IF($G38=M$5,1000,IF(M$4=0,1000,SQRT((VLOOKUP($G38,Coords[],3,FALSE)-VLOOKUP(M$5,Coords[],3,FALSE))^2+(VLOOKUP($G38,Coords[],4,FALSE)-VLOOKUP(M$5,Coords[],4,FALSE))^2)))</f>
        <v>1000</v>
      </c>
      <c r="N38" s="10">
        <f>IF($G38=N$5,1000,IF(N$4=0,1000,SQRT((VLOOKUP($G38,Coords[],3,FALSE)-VLOOKUP(N$5,Coords[],3,FALSE))^2+(VLOOKUP($G38,Coords[],4,FALSE)-VLOOKUP(N$5,Coords[],4,FALSE))^2)))</f>
        <v>1000</v>
      </c>
      <c r="O38" s="10">
        <f>IF($G38=O$5,1000,IF(O$4=0,1000,SQRT((VLOOKUP($G38,Coords[],3,FALSE)-VLOOKUP(O$5,Coords[],3,FALSE))^2+(VLOOKUP($G38,Coords[],4,FALSE)-VLOOKUP(O$5,Coords[],4,FALSE))^2)))</f>
        <v>1000</v>
      </c>
      <c r="P38" s="10">
        <f>IF($G38=P$5,1000,IF(P$4=0,1000,SQRT((VLOOKUP($G38,Coords[],3,FALSE)-VLOOKUP(P$5,Coords[],3,FALSE))^2+(VLOOKUP($G38,Coords[],4,FALSE)-VLOOKUP(P$5,Coords[],4,FALSE))^2)))</f>
        <v>1000</v>
      </c>
      <c r="Q38" s="10">
        <f>IF($G38=Q$5,1000,IF(Q$4=0,1000,SQRT((VLOOKUP($G38,Coords[],3,FALSE)-VLOOKUP(Q$5,Coords[],3,FALSE))^2+(VLOOKUP($G38,Coords[],4,FALSE)-VLOOKUP(Q$5,Coords[],4,FALSE))^2)))</f>
        <v>1000</v>
      </c>
      <c r="R38" s="10">
        <f>IF($G38=R$5,1000,IF(R$4=0,1000,SQRT((VLOOKUP($G38,Coords[],3,FALSE)-VLOOKUP(R$5,Coords[],3,FALSE))^2+(VLOOKUP($G38,Coords[],4,FALSE)-VLOOKUP(R$5,Coords[],4,FALSE))^2)))</f>
        <v>1000</v>
      </c>
      <c r="S38" s="10">
        <f>IF($G38=S$5,1000,IF(S$4=0,1000,SQRT((VLOOKUP($G38,Coords[],3,FALSE)-VLOOKUP(S$5,Coords[],3,FALSE))^2+(VLOOKUP($G38,Coords[],4,FALSE)-VLOOKUP(S$5,Coords[],4,FALSE))^2)))</f>
        <v>1000</v>
      </c>
      <c r="T38" s="10">
        <f>IF($G38=T$5,1000,IF(T$4=0,1000,SQRT((VLOOKUP($G38,Coords[],3,FALSE)-VLOOKUP(T$5,Coords[],3,FALSE))^2+(VLOOKUP($G38,Coords[],4,FALSE)-VLOOKUP(T$5,Coords[],4,FALSE))^2)))</f>
        <v>1000</v>
      </c>
      <c r="U38" s="10">
        <f>IF($G38=U$5,1000,IF(U$4=0,1000,SQRT((VLOOKUP($G38,Coords[],3,FALSE)-VLOOKUP(U$5,Coords[],3,FALSE))^2+(VLOOKUP($G38,Coords[],4,FALSE)-VLOOKUP(U$5,Coords[],4,FALSE))^2)))</f>
        <v>1000</v>
      </c>
      <c r="V38" s="10">
        <f>IF($G38=V$5,1000,IF(V$4=0,1000,SQRT((VLOOKUP($G38,Coords[],3,FALSE)-VLOOKUP(V$5,Coords[],3,FALSE))^2+(VLOOKUP($G38,Coords[],4,FALSE)-VLOOKUP(V$5,Coords[],4,FALSE))^2)))</f>
        <v>1000</v>
      </c>
      <c r="W38" s="10">
        <f>IF($G38=W$5,1000,IF(W$4=0,1000,SQRT((VLOOKUP($G38,Coords[],3,FALSE)-VLOOKUP(W$5,Coords[],3,FALSE))^2+(VLOOKUP($G38,Coords[],4,FALSE)-VLOOKUP(W$5,Coords[],4,FALSE))^2)))</f>
        <v>1000</v>
      </c>
      <c r="X38" s="10">
        <f>IF($G38=X$5,1000,IF(X$4=0,1000,SQRT((VLOOKUP($G38,Coords[],3,FALSE)-VLOOKUP(X$5,Coords[],3,FALSE))^2+(VLOOKUP($G38,Coords[],4,FALSE)-VLOOKUP(X$5,Coords[],4,FALSE))^2)))</f>
        <v>1000</v>
      </c>
      <c r="Y38" s="10">
        <f>IF($G38=Y$5,1000,IF(Y$4=0,1000,SQRT((VLOOKUP($G38,Coords[],3,FALSE)-VLOOKUP(Y$5,Coords[],3,FALSE))^2+(VLOOKUP($G38,Coords[],4,FALSE)-VLOOKUP(Y$5,Coords[],4,FALSE))^2)))</f>
        <v>1000</v>
      </c>
      <c r="Z38" s="10">
        <f>IF($G38=Z$5,1000,IF(Z$4=0,1000,SQRT((VLOOKUP($G38,Coords[],3,FALSE)-VLOOKUP(Z$5,Coords[],3,FALSE))^2+(VLOOKUP($G38,Coords[],4,FALSE)-VLOOKUP(Z$5,Coords[],4,FALSE))^2)))</f>
        <v>1000</v>
      </c>
      <c r="AA38" s="10">
        <f>IF($G38=AA$5,1000,IF(AA$4=0,1000,SQRT((VLOOKUP($G38,Coords[],3,FALSE)-VLOOKUP(AA$5,Coords[],3,FALSE))^2+(VLOOKUP($G38,Coords[],4,FALSE)-VLOOKUP(AA$5,Coords[],4,FALSE))^2)))</f>
        <v>1000</v>
      </c>
      <c r="AB38" s="10">
        <f>IF($G38=AB$5,1000,IF(AB$4=0,1000,SQRT((VLOOKUP($G38,Coords[],3,FALSE)-VLOOKUP(AB$5,Coords[],3,FALSE))^2+(VLOOKUP($G38,Coords[],4,FALSE)-VLOOKUP(AB$5,Coords[],4,FALSE))^2)))</f>
        <v>1000</v>
      </c>
      <c r="AC38" s="10">
        <f>IF($G38=AC$5,1000,IF(AC$4=0,1000,SQRT((VLOOKUP($G38,Coords[],3,FALSE)-VLOOKUP(AC$5,Coords[],3,FALSE))^2+(VLOOKUP($G38,Coords[],4,FALSE)-VLOOKUP(AC$5,Coords[],4,FALSE))^2)))</f>
        <v>1000</v>
      </c>
      <c r="AD38" s="10">
        <f>IF($G38=AD$5,1000,IF(AD$4=0,1000,SQRT((VLOOKUP($G38,Coords[],3,FALSE)-VLOOKUP(AD$5,Coords[],3,FALSE))^2+(VLOOKUP($G38,Coords[],4,FALSE)-VLOOKUP(AD$5,Coords[],4,FALSE))^2)))</f>
        <v>1000</v>
      </c>
      <c r="AE38" s="10">
        <f>IF($G38=AE$5,1000,IF(AE$4=0,1000,SQRT((VLOOKUP($G38,Coords[],3,FALSE)-VLOOKUP(AE$5,Coords[],3,FALSE))^2+(VLOOKUP($G38,Coords[],4,FALSE)-VLOOKUP(AE$5,Coords[],4,FALSE))^2)))</f>
        <v>1000</v>
      </c>
      <c r="AF38" s="10">
        <f>IF($G38=AF$5,1000,IF(AF$4=0,1000,SQRT((VLOOKUP($G38,Coords[],3,FALSE)-VLOOKUP(AF$5,Coords[],3,FALSE))^2+(VLOOKUP($G38,Coords[],4,FALSE)-VLOOKUP(AF$5,Coords[],4,FALSE))^2)))</f>
        <v>1000</v>
      </c>
      <c r="AG38" s="10">
        <f>IF($G38=AG$5,1000,IF(AG$4=0,1000,SQRT((VLOOKUP($G38,Coords[],3,FALSE)-VLOOKUP(AG$5,Coords[],3,FALSE))^2+(VLOOKUP($G38,Coords[],4,FALSE)-VLOOKUP(AG$5,Coords[],4,FALSE))^2)))</f>
        <v>1000</v>
      </c>
      <c r="AH38" s="10">
        <f>IF($G38=AH$5,1000,IF(AH$4=0,1000,SQRT((VLOOKUP($G38,Coords[],3,FALSE)-VLOOKUP(AH$5,Coords[],3,FALSE))^2+(VLOOKUP($G38,Coords[],4,FALSE)-VLOOKUP(AH$5,Coords[],4,FALSE))^2)))</f>
        <v>1000</v>
      </c>
      <c r="AI38" s="10">
        <f>IF($G38=AI$5,1000,IF(AI$4=0,1000,SQRT((VLOOKUP($G38,Coords[],3,FALSE)-VLOOKUP(AI$5,Coords[],3,FALSE))^2+(VLOOKUP($G38,Coords[],4,FALSE)-VLOOKUP(AI$5,Coords[],4,FALSE))^2)))</f>
        <v>1000</v>
      </c>
      <c r="AJ38" s="10">
        <f>IF($G38=AJ$5,1000,IF(AJ$4=0,1000,SQRT((VLOOKUP($G38,Coords[],3,FALSE)-VLOOKUP(AJ$5,Coords[],3,FALSE))^2+(VLOOKUP($G38,Coords[],4,FALSE)-VLOOKUP(AJ$5,Coords[],4,FALSE))^2)))</f>
        <v>1000</v>
      </c>
      <c r="AK38" s="10">
        <f>IF($G38=AK$5,1000,IF(AK$4=0,1000,SQRT((VLOOKUP($G38,Coords[],3,FALSE)-VLOOKUP(AK$5,Coords[],3,FALSE))^2+(VLOOKUP($G38,Coords[],4,FALSE)-VLOOKUP(AK$5,Coords[],4,FALSE))^2)))</f>
        <v>1000</v>
      </c>
      <c r="AL38" s="10">
        <f>IF($G38=AL$5,1000,IF(AL$4=0,1000,SQRT((VLOOKUP($G38,Coords[],3,FALSE)-VLOOKUP(AL$5,Coords[],3,FALSE))^2+(VLOOKUP($G38,Coords[],4,FALSE)-VLOOKUP(AL$5,Coords[],4,FALSE))^2)))</f>
        <v>1000</v>
      </c>
      <c r="AM38" s="10">
        <f>IF($G38=AM$5,1000,IF(AM$4=0,1000,SQRT((VLOOKUP($G38,Coords[],3,FALSE)-VLOOKUP(AM$5,Coords[],3,FALSE))^2+(VLOOKUP($G38,Coords[],4,FALSE)-VLOOKUP(AM$5,Coords[],4,FALSE))^2)))</f>
        <v>1000</v>
      </c>
      <c r="AN38" s="10">
        <f>IF($G38=AN$5,1000,IF(AN$4=0,1000,SQRT((VLOOKUP($G38,Coords[],3,FALSE)-VLOOKUP(AN$5,Coords[],3,FALSE))^2+(VLOOKUP($G38,Coords[],4,FALSE)-VLOOKUP(AN$5,Coords[],4,FALSE))^2)))</f>
        <v>1000</v>
      </c>
      <c r="AO38" s="10">
        <f>IF($G38=AO$5,1000,IF(AO$4=0,1000,SQRT((VLOOKUP($G38,Coords[],3,FALSE)-VLOOKUP(AO$5,Coords[],3,FALSE))^2+(VLOOKUP($G38,Coords[],4,FALSE)-VLOOKUP(AO$5,Coords[],4,FALSE))^2)))</f>
        <v>1000</v>
      </c>
      <c r="AP38" s="10">
        <f>IF($G38=AP$5,1000,IF(AP$4=0,1000,SQRT((VLOOKUP($G38,Coords[],3,FALSE)-VLOOKUP(AP$5,Coords[],3,FALSE))^2+(VLOOKUP($G38,Coords[],4,FALSE)-VLOOKUP(AP$5,Coords[],4,FALSE))^2)))</f>
        <v>1000</v>
      </c>
      <c r="AQ38" s="10">
        <f>IF($G38=AQ$5,1000,IF(AQ$4=0,1000,SQRT((VLOOKUP($G38,Coords[],3,FALSE)-VLOOKUP(AQ$5,Coords[],3,FALSE))^2+(VLOOKUP($G38,Coords[],4,FALSE)-VLOOKUP(AQ$5,Coords[],4,FALSE))^2)))</f>
        <v>1000</v>
      </c>
      <c r="AR38" s="10">
        <f>IF($G38=AR$5,1000,IF(AR$4=0,1000,SQRT((VLOOKUP($G38,Coords[],3,FALSE)-VLOOKUP(AR$5,Coords[],3,FALSE))^2+(VLOOKUP($G38,Coords[],4,FALSE)-VLOOKUP(AR$5,Coords[],4,FALSE))^2)))</f>
        <v>1000</v>
      </c>
      <c r="AS38" s="10">
        <f>IF($G38=AS$5,1000,IF(AS$4=0,1000,SQRT((VLOOKUP($G38,Coords[],3,FALSE)-VLOOKUP(AS$5,Coords[],3,FALSE))^2+(VLOOKUP($G38,Coords[],4,FALSE)-VLOOKUP(AS$5,Coords[],4,FALSE))^2)))</f>
        <v>1000</v>
      </c>
      <c r="AT38" s="10">
        <f>IF($G38=AT$5,1000,IF(AT$4=0,1000,SQRT((VLOOKUP($G38,Coords[],3,FALSE)-VLOOKUP(AT$5,Coords[],3,FALSE))^2+(VLOOKUP($G38,Coords[],4,FALSE)-VLOOKUP(AT$5,Coords[],4,FALSE))^2)))</f>
        <v>1000</v>
      </c>
      <c r="AU38" s="10">
        <f>IF($G38=AU$5,1000,IF(AU$4=0,1000,SQRT((VLOOKUP($G38,Coords[],3,FALSE)-VLOOKUP(AU$5,Coords[],3,FALSE))^2+(VLOOKUP($G38,Coords[],4,FALSE)-VLOOKUP(AU$5,Coords[],4,FALSE))^2)))</f>
        <v>1000</v>
      </c>
      <c r="AV38" s="10">
        <f>IF($G38=AV$5,1000,IF(AV$4=0,1000,SQRT((VLOOKUP($G38,Coords[],3,FALSE)-VLOOKUP(AV$5,Coords[],3,FALSE))^2+(VLOOKUP($G38,Coords[],4,FALSE)-VLOOKUP(AV$5,Coords[],4,FALSE))^2)))</f>
        <v>1000</v>
      </c>
      <c r="AW38" s="10">
        <f>IF($G38=AW$5,1000,IF(AW$4=0,1000,SQRT((VLOOKUP($G38,Coords[],3,FALSE)-VLOOKUP(AW$5,Coords[],3,FALSE))^2+(VLOOKUP($G38,Coords[],4,FALSE)-VLOOKUP(AW$5,Coords[],4,FALSE))^2)))</f>
        <v>1000</v>
      </c>
      <c r="AX38" s="10">
        <f>IF($G38=AX$5,1000,IF(AX$4=0,1000,SQRT((VLOOKUP($G38,Coords[],3,FALSE)-VLOOKUP(AX$5,Coords[],3,FALSE))^2+(VLOOKUP($G38,Coords[],4,FALSE)-VLOOKUP(AX$5,Coords[],4,FALSE))^2)))</f>
        <v>1000</v>
      </c>
      <c r="AY38" s="10">
        <f>IF($G38=AY$5,1000,IF(AY$4=0,1000,SQRT((VLOOKUP($G38,Coords[],3,FALSE)-VLOOKUP(AY$5,Coords[],3,FALSE))^2+(VLOOKUP($G38,Coords[],4,FALSE)-VLOOKUP(AY$5,Coords[],4,FALSE))^2)))</f>
        <v>1000</v>
      </c>
      <c r="AZ38" s="10">
        <f>IF($G38=AZ$5,1000,IF(AZ$4=0,1000,SQRT((VLOOKUP($G38,Coords[],3,FALSE)-VLOOKUP(AZ$5,Coords[],3,FALSE))^2+(VLOOKUP($G38,Coords[],4,FALSE)-VLOOKUP(AZ$5,Coords[],4,FALSE))^2)))</f>
        <v>1000</v>
      </c>
      <c r="BA38" s="10">
        <f>IF($G38=BA$5,1000,IF(BA$4=0,1000,SQRT((VLOOKUP($G38,Coords[],3,FALSE)-VLOOKUP(BA$5,Coords[],3,FALSE))^2+(VLOOKUP($G38,Coords[],4,FALSE)-VLOOKUP(BA$5,Coords[],4,FALSE))^2)))</f>
        <v>1000</v>
      </c>
      <c r="BB38" s="10">
        <f>IF($G38=BB$5,1000,IF(BB$4=0,1000,SQRT((VLOOKUP($G38,Coords[],3,FALSE)-VLOOKUP(BB$5,Coords[],3,FALSE))^2+(VLOOKUP($G38,Coords[],4,FALSE)-VLOOKUP(BB$5,Coords[],4,FALSE))^2)))</f>
        <v>1000</v>
      </c>
      <c r="BC38" s="10">
        <f>IF($G38=BC$5,1000,IF(BC$4=0,1000,SQRT((VLOOKUP($G38,Coords[],3,FALSE)-VLOOKUP(BC$5,Coords[],3,FALSE))^2+(VLOOKUP($G38,Coords[],4,FALSE)-VLOOKUP(BC$5,Coords[],4,FALSE))^2)))</f>
        <v>1000</v>
      </c>
      <c r="BD38" s="10">
        <f>IF($G38=BD$5,1000,IF(BD$4=0,1000,SQRT((VLOOKUP($G38,Coords[],3,FALSE)-VLOOKUP(BD$5,Coords[],3,FALSE))^2+(VLOOKUP($G38,Coords[],4,FALSE)-VLOOKUP(BD$5,Coords[],4,FALSE))^2)))</f>
        <v>1000</v>
      </c>
      <c r="BE38" s="10">
        <f>IF($G38=BE$5,1000,IF(BE$4=0,1000,SQRT((VLOOKUP($G38,Coords[],3,FALSE)-VLOOKUP(BE$5,Coords[],3,FALSE))^2+(VLOOKUP($G38,Coords[],4,FALSE)-VLOOKUP(BE$5,Coords[],4,FALSE))^2)))</f>
        <v>1000</v>
      </c>
      <c r="BF38" s="10">
        <f>IF($G38=BF$5,1000,IF(BF$4=0,1000,SQRT((VLOOKUP($G38,Coords[],3,FALSE)-VLOOKUP(BF$5,Coords[],3,FALSE))^2+(VLOOKUP($G38,Coords[],4,FALSE)-VLOOKUP(BF$5,Coords[],4,FALSE))^2)))</f>
        <v>1000</v>
      </c>
      <c r="BG38" s="10">
        <f>IF($G38=BG$5,1000,IF(BG$4=0,1000,SQRT((VLOOKUP($G38,Coords[],3,FALSE)-VLOOKUP(BG$5,Coords[],3,FALSE))^2+(VLOOKUP($G38,Coords[],4,FALSE)-VLOOKUP(BG$5,Coords[],4,FALSE))^2)))</f>
        <v>1000</v>
      </c>
      <c r="BH38" s="10">
        <f>IF($G38=BH$5,1000,IF(BH$4=0,1000,SQRT((VLOOKUP($G38,Coords[],3,FALSE)-VLOOKUP(BH$5,Coords[],3,FALSE))^2+(VLOOKUP($G38,Coords[],4,FALSE)-VLOOKUP(BH$5,Coords[],4,FALSE))^2)))</f>
        <v>1000</v>
      </c>
      <c r="BI38" s="10">
        <f>IF($G38=BI$5,1000,IF(BI$4=0,1000,SQRT((VLOOKUP($G38,Coords[],3,FALSE)-VLOOKUP(BI$5,Coords[],3,FALSE))^2+(VLOOKUP($G38,Coords[],4,FALSE)-VLOOKUP(BI$5,Coords[],4,FALSE))^2)))</f>
        <v>1000</v>
      </c>
      <c r="BJ38" s="10">
        <f>IF($G38=BJ$5,1000,IF(BJ$4=0,1000,SQRT((VLOOKUP($G38,Coords[],3,FALSE)-VLOOKUP(BJ$5,Coords[],3,FALSE))^2+(VLOOKUP($G38,Coords[],4,FALSE)-VLOOKUP(BJ$5,Coords[],4,FALSE))^2)))</f>
        <v>1000</v>
      </c>
      <c r="BK38" s="10">
        <f>IF($G38=BK$5,1000,IF(BK$4=0,1000,SQRT((VLOOKUP($G38,Coords[],3,FALSE)-VLOOKUP(BK$5,Coords[],3,FALSE))^2+(VLOOKUP($G38,Coords[],4,FALSE)-VLOOKUP(BK$5,Coords[],4,FALSE))^2)))</f>
        <v>1000</v>
      </c>
      <c r="BL38" s="10">
        <f>IF($G38=BL$5,1000,IF(BL$4=0,1000,SQRT((VLOOKUP($G38,Coords[],3,FALSE)-VLOOKUP(BL$5,Coords[],3,FALSE))^2+(VLOOKUP($G38,Coords[],4,FALSE)-VLOOKUP(BL$5,Coords[],4,FALSE))^2)))</f>
        <v>1000</v>
      </c>
      <c r="BM38" s="10">
        <f>IF($G38=BM$5,1000,IF(BM$4=0,1000,SQRT((VLOOKUP($G38,Coords[],3,FALSE)-VLOOKUP(BM$5,Coords[],3,FALSE))^2+(VLOOKUP($G38,Coords[],4,FALSE)-VLOOKUP(BM$5,Coords[],4,FALSE))^2)))</f>
        <v>1000</v>
      </c>
      <c r="BN38" s="10">
        <f>IF($G38=BN$5,1000,IF(BN$4=0,1000,SQRT((VLOOKUP($G38,Coords[],3,FALSE)-VLOOKUP(BN$5,Coords[],3,FALSE))^2+(VLOOKUP($G38,Coords[],4,FALSE)-VLOOKUP(BN$5,Coords[],4,FALSE))^2)))</f>
        <v>1000</v>
      </c>
      <c r="BO38" s="10">
        <f>IF($G38=BO$5,1000,IF(BO$4=0,1000,SQRT((VLOOKUP($G38,Coords[],3,FALSE)-VLOOKUP(BO$5,Coords[],3,FALSE))^2+(VLOOKUP($G38,Coords[],4,FALSE)-VLOOKUP(BO$5,Coords[],4,FALSE))^2)))</f>
        <v>1000</v>
      </c>
      <c r="BP38" s="10">
        <f>IF($G38=BP$5,1000,IF(BP$4=0,1000,SQRT((VLOOKUP($G38,Coords[],3,FALSE)-VLOOKUP(BP$5,Coords[],3,FALSE))^2+(VLOOKUP($G38,Coords[],4,FALSE)-VLOOKUP(BP$5,Coords[],4,FALSE))^2)))</f>
        <v>1000</v>
      </c>
      <c r="BQ38" s="10">
        <f>IF($G38=BQ$5,1000,IF(BQ$4=0,1000,SQRT((VLOOKUP($G38,Coords[],3,FALSE)-VLOOKUP(BQ$5,Coords[],3,FALSE))^2+(VLOOKUP($G38,Coords[],4,FALSE)-VLOOKUP(BQ$5,Coords[],4,FALSE))^2)))</f>
        <v>1000</v>
      </c>
      <c r="BR38" s="10">
        <f>IF($G38=BR$5,1000,IF(BR$4=0,1000,SQRT((VLOOKUP($G38,Coords[],3,FALSE)-VLOOKUP(BR$5,Coords[],3,FALSE))^2+(VLOOKUP($G38,Coords[],4,FALSE)-VLOOKUP(BR$5,Coords[],4,FALSE))^2)))</f>
        <v>1000</v>
      </c>
      <c r="BS38" s="10">
        <f>IF($G38=BS$5,1000,IF(BS$4=0,1000,SQRT((VLOOKUP($G38,Coords[],3,FALSE)-VLOOKUP(BS$5,Coords[],3,FALSE))^2+(VLOOKUP($G38,Coords[],4,FALSE)-VLOOKUP(BS$5,Coords[],4,FALSE))^2)))</f>
        <v>1000</v>
      </c>
      <c r="BT38" s="10">
        <f>IF($G38=BT$5,1000,IF(BT$4=0,1000,SQRT((VLOOKUP($G38,Coords[],3,FALSE)-VLOOKUP(BT$5,Coords[],3,FALSE))^2+(VLOOKUP($G38,Coords[],4,FALSE)-VLOOKUP(BT$5,Coords[],4,FALSE))^2)))</f>
        <v>1000</v>
      </c>
      <c r="BU38" s="10">
        <f>IF($G38=BU$5,1000,IF(BU$4=0,1000,SQRT((VLOOKUP($G38,Coords[],3,FALSE)-VLOOKUP(BU$5,Coords[],3,FALSE))^2+(VLOOKUP($G38,Coords[],4,FALSE)-VLOOKUP(BU$5,Coords[],4,FALSE))^2)))</f>
        <v>1000</v>
      </c>
      <c r="BV38" s="10">
        <f>IF($G38=BV$5,1000,IF(BV$4=0,1000,SQRT((VLOOKUP($G38,Coords[],3,FALSE)-VLOOKUP(BV$5,Coords[],3,FALSE))^2+(VLOOKUP($G38,Coords[],4,FALSE)-VLOOKUP(BV$5,Coords[],4,FALSE))^2)))</f>
        <v>1000</v>
      </c>
      <c r="BW38" s="10">
        <f>IF($G38=BW$5,1000,IF(BW$4=0,1000,SQRT((VLOOKUP($G38,Coords[],3,FALSE)-VLOOKUP(BW$5,Coords[],3,FALSE))^2+(VLOOKUP($G38,Coords[],4,FALSE)-VLOOKUP(BW$5,Coords[],4,FALSE))^2)))</f>
        <v>1000</v>
      </c>
      <c r="BX38" s="10">
        <f>IF($G38=BX$5,1000,IF(BX$4=0,1000,SQRT((VLOOKUP($G38,Coords[],3,FALSE)-VLOOKUP(BX$5,Coords[],3,FALSE))^2+(VLOOKUP($G38,Coords[],4,FALSE)-VLOOKUP(BX$5,Coords[],4,FALSE))^2)))</f>
        <v>1000</v>
      </c>
      <c r="BY38" s="10">
        <f>IF($G38=BY$5,1000,IF(BY$4=0,1000,SQRT((VLOOKUP($G38,Coords[],3,FALSE)-VLOOKUP(BY$5,Coords[],3,FALSE))^2+(VLOOKUP($G38,Coords[],4,FALSE)-VLOOKUP(BY$5,Coords[],4,FALSE))^2)))</f>
        <v>1000</v>
      </c>
      <c r="BZ38" s="10">
        <f>IF($G38=BZ$5,1000,IF(BZ$4=0,1000,SQRT((VLOOKUP($G38,Coords[],3,FALSE)-VLOOKUP(BZ$5,Coords[],3,FALSE))^2+(VLOOKUP($G38,Coords[],4,FALSE)-VLOOKUP(BZ$5,Coords[],4,FALSE))^2)))</f>
        <v>1000</v>
      </c>
      <c r="CA38" s="10">
        <f>IF($G38=CA$5,1000,IF(CA$4=0,1000,SQRT((VLOOKUP($G38,Coords[],3,FALSE)-VLOOKUP(CA$5,Coords[],3,FALSE))^2+(VLOOKUP($G38,Coords[],4,FALSE)-VLOOKUP(CA$5,Coords[],4,FALSE))^2)))</f>
        <v>1000</v>
      </c>
      <c r="CB38" s="10">
        <f>IF($G38=CB$5,1000,IF(CB$4=0,1000,SQRT((VLOOKUP($G38,Coords[],3,FALSE)-VLOOKUP(CB$5,Coords[],3,FALSE))^2+(VLOOKUP($G38,Coords[],4,FALSE)-VLOOKUP(CB$5,Coords[],4,FALSE))^2)))</f>
        <v>1000</v>
      </c>
      <c r="CC38" s="10">
        <f>IF($G38=CC$5,1000,IF(CC$4=0,1000,SQRT((VLOOKUP($G38,Coords[],3,FALSE)-VLOOKUP(CC$5,Coords[],3,FALSE))^2+(VLOOKUP($G38,Coords[],4,FALSE)-VLOOKUP(CC$5,Coords[],4,FALSE))^2)))</f>
        <v>1000</v>
      </c>
      <c r="CD38" s="10">
        <f>IF($G38=CD$5,1000,IF(CD$4=0,1000,SQRT((VLOOKUP($G38,Coords[],3,FALSE)-VLOOKUP(CD$5,Coords[],3,FALSE))^2+(VLOOKUP($G38,Coords[],4,FALSE)-VLOOKUP(CD$5,Coords[],4,FALSE))^2)))</f>
        <v>1000</v>
      </c>
      <c r="CE38" s="10">
        <f>IF($G38=CE$5,1000,IF(CE$4=0,1000,SQRT((VLOOKUP($G38,Coords[],3,FALSE)-VLOOKUP(CE$5,Coords[],3,FALSE))^2+(VLOOKUP($G38,Coords[],4,FALSE)-VLOOKUP(CE$5,Coords[],4,FALSE))^2)))</f>
        <v>1000</v>
      </c>
      <c r="CF38" s="4">
        <v>33</v>
      </c>
      <c r="CH38" s="5">
        <f>IF(E38=1,0,VLOOKUP($G38,$G$6:$CE$82,HLOOKUP(MIN(H38:CE38),$H38:$CE$82,((COUNT($G$6:$G$81)+2)-$G38),FALSE)+1,FALSE)*B38)</f>
        <v>0</v>
      </c>
      <c r="CI38" s="9">
        <f>VLOOKUP($G38,$G$6:$CE$82,HLOOKUP(MIN(H38:CE38),$H38:$CE$82,((COUNT($G$6:$G$81)+2)-$G38),FALSE)+1,FALSE)</f>
        <v>1000</v>
      </c>
      <c r="CJ38" s="7">
        <f>HLOOKUP(MIN(H38:CE38),$H38:$CE$82,((COUNT($G$6:$G$81)+2)-$G38),FALSE)</f>
        <v>1</v>
      </c>
      <c r="CK38">
        <f>CI38*Coords[[#This Row],[Demand]]</f>
        <v>0</v>
      </c>
    </row>
    <row r="39" spans="1:89" x14ac:dyDescent="0.25">
      <c r="A39" s="8">
        <v>34</v>
      </c>
      <c r="B39" s="3"/>
      <c r="C39" s="3"/>
      <c r="D39" s="3"/>
      <c r="E39" s="3"/>
      <c r="G39" s="4">
        <v>34</v>
      </c>
      <c r="H39" s="10">
        <f>IF($G39=H$5,1000,IF(H$4=0,1000,SQRT((VLOOKUP($G39,Coords[],3,FALSE)-VLOOKUP(H$5,Coords[],3,FALSE))^2+(VLOOKUP($G39,Coords[],4,FALSE)-VLOOKUP(H$5,Coords[],4,FALSE))^2)))</f>
        <v>1000</v>
      </c>
      <c r="I39" s="10">
        <f>IF($G39=I$5,1000,IF(I$4=0,1000,SQRT((VLOOKUP($G39,Coords[],3,FALSE)-VLOOKUP(I$5,Coords[],3,FALSE))^2+(VLOOKUP($G39,Coords[],4,FALSE)-VLOOKUP(I$5,Coords[],4,FALSE))^2)))</f>
        <v>1000</v>
      </c>
      <c r="J39" s="10">
        <f>IF($G39=J$5,1000,IF(J$4=0,1000,SQRT((VLOOKUP($G39,Coords[],3,FALSE)-VLOOKUP(J$5,Coords[],3,FALSE))^2+(VLOOKUP($G39,Coords[],4,FALSE)-VLOOKUP(J$5,Coords[],4,FALSE))^2)))</f>
        <v>1000</v>
      </c>
      <c r="K39" s="10">
        <f>IF($G39=K$5,1000,IF(K$4=0,1000,SQRT((VLOOKUP($G39,Coords[],3,FALSE)-VLOOKUP(K$5,Coords[],3,FALSE))^2+(VLOOKUP($G39,Coords[],4,FALSE)-VLOOKUP(K$5,Coords[],4,FALSE))^2)))</f>
        <v>1000</v>
      </c>
      <c r="L39" s="10">
        <f>IF($G39=L$5,1000,IF(L$4=0,1000,SQRT((VLOOKUP($G39,Coords[],3,FALSE)-VLOOKUP(L$5,Coords[],3,FALSE))^2+(VLOOKUP($G39,Coords[],4,FALSE)-VLOOKUP(L$5,Coords[],4,FALSE))^2)))</f>
        <v>1000</v>
      </c>
      <c r="M39" s="10">
        <f>IF($G39=M$5,1000,IF(M$4=0,1000,SQRT((VLOOKUP($G39,Coords[],3,FALSE)-VLOOKUP(M$5,Coords[],3,FALSE))^2+(VLOOKUP($G39,Coords[],4,FALSE)-VLOOKUP(M$5,Coords[],4,FALSE))^2)))</f>
        <v>1000</v>
      </c>
      <c r="N39" s="10">
        <f>IF($G39=N$5,1000,IF(N$4=0,1000,SQRT((VLOOKUP($G39,Coords[],3,FALSE)-VLOOKUP(N$5,Coords[],3,FALSE))^2+(VLOOKUP($G39,Coords[],4,FALSE)-VLOOKUP(N$5,Coords[],4,FALSE))^2)))</f>
        <v>1000</v>
      </c>
      <c r="O39" s="10">
        <f>IF($G39=O$5,1000,IF(O$4=0,1000,SQRT((VLOOKUP($G39,Coords[],3,FALSE)-VLOOKUP(O$5,Coords[],3,FALSE))^2+(VLOOKUP($G39,Coords[],4,FALSE)-VLOOKUP(O$5,Coords[],4,FALSE))^2)))</f>
        <v>1000</v>
      </c>
      <c r="P39" s="10">
        <f>IF($G39=P$5,1000,IF(P$4=0,1000,SQRT((VLOOKUP($G39,Coords[],3,FALSE)-VLOOKUP(P$5,Coords[],3,FALSE))^2+(VLOOKUP($G39,Coords[],4,FALSE)-VLOOKUP(P$5,Coords[],4,FALSE))^2)))</f>
        <v>1000</v>
      </c>
      <c r="Q39" s="10">
        <f>IF($G39=Q$5,1000,IF(Q$4=0,1000,SQRT((VLOOKUP($G39,Coords[],3,FALSE)-VLOOKUP(Q$5,Coords[],3,FALSE))^2+(VLOOKUP($G39,Coords[],4,FALSE)-VLOOKUP(Q$5,Coords[],4,FALSE))^2)))</f>
        <v>1000</v>
      </c>
      <c r="R39" s="10">
        <f>IF($G39=R$5,1000,IF(R$4=0,1000,SQRT((VLOOKUP($G39,Coords[],3,FALSE)-VLOOKUP(R$5,Coords[],3,FALSE))^2+(VLOOKUP($G39,Coords[],4,FALSE)-VLOOKUP(R$5,Coords[],4,FALSE))^2)))</f>
        <v>1000</v>
      </c>
      <c r="S39" s="10">
        <f>IF($G39=S$5,1000,IF(S$4=0,1000,SQRT((VLOOKUP($G39,Coords[],3,FALSE)-VLOOKUP(S$5,Coords[],3,FALSE))^2+(VLOOKUP($G39,Coords[],4,FALSE)-VLOOKUP(S$5,Coords[],4,FALSE))^2)))</f>
        <v>1000</v>
      </c>
      <c r="T39" s="10">
        <f>IF($G39=T$5,1000,IF(T$4=0,1000,SQRT((VLOOKUP($G39,Coords[],3,FALSE)-VLOOKUP(T$5,Coords[],3,FALSE))^2+(VLOOKUP($G39,Coords[],4,FALSE)-VLOOKUP(T$5,Coords[],4,FALSE))^2)))</f>
        <v>1000</v>
      </c>
      <c r="U39" s="10">
        <f>IF($G39=U$5,1000,IF(U$4=0,1000,SQRT((VLOOKUP($G39,Coords[],3,FALSE)-VLOOKUP(U$5,Coords[],3,FALSE))^2+(VLOOKUP($G39,Coords[],4,FALSE)-VLOOKUP(U$5,Coords[],4,FALSE))^2)))</f>
        <v>1000</v>
      </c>
      <c r="V39" s="10">
        <f>IF($G39=V$5,1000,IF(V$4=0,1000,SQRT((VLOOKUP($G39,Coords[],3,FALSE)-VLOOKUP(V$5,Coords[],3,FALSE))^2+(VLOOKUP($G39,Coords[],4,FALSE)-VLOOKUP(V$5,Coords[],4,FALSE))^2)))</f>
        <v>1000</v>
      </c>
      <c r="W39" s="10">
        <f>IF($G39=W$5,1000,IF(W$4=0,1000,SQRT((VLOOKUP($G39,Coords[],3,FALSE)-VLOOKUP(W$5,Coords[],3,FALSE))^2+(VLOOKUP($G39,Coords[],4,FALSE)-VLOOKUP(W$5,Coords[],4,FALSE))^2)))</f>
        <v>1000</v>
      </c>
      <c r="X39" s="10">
        <f>IF($G39=X$5,1000,IF(X$4=0,1000,SQRT((VLOOKUP($G39,Coords[],3,FALSE)-VLOOKUP(X$5,Coords[],3,FALSE))^2+(VLOOKUP($G39,Coords[],4,FALSE)-VLOOKUP(X$5,Coords[],4,FALSE))^2)))</f>
        <v>1000</v>
      </c>
      <c r="Y39" s="10">
        <f>IF($G39=Y$5,1000,IF(Y$4=0,1000,SQRT((VLOOKUP($G39,Coords[],3,FALSE)-VLOOKUP(Y$5,Coords[],3,FALSE))^2+(VLOOKUP($G39,Coords[],4,FALSE)-VLOOKUP(Y$5,Coords[],4,FALSE))^2)))</f>
        <v>1000</v>
      </c>
      <c r="Z39" s="10">
        <f>IF($G39=Z$5,1000,IF(Z$4=0,1000,SQRT((VLOOKUP($G39,Coords[],3,FALSE)-VLOOKUP(Z$5,Coords[],3,FALSE))^2+(VLOOKUP($G39,Coords[],4,FALSE)-VLOOKUP(Z$5,Coords[],4,FALSE))^2)))</f>
        <v>1000</v>
      </c>
      <c r="AA39" s="10">
        <f>IF($G39=AA$5,1000,IF(AA$4=0,1000,SQRT((VLOOKUP($G39,Coords[],3,FALSE)-VLOOKUP(AA$5,Coords[],3,FALSE))^2+(VLOOKUP($G39,Coords[],4,FALSE)-VLOOKUP(AA$5,Coords[],4,FALSE))^2)))</f>
        <v>1000</v>
      </c>
      <c r="AB39" s="10">
        <f>IF($G39=AB$5,1000,IF(AB$4=0,1000,SQRT((VLOOKUP($G39,Coords[],3,FALSE)-VLOOKUP(AB$5,Coords[],3,FALSE))^2+(VLOOKUP($G39,Coords[],4,FALSE)-VLOOKUP(AB$5,Coords[],4,FALSE))^2)))</f>
        <v>1000</v>
      </c>
      <c r="AC39" s="10">
        <f>IF($G39=AC$5,1000,IF(AC$4=0,1000,SQRT((VLOOKUP($G39,Coords[],3,FALSE)-VLOOKUP(AC$5,Coords[],3,FALSE))^2+(VLOOKUP($G39,Coords[],4,FALSE)-VLOOKUP(AC$5,Coords[],4,FALSE))^2)))</f>
        <v>1000</v>
      </c>
      <c r="AD39" s="10">
        <f>IF($G39=AD$5,1000,IF(AD$4=0,1000,SQRT((VLOOKUP($G39,Coords[],3,FALSE)-VLOOKUP(AD$5,Coords[],3,FALSE))^2+(VLOOKUP($G39,Coords[],4,FALSE)-VLOOKUP(AD$5,Coords[],4,FALSE))^2)))</f>
        <v>1000</v>
      </c>
      <c r="AE39" s="10">
        <f>IF($G39=AE$5,1000,IF(AE$4=0,1000,SQRT((VLOOKUP($G39,Coords[],3,FALSE)-VLOOKUP(AE$5,Coords[],3,FALSE))^2+(VLOOKUP($G39,Coords[],4,FALSE)-VLOOKUP(AE$5,Coords[],4,FALSE))^2)))</f>
        <v>1000</v>
      </c>
      <c r="AF39" s="10">
        <f>IF($G39=AF$5,1000,IF(AF$4=0,1000,SQRT((VLOOKUP($G39,Coords[],3,FALSE)-VLOOKUP(AF$5,Coords[],3,FALSE))^2+(VLOOKUP($G39,Coords[],4,FALSE)-VLOOKUP(AF$5,Coords[],4,FALSE))^2)))</f>
        <v>1000</v>
      </c>
      <c r="AG39" s="10">
        <f>IF($G39=AG$5,1000,IF(AG$4=0,1000,SQRT((VLOOKUP($G39,Coords[],3,FALSE)-VLOOKUP(AG$5,Coords[],3,FALSE))^2+(VLOOKUP($G39,Coords[],4,FALSE)-VLOOKUP(AG$5,Coords[],4,FALSE))^2)))</f>
        <v>1000</v>
      </c>
      <c r="AH39" s="10">
        <f>IF($G39=AH$5,1000,IF(AH$4=0,1000,SQRT((VLOOKUP($G39,Coords[],3,FALSE)-VLOOKUP(AH$5,Coords[],3,FALSE))^2+(VLOOKUP($G39,Coords[],4,FALSE)-VLOOKUP(AH$5,Coords[],4,FALSE))^2)))</f>
        <v>1000</v>
      </c>
      <c r="AI39" s="10">
        <f>IF($G39=AI$5,1000,IF(AI$4=0,1000,SQRT((VLOOKUP($G39,Coords[],3,FALSE)-VLOOKUP(AI$5,Coords[],3,FALSE))^2+(VLOOKUP($G39,Coords[],4,FALSE)-VLOOKUP(AI$5,Coords[],4,FALSE))^2)))</f>
        <v>1000</v>
      </c>
      <c r="AJ39" s="10">
        <f>IF($G39=AJ$5,1000,IF(AJ$4=0,1000,SQRT((VLOOKUP($G39,Coords[],3,FALSE)-VLOOKUP(AJ$5,Coords[],3,FALSE))^2+(VLOOKUP($G39,Coords[],4,FALSE)-VLOOKUP(AJ$5,Coords[],4,FALSE))^2)))</f>
        <v>1000</v>
      </c>
      <c r="AK39" s="10">
        <f>IF($G39=AK$5,1000,IF(AK$4=0,1000,SQRT((VLOOKUP($G39,Coords[],3,FALSE)-VLOOKUP(AK$5,Coords[],3,FALSE))^2+(VLOOKUP($G39,Coords[],4,FALSE)-VLOOKUP(AK$5,Coords[],4,FALSE))^2)))</f>
        <v>1000</v>
      </c>
      <c r="AL39" s="10">
        <f>IF($G39=AL$5,1000,IF(AL$4=0,1000,SQRT((VLOOKUP($G39,Coords[],3,FALSE)-VLOOKUP(AL$5,Coords[],3,FALSE))^2+(VLOOKUP($G39,Coords[],4,FALSE)-VLOOKUP(AL$5,Coords[],4,FALSE))^2)))</f>
        <v>1000</v>
      </c>
      <c r="AM39" s="10">
        <f>IF($G39=AM$5,1000,IF(AM$4=0,1000,SQRT((VLOOKUP($G39,Coords[],3,FALSE)-VLOOKUP(AM$5,Coords[],3,FALSE))^2+(VLOOKUP($G39,Coords[],4,FALSE)-VLOOKUP(AM$5,Coords[],4,FALSE))^2)))</f>
        <v>1000</v>
      </c>
      <c r="AN39" s="10">
        <f>IF($G39=AN$5,1000,IF(AN$4=0,1000,SQRT((VLOOKUP($G39,Coords[],3,FALSE)-VLOOKUP(AN$5,Coords[],3,FALSE))^2+(VLOOKUP($G39,Coords[],4,FALSE)-VLOOKUP(AN$5,Coords[],4,FALSE))^2)))</f>
        <v>1000</v>
      </c>
      <c r="AO39" s="10">
        <f>IF($G39=AO$5,1000,IF(AO$4=0,1000,SQRT((VLOOKUP($G39,Coords[],3,FALSE)-VLOOKUP(AO$5,Coords[],3,FALSE))^2+(VLOOKUP($G39,Coords[],4,FALSE)-VLOOKUP(AO$5,Coords[],4,FALSE))^2)))</f>
        <v>1000</v>
      </c>
      <c r="AP39" s="10">
        <f>IF($G39=AP$5,1000,IF(AP$4=0,1000,SQRT((VLOOKUP($G39,Coords[],3,FALSE)-VLOOKUP(AP$5,Coords[],3,FALSE))^2+(VLOOKUP($G39,Coords[],4,FALSE)-VLOOKUP(AP$5,Coords[],4,FALSE))^2)))</f>
        <v>1000</v>
      </c>
      <c r="AQ39" s="10">
        <f>IF($G39=AQ$5,1000,IF(AQ$4=0,1000,SQRT((VLOOKUP($G39,Coords[],3,FALSE)-VLOOKUP(AQ$5,Coords[],3,FALSE))^2+(VLOOKUP($G39,Coords[],4,FALSE)-VLOOKUP(AQ$5,Coords[],4,FALSE))^2)))</f>
        <v>1000</v>
      </c>
      <c r="AR39" s="10">
        <f>IF($G39=AR$5,1000,IF(AR$4=0,1000,SQRT((VLOOKUP($G39,Coords[],3,FALSE)-VLOOKUP(AR$5,Coords[],3,FALSE))^2+(VLOOKUP($G39,Coords[],4,FALSE)-VLOOKUP(AR$5,Coords[],4,FALSE))^2)))</f>
        <v>1000</v>
      </c>
      <c r="AS39" s="10">
        <f>IF($G39=AS$5,1000,IF(AS$4=0,1000,SQRT((VLOOKUP($G39,Coords[],3,FALSE)-VLOOKUP(AS$5,Coords[],3,FALSE))^2+(VLOOKUP($G39,Coords[],4,FALSE)-VLOOKUP(AS$5,Coords[],4,FALSE))^2)))</f>
        <v>1000</v>
      </c>
      <c r="AT39" s="10">
        <f>IF($G39=AT$5,1000,IF(AT$4=0,1000,SQRT((VLOOKUP($G39,Coords[],3,FALSE)-VLOOKUP(AT$5,Coords[],3,FALSE))^2+(VLOOKUP($G39,Coords[],4,FALSE)-VLOOKUP(AT$5,Coords[],4,FALSE))^2)))</f>
        <v>1000</v>
      </c>
      <c r="AU39" s="10">
        <f>IF($G39=AU$5,1000,IF(AU$4=0,1000,SQRT((VLOOKUP($G39,Coords[],3,FALSE)-VLOOKUP(AU$5,Coords[],3,FALSE))^2+(VLOOKUP($G39,Coords[],4,FALSE)-VLOOKUP(AU$5,Coords[],4,FALSE))^2)))</f>
        <v>1000</v>
      </c>
      <c r="AV39" s="10">
        <f>IF($G39=AV$5,1000,IF(AV$4=0,1000,SQRT((VLOOKUP($G39,Coords[],3,FALSE)-VLOOKUP(AV$5,Coords[],3,FALSE))^2+(VLOOKUP($G39,Coords[],4,FALSE)-VLOOKUP(AV$5,Coords[],4,FALSE))^2)))</f>
        <v>1000</v>
      </c>
      <c r="AW39" s="10">
        <f>IF($G39=AW$5,1000,IF(AW$4=0,1000,SQRT((VLOOKUP($G39,Coords[],3,FALSE)-VLOOKUP(AW$5,Coords[],3,FALSE))^2+(VLOOKUP($G39,Coords[],4,FALSE)-VLOOKUP(AW$5,Coords[],4,FALSE))^2)))</f>
        <v>1000</v>
      </c>
      <c r="AX39" s="10">
        <f>IF($G39=AX$5,1000,IF(AX$4=0,1000,SQRT((VLOOKUP($G39,Coords[],3,FALSE)-VLOOKUP(AX$5,Coords[],3,FALSE))^2+(VLOOKUP($G39,Coords[],4,FALSE)-VLOOKUP(AX$5,Coords[],4,FALSE))^2)))</f>
        <v>1000</v>
      </c>
      <c r="AY39" s="10">
        <f>IF($G39=AY$5,1000,IF(AY$4=0,1000,SQRT((VLOOKUP($G39,Coords[],3,FALSE)-VLOOKUP(AY$5,Coords[],3,FALSE))^2+(VLOOKUP($G39,Coords[],4,FALSE)-VLOOKUP(AY$5,Coords[],4,FALSE))^2)))</f>
        <v>1000</v>
      </c>
      <c r="AZ39" s="10">
        <f>IF($G39=AZ$5,1000,IF(AZ$4=0,1000,SQRT((VLOOKUP($G39,Coords[],3,FALSE)-VLOOKUP(AZ$5,Coords[],3,FALSE))^2+(VLOOKUP($G39,Coords[],4,FALSE)-VLOOKUP(AZ$5,Coords[],4,FALSE))^2)))</f>
        <v>1000</v>
      </c>
      <c r="BA39" s="10">
        <f>IF($G39=BA$5,1000,IF(BA$4=0,1000,SQRT((VLOOKUP($G39,Coords[],3,FALSE)-VLOOKUP(BA$5,Coords[],3,FALSE))^2+(VLOOKUP($G39,Coords[],4,FALSE)-VLOOKUP(BA$5,Coords[],4,FALSE))^2)))</f>
        <v>1000</v>
      </c>
      <c r="BB39" s="10">
        <f>IF($G39=BB$5,1000,IF(BB$4=0,1000,SQRT((VLOOKUP($G39,Coords[],3,FALSE)-VLOOKUP(BB$5,Coords[],3,FALSE))^2+(VLOOKUP($G39,Coords[],4,FALSE)-VLOOKUP(BB$5,Coords[],4,FALSE))^2)))</f>
        <v>1000</v>
      </c>
      <c r="BC39" s="10">
        <f>IF($G39=BC$5,1000,IF(BC$4=0,1000,SQRT((VLOOKUP($G39,Coords[],3,FALSE)-VLOOKUP(BC$5,Coords[],3,FALSE))^2+(VLOOKUP($G39,Coords[],4,FALSE)-VLOOKUP(BC$5,Coords[],4,FALSE))^2)))</f>
        <v>1000</v>
      </c>
      <c r="BD39" s="10">
        <f>IF($G39=BD$5,1000,IF(BD$4=0,1000,SQRT((VLOOKUP($G39,Coords[],3,FALSE)-VLOOKUP(BD$5,Coords[],3,FALSE))^2+(VLOOKUP($G39,Coords[],4,FALSE)-VLOOKUP(BD$5,Coords[],4,FALSE))^2)))</f>
        <v>1000</v>
      </c>
      <c r="BE39" s="10">
        <f>IF($G39=BE$5,1000,IF(BE$4=0,1000,SQRT((VLOOKUP($G39,Coords[],3,FALSE)-VLOOKUP(BE$5,Coords[],3,FALSE))^2+(VLOOKUP($G39,Coords[],4,FALSE)-VLOOKUP(BE$5,Coords[],4,FALSE))^2)))</f>
        <v>1000</v>
      </c>
      <c r="BF39" s="10">
        <f>IF($G39=BF$5,1000,IF(BF$4=0,1000,SQRT((VLOOKUP($G39,Coords[],3,FALSE)-VLOOKUP(BF$5,Coords[],3,FALSE))^2+(VLOOKUP($G39,Coords[],4,FALSE)-VLOOKUP(BF$5,Coords[],4,FALSE))^2)))</f>
        <v>1000</v>
      </c>
      <c r="BG39" s="10">
        <f>IF($G39=BG$5,1000,IF(BG$4=0,1000,SQRT((VLOOKUP($G39,Coords[],3,FALSE)-VLOOKUP(BG$5,Coords[],3,FALSE))^2+(VLOOKUP($G39,Coords[],4,FALSE)-VLOOKUP(BG$5,Coords[],4,FALSE))^2)))</f>
        <v>1000</v>
      </c>
      <c r="BH39" s="10">
        <f>IF($G39=BH$5,1000,IF(BH$4=0,1000,SQRT((VLOOKUP($G39,Coords[],3,FALSE)-VLOOKUP(BH$5,Coords[],3,FALSE))^2+(VLOOKUP($G39,Coords[],4,FALSE)-VLOOKUP(BH$5,Coords[],4,FALSE))^2)))</f>
        <v>1000</v>
      </c>
      <c r="BI39" s="10">
        <f>IF($G39=BI$5,1000,IF(BI$4=0,1000,SQRT((VLOOKUP($G39,Coords[],3,FALSE)-VLOOKUP(BI$5,Coords[],3,FALSE))^2+(VLOOKUP($G39,Coords[],4,FALSE)-VLOOKUP(BI$5,Coords[],4,FALSE))^2)))</f>
        <v>1000</v>
      </c>
      <c r="BJ39" s="10">
        <f>IF($G39=BJ$5,1000,IF(BJ$4=0,1000,SQRT((VLOOKUP($G39,Coords[],3,FALSE)-VLOOKUP(BJ$5,Coords[],3,FALSE))^2+(VLOOKUP($G39,Coords[],4,FALSE)-VLOOKUP(BJ$5,Coords[],4,FALSE))^2)))</f>
        <v>1000</v>
      </c>
      <c r="BK39" s="10">
        <f>IF($G39=BK$5,1000,IF(BK$4=0,1000,SQRT((VLOOKUP($G39,Coords[],3,FALSE)-VLOOKUP(BK$5,Coords[],3,FALSE))^2+(VLOOKUP($G39,Coords[],4,FALSE)-VLOOKUP(BK$5,Coords[],4,FALSE))^2)))</f>
        <v>1000</v>
      </c>
      <c r="BL39" s="10">
        <f>IF($G39=BL$5,1000,IF(BL$4=0,1000,SQRT((VLOOKUP($G39,Coords[],3,FALSE)-VLOOKUP(BL$5,Coords[],3,FALSE))^2+(VLOOKUP($G39,Coords[],4,FALSE)-VLOOKUP(BL$5,Coords[],4,FALSE))^2)))</f>
        <v>1000</v>
      </c>
      <c r="BM39" s="10">
        <f>IF($G39=BM$5,1000,IF(BM$4=0,1000,SQRT((VLOOKUP($G39,Coords[],3,FALSE)-VLOOKUP(BM$5,Coords[],3,FALSE))^2+(VLOOKUP($G39,Coords[],4,FALSE)-VLOOKUP(BM$5,Coords[],4,FALSE))^2)))</f>
        <v>1000</v>
      </c>
      <c r="BN39" s="10">
        <f>IF($G39=BN$5,1000,IF(BN$4=0,1000,SQRT((VLOOKUP($G39,Coords[],3,FALSE)-VLOOKUP(BN$5,Coords[],3,FALSE))^2+(VLOOKUP($G39,Coords[],4,FALSE)-VLOOKUP(BN$5,Coords[],4,FALSE))^2)))</f>
        <v>1000</v>
      </c>
      <c r="BO39" s="10">
        <f>IF($G39=BO$5,1000,IF(BO$4=0,1000,SQRT((VLOOKUP($G39,Coords[],3,FALSE)-VLOOKUP(BO$5,Coords[],3,FALSE))^2+(VLOOKUP($G39,Coords[],4,FALSE)-VLOOKUP(BO$5,Coords[],4,FALSE))^2)))</f>
        <v>1000</v>
      </c>
      <c r="BP39" s="10">
        <f>IF($G39=BP$5,1000,IF(BP$4=0,1000,SQRT((VLOOKUP($G39,Coords[],3,FALSE)-VLOOKUP(BP$5,Coords[],3,FALSE))^2+(VLOOKUP($G39,Coords[],4,FALSE)-VLOOKUP(BP$5,Coords[],4,FALSE))^2)))</f>
        <v>1000</v>
      </c>
      <c r="BQ39" s="10">
        <f>IF($G39=BQ$5,1000,IF(BQ$4=0,1000,SQRT((VLOOKUP($G39,Coords[],3,FALSE)-VLOOKUP(BQ$5,Coords[],3,FALSE))^2+(VLOOKUP($G39,Coords[],4,FALSE)-VLOOKUP(BQ$5,Coords[],4,FALSE))^2)))</f>
        <v>1000</v>
      </c>
      <c r="BR39" s="10">
        <f>IF($G39=BR$5,1000,IF(BR$4=0,1000,SQRT((VLOOKUP($G39,Coords[],3,FALSE)-VLOOKUP(BR$5,Coords[],3,FALSE))^2+(VLOOKUP($G39,Coords[],4,FALSE)-VLOOKUP(BR$5,Coords[],4,FALSE))^2)))</f>
        <v>1000</v>
      </c>
      <c r="BS39" s="10">
        <f>IF($G39=BS$5,1000,IF(BS$4=0,1000,SQRT((VLOOKUP($G39,Coords[],3,FALSE)-VLOOKUP(BS$5,Coords[],3,FALSE))^2+(VLOOKUP($G39,Coords[],4,FALSE)-VLOOKUP(BS$5,Coords[],4,FALSE))^2)))</f>
        <v>1000</v>
      </c>
      <c r="BT39" s="10">
        <f>IF($G39=BT$5,1000,IF(BT$4=0,1000,SQRT((VLOOKUP($G39,Coords[],3,FALSE)-VLOOKUP(BT$5,Coords[],3,FALSE))^2+(VLOOKUP($G39,Coords[],4,FALSE)-VLOOKUP(BT$5,Coords[],4,FALSE))^2)))</f>
        <v>1000</v>
      </c>
      <c r="BU39" s="10">
        <f>IF($G39=BU$5,1000,IF(BU$4=0,1000,SQRT((VLOOKUP($G39,Coords[],3,FALSE)-VLOOKUP(BU$5,Coords[],3,FALSE))^2+(VLOOKUP($G39,Coords[],4,FALSE)-VLOOKUP(BU$5,Coords[],4,FALSE))^2)))</f>
        <v>1000</v>
      </c>
      <c r="BV39" s="10">
        <f>IF($G39=BV$5,1000,IF(BV$4=0,1000,SQRT((VLOOKUP($G39,Coords[],3,FALSE)-VLOOKUP(BV$5,Coords[],3,FALSE))^2+(VLOOKUP($G39,Coords[],4,FALSE)-VLOOKUP(BV$5,Coords[],4,FALSE))^2)))</f>
        <v>1000</v>
      </c>
      <c r="BW39" s="10">
        <f>IF($G39=BW$5,1000,IF(BW$4=0,1000,SQRT((VLOOKUP($G39,Coords[],3,FALSE)-VLOOKUP(BW$5,Coords[],3,FALSE))^2+(VLOOKUP($G39,Coords[],4,FALSE)-VLOOKUP(BW$5,Coords[],4,FALSE))^2)))</f>
        <v>1000</v>
      </c>
      <c r="BX39" s="10">
        <f>IF($G39=BX$5,1000,IF(BX$4=0,1000,SQRT((VLOOKUP($G39,Coords[],3,FALSE)-VLOOKUP(BX$5,Coords[],3,FALSE))^2+(VLOOKUP($G39,Coords[],4,FALSE)-VLOOKUP(BX$5,Coords[],4,FALSE))^2)))</f>
        <v>1000</v>
      </c>
      <c r="BY39" s="10">
        <f>IF($G39=BY$5,1000,IF(BY$4=0,1000,SQRT((VLOOKUP($G39,Coords[],3,FALSE)-VLOOKUP(BY$5,Coords[],3,FALSE))^2+(VLOOKUP($G39,Coords[],4,FALSE)-VLOOKUP(BY$5,Coords[],4,FALSE))^2)))</f>
        <v>1000</v>
      </c>
      <c r="BZ39" s="10">
        <f>IF($G39=BZ$5,1000,IF(BZ$4=0,1000,SQRT((VLOOKUP($G39,Coords[],3,FALSE)-VLOOKUP(BZ$5,Coords[],3,FALSE))^2+(VLOOKUP($G39,Coords[],4,FALSE)-VLOOKUP(BZ$5,Coords[],4,FALSE))^2)))</f>
        <v>1000</v>
      </c>
      <c r="CA39" s="10">
        <f>IF($G39=CA$5,1000,IF(CA$4=0,1000,SQRT((VLOOKUP($G39,Coords[],3,FALSE)-VLOOKUP(CA$5,Coords[],3,FALSE))^2+(VLOOKUP($G39,Coords[],4,FALSE)-VLOOKUP(CA$5,Coords[],4,FALSE))^2)))</f>
        <v>1000</v>
      </c>
      <c r="CB39" s="10">
        <f>IF($G39=CB$5,1000,IF(CB$4=0,1000,SQRT((VLOOKUP($G39,Coords[],3,FALSE)-VLOOKUP(CB$5,Coords[],3,FALSE))^2+(VLOOKUP($G39,Coords[],4,FALSE)-VLOOKUP(CB$5,Coords[],4,FALSE))^2)))</f>
        <v>1000</v>
      </c>
      <c r="CC39" s="10">
        <f>IF($G39=CC$5,1000,IF(CC$4=0,1000,SQRT((VLOOKUP($G39,Coords[],3,FALSE)-VLOOKUP(CC$5,Coords[],3,FALSE))^2+(VLOOKUP($G39,Coords[],4,FALSE)-VLOOKUP(CC$5,Coords[],4,FALSE))^2)))</f>
        <v>1000</v>
      </c>
      <c r="CD39" s="10">
        <f>IF($G39=CD$5,1000,IF(CD$4=0,1000,SQRT((VLOOKUP($G39,Coords[],3,FALSE)-VLOOKUP(CD$5,Coords[],3,FALSE))^2+(VLOOKUP($G39,Coords[],4,FALSE)-VLOOKUP(CD$5,Coords[],4,FALSE))^2)))</f>
        <v>1000</v>
      </c>
      <c r="CE39" s="10">
        <f>IF($G39=CE$5,1000,IF(CE$4=0,1000,SQRT((VLOOKUP($G39,Coords[],3,FALSE)-VLOOKUP(CE$5,Coords[],3,FALSE))^2+(VLOOKUP($G39,Coords[],4,FALSE)-VLOOKUP(CE$5,Coords[],4,FALSE))^2)))</f>
        <v>1000</v>
      </c>
      <c r="CF39" s="4">
        <v>34</v>
      </c>
      <c r="CH39" s="5">
        <f>IF(E39=1,0,VLOOKUP($G39,$G$6:$CE$82,HLOOKUP(MIN(H39:CE39),$H39:$CE$82,((COUNT($G$6:$G$81)+2)-$G39),FALSE)+1,FALSE)*B39)</f>
        <v>0</v>
      </c>
      <c r="CI39" s="9">
        <f>VLOOKUP($G39,$G$6:$CE$82,HLOOKUP(MIN(H39:CE39),$H39:$CE$82,((COUNT($G$6:$G$81)+2)-$G39),FALSE)+1,FALSE)</f>
        <v>1000</v>
      </c>
      <c r="CJ39" s="7">
        <f>HLOOKUP(MIN(H39:CE39),$H39:$CE$82,((COUNT($G$6:$G$81)+2)-$G39),FALSE)</f>
        <v>1</v>
      </c>
      <c r="CK39">
        <f>CI39*Coords[[#This Row],[Demand]]</f>
        <v>0</v>
      </c>
    </row>
    <row r="40" spans="1:89" x14ac:dyDescent="0.25">
      <c r="A40" s="8">
        <v>35</v>
      </c>
      <c r="B40" s="3"/>
      <c r="C40" s="3"/>
      <c r="D40" s="3"/>
      <c r="E40" s="3"/>
      <c r="G40" s="4">
        <v>35</v>
      </c>
      <c r="H40" s="10">
        <f>IF($G40=H$5,1000,IF(H$4=0,1000,SQRT((VLOOKUP($G40,Coords[],3,FALSE)-VLOOKUP(H$5,Coords[],3,FALSE))^2+(VLOOKUP($G40,Coords[],4,FALSE)-VLOOKUP(H$5,Coords[],4,FALSE))^2)))</f>
        <v>1000</v>
      </c>
      <c r="I40" s="10">
        <f>IF($G40=I$5,1000,IF(I$4=0,1000,SQRT((VLOOKUP($G40,Coords[],3,FALSE)-VLOOKUP(I$5,Coords[],3,FALSE))^2+(VLOOKUP($G40,Coords[],4,FALSE)-VLOOKUP(I$5,Coords[],4,FALSE))^2)))</f>
        <v>1000</v>
      </c>
      <c r="J40" s="10">
        <f>IF($G40=J$5,1000,IF(J$4=0,1000,SQRT((VLOOKUP($G40,Coords[],3,FALSE)-VLOOKUP(J$5,Coords[],3,FALSE))^2+(VLOOKUP($G40,Coords[],4,FALSE)-VLOOKUP(J$5,Coords[],4,FALSE))^2)))</f>
        <v>1000</v>
      </c>
      <c r="K40" s="10">
        <f>IF($G40=K$5,1000,IF(K$4=0,1000,SQRT((VLOOKUP($G40,Coords[],3,FALSE)-VLOOKUP(K$5,Coords[],3,FALSE))^2+(VLOOKUP($G40,Coords[],4,FALSE)-VLOOKUP(K$5,Coords[],4,FALSE))^2)))</f>
        <v>1000</v>
      </c>
      <c r="L40" s="10">
        <f>IF($G40=L$5,1000,IF(L$4=0,1000,SQRT((VLOOKUP($G40,Coords[],3,FALSE)-VLOOKUP(L$5,Coords[],3,FALSE))^2+(VLOOKUP($G40,Coords[],4,FALSE)-VLOOKUP(L$5,Coords[],4,FALSE))^2)))</f>
        <v>1000</v>
      </c>
      <c r="M40" s="10">
        <f>IF($G40=M$5,1000,IF(M$4=0,1000,SQRT((VLOOKUP($G40,Coords[],3,FALSE)-VLOOKUP(M$5,Coords[],3,FALSE))^2+(VLOOKUP($G40,Coords[],4,FALSE)-VLOOKUP(M$5,Coords[],4,FALSE))^2)))</f>
        <v>1000</v>
      </c>
      <c r="N40" s="10">
        <f>IF($G40=N$5,1000,IF(N$4=0,1000,SQRT((VLOOKUP($G40,Coords[],3,FALSE)-VLOOKUP(N$5,Coords[],3,FALSE))^2+(VLOOKUP($G40,Coords[],4,FALSE)-VLOOKUP(N$5,Coords[],4,FALSE))^2)))</f>
        <v>1000</v>
      </c>
      <c r="O40" s="10">
        <f>IF($G40=O$5,1000,IF(O$4=0,1000,SQRT((VLOOKUP($G40,Coords[],3,FALSE)-VLOOKUP(O$5,Coords[],3,FALSE))^2+(VLOOKUP($G40,Coords[],4,FALSE)-VLOOKUP(O$5,Coords[],4,FALSE))^2)))</f>
        <v>1000</v>
      </c>
      <c r="P40" s="10">
        <f>IF($G40=P$5,1000,IF(P$4=0,1000,SQRT((VLOOKUP($G40,Coords[],3,FALSE)-VLOOKUP(P$5,Coords[],3,FALSE))^2+(VLOOKUP($G40,Coords[],4,FALSE)-VLOOKUP(P$5,Coords[],4,FALSE))^2)))</f>
        <v>1000</v>
      </c>
      <c r="Q40" s="10">
        <f>IF($G40=Q$5,1000,IF(Q$4=0,1000,SQRT((VLOOKUP($G40,Coords[],3,FALSE)-VLOOKUP(Q$5,Coords[],3,FALSE))^2+(VLOOKUP($G40,Coords[],4,FALSE)-VLOOKUP(Q$5,Coords[],4,FALSE))^2)))</f>
        <v>1000</v>
      </c>
      <c r="R40" s="10">
        <f>IF($G40=R$5,1000,IF(R$4=0,1000,SQRT((VLOOKUP($G40,Coords[],3,FALSE)-VLOOKUP(R$5,Coords[],3,FALSE))^2+(VLOOKUP($G40,Coords[],4,FALSE)-VLOOKUP(R$5,Coords[],4,FALSE))^2)))</f>
        <v>1000</v>
      </c>
      <c r="S40" s="10">
        <f>IF($G40=S$5,1000,IF(S$4=0,1000,SQRT((VLOOKUP($G40,Coords[],3,FALSE)-VLOOKUP(S$5,Coords[],3,FALSE))^2+(VLOOKUP($G40,Coords[],4,FALSE)-VLOOKUP(S$5,Coords[],4,FALSE))^2)))</f>
        <v>1000</v>
      </c>
      <c r="T40" s="10">
        <f>IF($G40=T$5,1000,IF(T$4=0,1000,SQRT((VLOOKUP($G40,Coords[],3,FALSE)-VLOOKUP(T$5,Coords[],3,FALSE))^2+(VLOOKUP($G40,Coords[],4,FALSE)-VLOOKUP(T$5,Coords[],4,FALSE))^2)))</f>
        <v>1000</v>
      </c>
      <c r="U40" s="10">
        <f>IF($G40=U$5,1000,IF(U$4=0,1000,SQRT((VLOOKUP($G40,Coords[],3,FALSE)-VLOOKUP(U$5,Coords[],3,FALSE))^2+(VLOOKUP($G40,Coords[],4,FALSE)-VLOOKUP(U$5,Coords[],4,FALSE))^2)))</f>
        <v>1000</v>
      </c>
      <c r="V40" s="10">
        <f>IF($G40=V$5,1000,IF(V$4=0,1000,SQRT((VLOOKUP($G40,Coords[],3,FALSE)-VLOOKUP(V$5,Coords[],3,FALSE))^2+(VLOOKUP($G40,Coords[],4,FALSE)-VLOOKUP(V$5,Coords[],4,FALSE))^2)))</f>
        <v>1000</v>
      </c>
      <c r="W40" s="10">
        <f>IF($G40=W$5,1000,IF(W$4=0,1000,SQRT((VLOOKUP($G40,Coords[],3,FALSE)-VLOOKUP(W$5,Coords[],3,FALSE))^2+(VLOOKUP($G40,Coords[],4,FALSE)-VLOOKUP(W$5,Coords[],4,FALSE))^2)))</f>
        <v>1000</v>
      </c>
      <c r="X40" s="10">
        <f>IF($G40=X$5,1000,IF(X$4=0,1000,SQRT((VLOOKUP($G40,Coords[],3,FALSE)-VLOOKUP(X$5,Coords[],3,FALSE))^2+(VLOOKUP($G40,Coords[],4,FALSE)-VLOOKUP(X$5,Coords[],4,FALSE))^2)))</f>
        <v>1000</v>
      </c>
      <c r="Y40" s="10">
        <f>IF($G40=Y$5,1000,IF(Y$4=0,1000,SQRT((VLOOKUP($G40,Coords[],3,FALSE)-VLOOKUP(Y$5,Coords[],3,FALSE))^2+(VLOOKUP($G40,Coords[],4,FALSE)-VLOOKUP(Y$5,Coords[],4,FALSE))^2)))</f>
        <v>1000</v>
      </c>
      <c r="Z40" s="10">
        <f>IF($G40=Z$5,1000,IF(Z$4=0,1000,SQRT((VLOOKUP($G40,Coords[],3,FALSE)-VLOOKUP(Z$5,Coords[],3,FALSE))^2+(VLOOKUP($G40,Coords[],4,FALSE)-VLOOKUP(Z$5,Coords[],4,FALSE))^2)))</f>
        <v>1000</v>
      </c>
      <c r="AA40" s="10">
        <f>IF($G40=AA$5,1000,IF(AA$4=0,1000,SQRT((VLOOKUP($G40,Coords[],3,FALSE)-VLOOKUP(AA$5,Coords[],3,FALSE))^2+(VLOOKUP($G40,Coords[],4,FALSE)-VLOOKUP(AA$5,Coords[],4,FALSE))^2)))</f>
        <v>1000</v>
      </c>
      <c r="AB40" s="10">
        <f>IF($G40=AB$5,1000,IF(AB$4=0,1000,SQRT((VLOOKUP($G40,Coords[],3,FALSE)-VLOOKUP(AB$5,Coords[],3,FALSE))^2+(VLOOKUP($G40,Coords[],4,FALSE)-VLOOKUP(AB$5,Coords[],4,FALSE))^2)))</f>
        <v>1000</v>
      </c>
      <c r="AC40" s="10">
        <f>IF($G40=AC$5,1000,IF(AC$4=0,1000,SQRT((VLOOKUP($G40,Coords[],3,FALSE)-VLOOKUP(AC$5,Coords[],3,FALSE))^2+(VLOOKUP($G40,Coords[],4,FALSE)-VLOOKUP(AC$5,Coords[],4,FALSE))^2)))</f>
        <v>1000</v>
      </c>
      <c r="AD40" s="10">
        <f>IF($G40=AD$5,1000,IF(AD$4=0,1000,SQRT((VLOOKUP($G40,Coords[],3,FALSE)-VLOOKUP(AD$5,Coords[],3,FALSE))^2+(VLOOKUP($G40,Coords[],4,FALSE)-VLOOKUP(AD$5,Coords[],4,FALSE))^2)))</f>
        <v>1000</v>
      </c>
      <c r="AE40" s="10">
        <f>IF($G40=AE$5,1000,IF(AE$4=0,1000,SQRT((VLOOKUP($G40,Coords[],3,FALSE)-VLOOKUP(AE$5,Coords[],3,FALSE))^2+(VLOOKUP($G40,Coords[],4,FALSE)-VLOOKUP(AE$5,Coords[],4,FALSE))^2)))</f>
        <v>1000</v>
      </c>
      <c r="AF40" s="10">
        <f>IF($G40=AF$5,1000,IF(AF$4=0,1000,SQRT((VLOOKUP($G40,Coords[],3,FALSE)-VLOOKUP(AF$5,Coords[],3,FALSE))^2+(VLOOKUP($G40,Coords[],4,FALSE)-VLOOKUP(AF$5,Coords[],4,FALSE))^2)))</f>
        <v>1000</v>
      </c>
      <c r="AG40" s="10">
        <f>IF($G40=AG$5,1000,IF(AG$4=0,1000,SQRT((VLOOKUP($G40,Coords[],3,FALSE)-VLOOKUP(AG$5,Coords[],3,FALSE))^2+(VLOOKUP($G40,Coords[],4,FALSE)-VLOOKUP(AG$5,Coords[],4,FALSE))^2)))</f>
        <v>1000</v>
      </c>
      <c r="AH40" s="10">
        <f>IF($G40=AH$5,1000,IF(AH$4=0,1000,SQRT((VLOOKUP($G40,Coords[],3,FALSE)-VLOOKUP(AH$5,Coords[],3,FALSE))^2+(VLOOKUP($G40,Coords[],4,FALSE)-VLOOKUP(AH$5,Coords[],4,FALSE))^2)))</f>
        <v>1000</v>
      </c>
      <c r="AI40" s="10">
        <f>IF($G40=AI$5,1000,IF(AI$4=0,1000,SQRT((VLOOKUP($G40,Coords[],3,FALSE)-VLOOKUP(AI$5,Coords[],3,FALSE))^2+(VLOOKUP($G40,Coords[],4,FALSE)-VLOOKUP(AI$5,Coords[],4,FALSE))^2)))</f>
        <v>1000</v>
      </c>
      <c r="AJ40" s="10">
        <f>IF($G40=AJ$5,1000,IF(AJ$4=0,1000,SQRT((VLOOKUP($G40,Coords[],3,FALSE)-VLOOKUP(AJ$5,Coords[],3,FALSE))^2+(VLOOKUP($G40,Coords[],4,FALSE)-VLOOKUP(AJ$5,Coords[],4,FALSE))^2)))</f>
        <v>1000</v>
      </c>
      <c r="AK40" s="10">
        <f>IF($G40=AK$5,1000,IF(AK$4=0,1000,SQRT((VLOOKUP($G40,Coords[],3,FALSE)-VLOOKUP(AK$5,Coords[],3,FALSE))^2+(VLOOKUP($G40,Coords[],4,FALSE)-VLOOKUP(AK$5,Coords[],4,FALSE))^2)))</f>
        <v>1000</v>
      </c>
      <c r="AL40" s="10">
        <f>IF($G40=AL$5,1000,IF(AL$4=0,1000,SQRT((VLOOKUP($G40,Coords[],3,FALSE)-VLOOKUP(AL$5,Coords[],3,FALSE))^2+(VLOOKUP($G40,Coords[],4,FALSE)-VLOOKUP(AL$5,Coords[],4,FALSE))^2)))</f>
        <v>1000</v>
      </c>
      <c r="AM40" s="10">
        <f>IF($G40=AM$5,1000,IF(AM$4=0,1000,SQRT((VLOOKUP($G40,Coords[],3,FALSE)-VLOOKUP(AM$5,Coords[],3,FALSE))^2+(VLOOKUP($G40,Coords[],4,FALSE)-VLOOKUP(AM$5,Coords[],4,FALSE))^2)))</f>
        <v>1000</v>
      </c>
      <c r="AN40" s="10">
        <f>IF($G40=AN$5,1000,IF(AN$4=0,1000,SQRT((VLOOKUP($G40,Coords[],3,FALSE)-VLOOKUP(AN$5,Coords[],3,FALSE))^2+(VLOOKUP($G40,Coords[],4,FALSE)-VLOOKUP(AN$5,Coords[],4,FALSE))^2)))</f>
        <v>1000</v>
      </c>
      <c r="AO40" s="10">
        <f>IF($G40=AO$5,1000,IF(AO$4=0,1000,SQRT((VLOOKUP($G40,Coords[],3,FALSE)-VLOOKUP(AO$5,Coords[],3,FALSE))^2+(VLOOKUP($G40,Coords[],4,FALSE)-VLOOKUP(AO$5,Coords[],4,FALSE))^2)))</f>
        <v>1000</v>
      </c>
      <c r="AP40" s="10">
        <f>IF($G40=AP$5,1000,IF(AP$4=0,1000,SQRT((VLOOKUP($G40,Coords[],3,FALSE)-VLOOKUP(AP$5,Coords[],3,FALSE))^2+(VLOOKUP($G40,Coords[],4,FALSE)-VLOOKUP(AP$5,Coords[],4,FALSE))^2)))</f>
        <v>1000</v>
      </c>
      <c r="AQ40" s="10">
        <f>IF($G40=AQ$5,1000,IF(AQ$4=0,1000,SQRT((VLOOKUP($G40,Coords[],3,FALSE)-VLOOKUP(AQ$5,Coords[],3,FALSE))^2+(VLOOKUP($G40,Coords[],4,FALSE)-VLOOKUP(AQ$5,Coords[],4,FALSE))^2)))</f>
        <v>1000</v>
      </c>
      <c r="AR40" s="10">
        <f>IF($G40=AR$5,1000,IF(AR$4=0,1000,SQRT((VLOOKUP($G40,Coords[],3,FALSE)-VLOOKUP(AR$5,Coords[],3,FALSE))^2+(VLOOKUP($G40,Coords[],4,FALSE)-VLOOKUP(AR$5,Coords[],4,FALSE))^2)))</f>
        <v>1000</v>
      </c>
      <c r="AS40" s="10">
        <f>IF($G40=AS$5,1000,IF(AS$4=0,1000,SQRT((VLOOKUP($G40,Coords[],3,FALSE)-VLOOKUP(AS$5,Coords[],3,FALSE))^2+(VLOOKUP($G40,Coords[],4,FALSE)-VLOOKUP(AS$5,Coords[],4,FALSE))^2)))</f>
        <v>1000</v>
      </c>
      <c r="AT40" s="10">
        <f>IF($G40=AT$5,1000,IF(AT$4=0,1000,SQRT((VLOOKUP($G40,Coords[],3,FALSE)-VLOOKUP(AT$5,Coords[],3,FALSE))^2+(VLOOKUP($G40,Coords[],4,FALSE)-VLOOKUP(AT$5,Coords[],4,FALSE))^2)))</f>
        <v>1000</v>
      </c>
      <c r="AU40" s="10">
        <f>IF($G40=AU$5,1000,IF(AU$4=0,1000,SQRT((VLOOKUP($G40,Coords[],3,FALSE)-VLOOKUP(AU$5,Coords[],3,FALSE))^2+(VLOOKUP($G40,Coords[],4,FALSE)-VLOOKUP(AU$5,Coords[],4,FALSE))^2)))</f>
        <v>1000</v>
      </c>
      <c r="AV40" s="10">
        <f>IF($G40=AV$5,1000,IF(AV$4=0,1000,SQRT((VLOOKUP($G40,Coords[],3,FALSE)-VLOOKUP(AV$5,Coords[],3,FALSE))^2+(VLOOKUP($G40,Coords[],4,FALSE)-VLOOKUP(AV$5,Coords[],4,FALSE))^2)))</f>
        <v>1000</v>
      </c>
      <c r="AW40" s="10">
        <f>IF($G40=AW$5,1000,IF(AW$4=0,1000,SQRT((VLOOKUP($G40,Coords[],3,FALSE)-VLOOKUP(AW$5,Coords[],3,FALSE))^2+(VLOOKUP($G40,Coords[],4,FALSE)-VLOOKUP(AW$5,Coords[],4,FALSE))^2)))</f>
        <v>1000</v>
      </c>
      <c r="AX40" s="10">
        <f>IF($G40=AX$5,1000,IF(AX$4=0,1000,SQRT((VLOOKUP($G40,Coords[],3,FALSE)-VLOOKUP(AX$5,Coords[],3,FALSE))^2+(VLOOKUP($G40,Coords[],4,FALSE)-VLOOKUP(AX$5,Coords[],4,FALSE))^2)))</f>
        <v>1000</v>
      </c>
      <c r="AY40" s="10">
        <f>IF($G40=AY$5,1000,IF(AY$4=0,1000,SQRT((VLOOKUP($G40,Coords[],3,FALSE)-VLOOKUP(AY$5,Coords[],3,FALSE))^2+(VLOOKUP($G40,Coords[],4,FALSE)-VLOOKUP(AY$5,Coords[],4,FALSE))^2)))</f>
        <v>1000</v>
      </c>
      <c r="AZ40" s="10">
        <f>IF($G40=AZ$5,1000,IF(AZ$4=0,1000,SQRT((VLOOKUP($G40,Coords[],3,FALSE)-VLOOKUP(AZ$5,Coords[],3,FALSE))^2+(VLOOKUP($G40,Coords[],4,FALSE)-VLOOKUP(AZ$5,Coords[],4,FALSE))^2)))</f>
        <v>1000</v>
      </c>
      <c r="BA40" s="10">
        <f>IF($G40=BA$5,1000,IF(BA$4=0,1000,SQRT((VLOOKUP($G40,Coords[],3,FALSE)-VLOOKUP(BA$5,Coords[],3,FALSE))^2+(VLOOKUP($G40,Coords[],4,FALSE)-VLOOKUP(BA$5,Coords[],4,FALSE))^2)))</f>
        <v>1000</v>
      </c>
      <c r="BB40" s="10">
        <f>IF($G40=BB$5,1000,IF(BB$4=0,1000,SQRT((VLOOKUP($G40,Coords[],3,FALSE)-VLOOKUP(BB$5,Coords[],3,FALSE))^2+(VLOOKUP($G40,Coords[],4,FALSE)-VLOOKUP(BB$5,Coords[],4,FALSE))^2)))</f>
        <v>1000</v>
      </c>
      <c r="BC40" s="10">
        <f>IF($G40=BC$5,1000,IF(BC$4=0,1000,SQRT((VLOOKUP($G40,Coords[],3,FALSE)-VLOOKUP(BC$5,Coords[],3,FALSE))^2+(VLOOKUP($G40,Coords[],4,FALSE)-VLOOKUP(BC$5,Coords[],4,FALSE))^2)))</f>
        <v>1000</v>
      </c>
      <c r="BD40" s="10">
        <f>IF($G40=BD$5,1000,IF(BD$4=0,1000,SQRT((VLOOKUP($G40,Coords[],3,FALSE)-VLOOKUP(BD$5,Coords[],3,FALSE))^2+(VLOOKUP($G40,Coords[],4,FALSE)-VLOOKUP(BD$5,Coords[],4,FALSE))^2)))</f>
        <v>1000</v>
      </c>
      <c r="BE40" s="10">
        <f>IF($G40=BE$5,1000,IF(BE$4=0,1000,SQRT((VLOOKUP($G40,Coords[],3,FALSE)-VLOOKUP(BE$5,Coords[],3,FALSE))^2+(VLOOKUP($G40,Coords[],4,FALSE)-VLOOKUP(BE$5,Coords[],4,FALSE))^2)))</f>
        <v>1000</v>
      </c>
      <c r="BF40" s="10">
        <f>IF($G40=BF$5,1000,IF(BF$4=0,1000,SQRT((VLOOKUP($G40,Coords[],3,FALSE)-VLOOKUP(BF$5,Coords[],3,FALSE))^2+(VLOOKUP($G40,Coords[],4,FALSE)-VLOOKUP(BF$5,Coords[],4,FALSE))^2)))</f>
        <v>1000</v>
      </c>
      <c r="BG40" s="10">
        <f>IF($G40=BG$5,1000,IF(BG$4=0,1000,SQRT((VLOOKUP($G40,Coords[],3,FALSE)-VLOOKUP(BG$5,Coords[],3,FALSE))^2+(VLOOKUP($G40,Coords[],4,FALSE)-VLOOKUP(BG$5,Coords[],4,FALSE))^2)))</f>
        <v>1000</v>
      </c>
      <c r="BH40" s="10">
        <f>IF($G40=BH$5,1000,IF(BH$4=0,1000,SQRT((VLOOKUP($G40,Coords[],3,FALSE)-VLOOKUP(BH$5,Coords[],3,FALSE))^2+(VLOOKUP($G40,Coords[],4,FALSE)-VLOOKUP(BH$5,Coords[],4,FALSE))^2)))</f>
        <v>1000</v>
      </c>
      <c r="BI40" s="10">
        <f>IF($G40=BI$5,1000,IF(BI$4=0,1000,SQRT((VLOOKUP($G40,Coords[],3,FALSE)-VLOOKUP(BI$5,Coords[],3,FALSE))^2+(VLOOKUP($G40,Coords[],4,FALSE)-VLOOKUP(BI$5,Coords[],4,FALSE))^2)))</f>
        <v>1000</v>
      </c>
      <c r="BJ40" s="10">
        <f>IF($G40=BJ$5,1000,IF(BJ$4=0,1000,SQRT((VLOOKUP($G40,Coords[],3,FALSE)-VLOOKUP(BJ$5,Coords[],3,FALSE))^2+(VLOOKUP($G40,Coords[],4,FALSE)-VLOOKUP(BJ$5,Coords[],4,FALSE))^2)))</f>
        <v>1000</v>
      </c>
      <c r="BK40" s="10">
        <f>IF($G40=BK$5,1000,IF(BK$4=0,1000,SQRT((VLOOKUP($G40,Coords[],3,FALSE)-VLOOKUP(BK$5,Coords[],3,FALSE))^2+(VLOOKUP($G40,Coords[],4,FALSE)-VLOOKUP(BK$5,Coords[],4,FALSE))^2)))</f>
        <v>1000</v>
      </c>
      <c r="BL40" s="10">
        <f>IF($G40=BL$5,1000,IF(BL$4=0,1000,SQRT((VLOOKUP($G40,Coords[],3,FALSE)-VLOOKUP(BL$5,Coords[],3,FALSE))^2+(VLOOKUP($G40,Coords[],4,FALSE)-VLOOKUP(BL$5,Coords[],4,FALSE))^2)))</f>
        <v>1000</v>
      </c>
      <c r="BM40" s="10">
        <f>IF($G40=BM$5,1000,IF(BM$4=0,1000,SQRT((VLOOKUP($G40,Coords[],3,FALSE)-VLOOKUP(BM$5,Coords[],3,FALSE))^2+(VLOOKUP($G40,Coords[],4,FALSE)-VLOOKUP(BM$5,Coords[],4,FALSE))^2)))</f>
        <v>1000</v>
      </c>
      <c r="BN40" s="10">
        <f>IF($G40=BN$5,1000,IF(BN$4=0,1000,SQRT((VLOOKUP($G40,Coords[],3,FALSE)-VLOOKUP(BN$5,Coords[],3,FALSE))^2+(VLOOKUP($G40,Coords[],4,FALSE)-VLOOKUP(BN$5,Coords[],4,FALSE))^2)))</f>
        <v>1000</v>
      </c>
      <c r="BO40" s="10">
        <f>IF($G40=BO$5,1000,IF(BO$4=0,1000,SQRT((VLOOKUP($G40,Coords[],3,FALSE)-VLOOKUP(BO$5,Coords[],3,FALSE))^2+(VLOOKUP($G40,Coords[],4,FALSE)-VLOOKUP(BO$5,Coords[],4,FALSE))^2)))</f>
        <v>1000</v>
      </c>
      <c r="BP40" s="10">
        <f>IF($G40=BP$5,1000,IF(BP$4=0,1000,SQRT((VLOOKUP($G40,Coords[],3,FALSE)-VLOOKUP(BP$5,Coords[],3,FALSE))^2+(VLOOKUP($G40,Coords[],4,FALSE)-VLOOKUP(BP$5,Coords[],4,FALSE))^2)))</f>
        <v>1000</v>
      </c>
      <c r="BQ40" s="10">
        <f>IF($G40=BQ$5,1000,IF(BQ$4=0,1000,SQRT((VLOOKUP($G40,Coords[],3,FALSE)-VLOOKUP(BQ$5,Coords[],3,FALSE))^2+(VLOOKUP($G40,Coords[],4,FALSE)-VLOOKUP(BQ$5,Coords[],4,FALSE))^2)))</f>
        <v>1000</v>
      </c>
      <c r="BR40" s="10">
        <f>IF($G40=BR$5,1000,IF(BR$4=0,1000,SQRT((VLOOKUP($G40,Coords[],3,FALSE)-VLOOKUP(BR$5,Coords[],3,FALSE))^2+(VLOOKUP($G40,Coords[],4,FALSE)-VLOOKUP(BR$5,Coords[],4,FALSE))^2)))</f>
        <v>1000</v>
      </c>
      <c r="BS40" s="10">
        <f>IF($G40=BS$5,1000,IF(BS$4=0,1000,SQRT((VLOOKUP($G40,Coords[],3,FALSE)-VLOOKUP(BS$5,Coords[],3,FALSE))^2+(VLOOKUP($G40,Coords[],4,FALSE)-VLOOKUP(BS$5,Coords[],4,FALSE))^2)))</f>
        <v>1000</v>
      </c>
      <c r="BT40" s="10">
        <f>IF($G40=BT$5,1000,IF(BT$4=0,1000,SQRT((VLOOKUP($G40,Coords[],3,FALSE)-VLOOKUP(BT$5,Coords[],3,FALSE))^2+(VLOOKUP($G40,Coords[],4,FALSE)-VLOOKUP(BT$5,Coords[],4,FALSE))^2)))</f>
        <v>1000</v>
      </c>
      <c r="BU40" s="10">
        <f>IF($G40=BU$5,1000,IF(BU$4=0,1000,SQRT((VLOOKUP($G40,Coords[],3,FALSE)-VLOOKUP(BU$5,Coords[],3,FALSE))^2+(VLOOKUP($G40,Coords[],4,FALSE)-VLOOKUP(BU$5,Coords[],4,FALSE))^2)))</f>
        <v>1000</v>
      </c>
      <c r="BV40" s="10">
        <f>IF($G40=BV$5,1000,IF(BV$4=0,1000,SQRT((VLOOKUP($G40,Coords[],3,FALSE)-VLOOKUP(BV$5,Coords[],3,FALSE))^2+(VLOOKUP($G40,Coords[],4,FALSE)-VLOOKUP(BV$5,Coords[],4,FALSE))^2)))</f>
        <v>1000</v>
      </c>
      <c r="BW40" s="10">
        <f>IF($G40=BW$5,1000,IF(BW$4=0,1000,SQRT((VLOOKUP($G40,Coords[],3,FALSE)-VLOOKUP(BW$5,Coords[],3,FALSE))^2+(VLOOKUP($G40,Coords[],4,FALSE)-VLOOKUP(BW$5,Coords[],4,FALSE))^2)))</f>
        <v>1000</v>
      </c>
      <c r="BX40" s="10">
        <f>IF($G40=BX$5,1000,IF(BX$4=0,1000,SQRT((VLOOKUP($G40,Coords[],3,FALSE)-VLOOKUP(BX$5,Coords[],3,FALSE))^2+(VLOOKUP($G40,Coords[],4,FALSE)-VLOOKUP(BX$5,Coords[],4,FALSE))^2)))</f>
        <v>1000</v>
      </c>
      <c r="BY40" s="10">
        <f>IF($G40=BY$5,1000,IF(BY$4=0,1000,SQRT((VLOOKUP($G40,Coords[],3,FALSE)-VLOOKUP(BY$5,Coords[],3,FALSE))^2+(VLOOKUP($G40,Coords[],4,FALSE)-VLOOKUP(BY$5,Coords[],4,FALSE))^2)))</f>
        <v>1000</v>
      </c>
      <c r="BZ40" s="10">
        <f>IF($G40=BZ$5,1000,IF(BZ$4=0,1000,SQRT((VLOOKUP($G40,Coords[],3,FALSE)-VLOOKUP(BZ$5,Coords[],3,FALSE))^2+(VLOOKUP($G40,Coords[],4,FALSE)-VLOOKUP(BZ$5,Coords[],4,FALSE))^2)))</f>
        <v>1000</v>
      </c>
      <c r="CA40" s="10">
        <f>IF($G40=CA$5,1000,IF(CA$4=0,1000,SQRT((VLOOKUP($G40,Coords[],3,FALSE)-VLOOKUP(CA$5,Coords[],3,FALSE))^2+(VLOOKUP($G40,Coords[],4,FALSE)-VLOOKUP(CA$5,Coords[],4,FALSE))^2)))</f>
        <v>1000</v>
      </c>
      <c r="CB40" s="10">
        <f>IF($G40=CB$5,1000,IF(CB$4=0,1000,SQRT((VLOOKUP($G40,Coords[],3,FALSE)-VLOOKUP(CB$5,Coords[],3,FALSE))^2+(VLOOKUP($G40,Coords[],4,FALSE)-VLOOKUP(CB$5,Coords[],4,FALSE))^2)))</f>
        <v>1000</v>
      </c>
      <c r="CC40" s="10">
        <f>IF($G40=CC$5,1000,IF(CC$4=0,1000,SQRT((VLOOKUP($G40,Coords[],3,FALSE)-VLOOKUP(CC$5,Coords[],3,FALSE))^2+(VLOOKUP($G40,Coords[],4,FALSE)-VLOOKUP(CC$5,Coords[],4,FALSE))^2)))</f>
        <v>1000</v>
      </c>
      <c r="CD40" s="10">
        <f>IF($G40=CD$5,1000,IF(CD$4=0,1000,SQRT((VLOOKUP($G40,Coords[],3,FALSE)-VLOOKUP(CD$5,Coords[],3,FALSE))^2+(VLOOKUP($G40,Coords[],4,FALSE)-VLOOKUP(CD$5,Coords[],4,FALSE))^2)))</f>
        <v>1000</v>
      </c>
      <c r="CE40" s="10">
        <f>IF($G40=CE$5,1000,IF(CE$4=0,1000,SQRT((VLOOKUP($G40,Coords[],3,FALSE)-VLOOKUP(CE$5,Coords[],3,FALSE))^2+(VLOOKUP($G40,Coords[],4,FALSE)-VLOOKUP(CE$5,Coords[],4,FALSE))^2)))</f>
        <v>1000</v>
      </c>
      <c r="CF40" s="4">
        <v>35</v>
      </c>
      <c r="CH40" s="5">
        <f>IF(E40=1,0,VLOOKUP($G40,$G$6:$CE$82,HLOOKUP(MIN(H40:CE40),$H40:$CE$82,((COUNT($G$6:$G$81)+2)-$G40),FALSE)+1,FALSE)*B40)</f>
        <v>0</v>
      </c>
      <c r="CI40" s="9">
        <f>VLOOKUP($G40,$G$6:$CE$82,HLOOKUP(MIN(H40:CE40),$H40:$CE$82,((COUNT($G$6:$G$81)+2)-$G40),FALSE)+1,FALSE)</f>
        <v>1000</v>
      </c>
      <c r="CJ40" s="7">
        <f>HLOOKUP(MIN(H40:CE40),$H40:$CE$82,((COUNT($G$6:$G$81)+2)-$G40),FALSE)</f>
        <v>1</v>
      </c>
      <c r="CK40">
        <f>CI40*Coords[[#This Row],[Demand]]</f>
        <v>0</v>
      </c>
    </row>
    <row r="41" spans="1:89" x14ac:dyDescent="0.25">
      <c r="A41" s="8">
        <v>36</v>
      </c>
      <c r="B41" s="3"/>
      <c r="C41" s="3"/>
      <c r="D41" s="3"/>
      <c r="E41" s="3"/>
      <c r="G41" s="4">
        <v>36</v>
      </c>
      <c r="H41" s="10">
        <f>IF($G41=H$5,1000,IF(H$4=0,1000,SQRT((VLOOKUP($G41,Coords[],3,FALSE)-VLOOKUP(H$5,Coords[],3,FALSE))^2+(VLOOKUP($G41,Coords[],4,FALSE)-VLOOKUP(H$5,Coords[],4,FALSE))^2)))</f>
        <v>1000</v>
      </c>
      <c r="I41" s="10">
        <f>IF($G41=I$5,1000,IF(I$4=0,1000,SQRT((VLOOKUP($G41,Coords[],3,FALSE)-VLOOKUP(I$5,Coords[],3,FALSE))^2+(VLOOKUP($G41,Coords[],4,FALSE)-VLOOKUP(I$5,Coords[],4,FALSE))^2)))</f>
        <v>1000</v>
      </c>
      <c r="J41" s="10">
        <f>IF($G41=J$5,1000,IF(J$4=0,1000,SQRT((VLOOKUP($G41,Coords[],3,FALSE)-VLOOKUP(J$5,Coords[],3,FALSE))^2+(VLOOKUP($G41,Coords[],4,FALSE)-VLOOKUP(J$5,Coords[],4,FALSE))^2)))</f>
        <v>1000</v>
      </c>
      <c r="K41" s="10">
        <f>IF($G41=K$5,1000,IF(K$4=0,1000,SQRT((VLOOKUP($G41,Coords[],3,FALSE)-VLOOKUP(K$5,Coords[],3,FALSE))^2+(VLOOKUP($G41,Coords[],4,FALSE)-VLOOKUP(K$5,Coords[],4,FALSE))^2)))</f>
        <v>1000</v>
      </c>
      <c r="L41" s="10">
        <f>IF($G41=L$5,1000,IF(L$4=0,1000,SQRT((VLOOKUP($G41,Coords[],3,FALSE)-VLOOKUP(L$5,Coords[],3,FALSE))^2+(VLOOKUP($G41,Coords[],4,FALSE)-VLOOKUP(L$5,Coords[],4,FALSE))^2)))</f>
        <v>1000</v>
      </c>
      <c r="M41" s="10">
        <f>IF($G41=M$5,1000,IF(M$4=0,1000,SQRT((VLOOKUP($G41,Coords[],3,FALSE)-VLOOKUP(M$5,Coords[],3,FALSE))^2+(VLOOKUP($G41,Coords[],4,FALSE)-VLOOKUP(M$5,Coords[],4,FALSE))^2)))</f>
        <v>1000</v>
      </c>
      <c r="N41" s="10">
        <f>IF($G41=N$5,1000,IF(N$4=0,1000,SQRT((VLOOKUP($G41,Coords[],3,FALSE)-VLOOKUP(N$5,Coords[],3,FALSE))^2+(VLOOKUP($G41,Coords[],4,FALSE)-VLOOKUP(N$5,Coords[],4,FALSE))^2)))</f>
        <v>1000</v>
      </c>
      <c r="O41" s="10">
        <f>IF($G41=O$5,1000,IF(O$4=0,1000,SQRT((VLOOKUP($G41,Coords[],3,FALSE)-VLOOKUP(O$5,Coords[],3,FALSE))^2+(VLOOKUP($G41,Coords[],4,FALSE)-VLOOKUP(O$5,Coords[],4,FALSE))^2)))</f>
        <v>1000</v>
      </c>
      <c r="P41" s="10">
        <f>IF($G41=P$5,1000,IF(P$4=0,1000,SQRT((VLOOKUP($G41,Coords[],3,FALSE)-VLOOKUP(P$5,Coords[],3,FALSE))^2+(VLOOKUP($G41,Coords[],4,FALSE)-VLOOKUP(P$5,Coords[],4,FALSE))^2)))</f>
        <v>1000</v>
      </c>
      <c r="Q41" s="10">
        <f>IF($G41=Q$5,1000,IF(Q$4=0,1000,SQRT((VLOOKUP($G41,Coords[],3,FALSE)-VLOOKUP(Q$5,Coords[],3,FALSE))^2+(VLOOKUP($G41,Coords[],4,FALSE)-VLOOKUP(Q$5,Coords[],4,FALSE))^2)))</f>
        <v>1000</v>
      </c>
      <c r="R41" s="10">
        <f>IF($G41=R$5,1000,IF(R$4=0,1000,SQRT((VLOOKUP($G41,Coords[],3,FALSE)-VLOOKUP(R$5,Coords[],3,FALSE))^2+(VLOOKUP($G41,Coords[],4,FALSE)-VLOOKUP(R$5,Coords[],4,FALSE))^2)))</f>
        <v>1000</v>
      </c>
      <c r="S41" s="10">
        <f>IF($G41=S$5,1000,IF(S$4=0,1000,SQRT((VLOOKUP($G41,Coords[],3,FALSE)-VLOOKUP(S$5,Coords[],3,FALSE))^2+(VLOOKUP($G41,Coords[],4,FALSE)-VLOOKUP(S$5,Coords[],4,FALSE))^2)))</f>
        <v>1000</v>
      </c>
      <c r="T41" s="10">
        <f>IF($G41=T$5,1000,IF(T$4=0,1000,SQRT((VLOOKUP($G41,Coords[],3,FALSE)-VLOOKUP(T$5,Coords[],3,FALSE))^2+(VLOOKUP($G41,Coords[],4,FALSE)-VLOOKUP(T$5,Coords[],4,FALSE))^2)))</f>
        <v>1000</v>
      </c>
      <c r="U41" s="10">
        <f>IF($G41=U$5,1000,IF(U$4=0,1000,SQRT((VLOOKUP($G41,Coords[],3,FALSE)-VLOOKUP(U$5,Coords[],3,FALSE))^2+(VLOOKUP($G41,Coords[],4,FALSE)-VLOOKUP(U$5,Coords[],4,FALSE))^2)))</f>
        <v>1000</v>
      </c>
      <c r="V41" s="10">
        <f>IF($G41=V$5,1000,IF(V$4=0,1000,SQRT((VLOOKUP($G41,Coords[],3,FALSE)-VLOOKUP(V$5,Coords[],3,FALSE))^2+(VLOOKUP($G41,Coords[],4,FALSE)-VLOOKUP(V$5,Coords[],4,FALSE))^2)))</f>
        <v>1000</v>
      </c>
      <c r="W41" s="10">
        <f>IF($G41=W$5,1000,IF(W$4=0,1000,SQRT((VLOOKUP($G41,Coords[],3,FALSE)-VLOOKUP(W$5,Coords[],3,FALSE))^2+(VLOOKUP($G41,Coords[],4,FALSE)-VLOOKUP(W$5,Coords[],4,FALSE))^2)))</f>
        <v>1000</v>
      </c>
      <c r="X41" s="10">
        <f>IF($G41=X$5,1000,IF(X$4=0,1000,SQRT((VLOOKUP($G41,Coords[],3,FALSE)-VLOOKUP(X$5,Coords[],3,FALSE))^2+(VLOOKUP($G41,Coords[],4,FALSE)-VLOOKUP(X$5,Coords[],4,FALSE))^2)))</f>
        <v>1000</v>
      </c>
      <c r="Y41" s="10">
        <f>IF($G41=Y$5,1000,IF(Y$4=0,1000,SQRT((VLOOKUP($G41,Coords[],3,FALSE)-VLOOKUP(Y$5,Coords[],3,FALSE))^2+(VLOOKUP($G41,Coords[],4,FALSE)-VLOOKUP(Y$5,Coords[],4,FALSE))^2)))</f>
        <v>1000</v>
      </c>
      <c r="Z41" s="10">
        <f>IF($G41=Z$5,1000,IF(Z$4=0,1000,SQRT((VLOOKUP($G41,Coords[],3,FALSE)-VLOOKUP(Z$5,Coords[],3,FALSE))^2+(VLOOKUP($G41,Coords[],4,FALSE)-VLOOKUP(Z$5,Coords[],4,FALSE))^2)))</f>
        <v>1000</v>
      </c>
      <c r="AA41" s="10">
        <f>IF($G41=AA$5,1000,IF(AA$4=0,1000,SQRT((VLOOKUP($G41,Coords[],3,FALSE)-VLOOKUP(AA$5,Coords[],3,FALSE))^2+(VLOOKUP($G41,Coords[],4,FALSE)-VLOOKUP(AA$5,Coords[],4,FALSE))^2)))</f>
        <v>1000</v>
      </c>
      <c r="AB41" s="10">
        <f>IF($G41=AB$5,1000,IF(AB$4=0,1000,SQRT((VLOOKUP($G41,Coords[],3,FALSE)-VLOOKUP(AB$5,Coords[],3,FALSE))^2+(VLOOKUP($G41,Coords[],4,FALSE)-VLOOKUP(AB$5,Coords[],4,FALSE))^2)))</f>
        <v>1000</v>
      </c>
      <c r="AC41" s="10">
        <f>IF($G41=AC$5,1000,IF(AC$4=0,1000,SQRT((VLOOKUP($G41,Coords[],3,FALSE)-VLOOKUP(AC$5,Coords[],3,FALSE))^2+(VLOOKUP($G41,Coords[],4,FALSE)-VLOOKUP(AC$5,Coords[],4,FALSE))^2)))</f>
        <v>1000</v>
      </c>
      <c r="AD41" s="10">
        <f>IF($G41=AD$5,1000,IF(AD$4=0,1000,SQRT((VLOOKUP($G41,Coords[],3,FALSE)-VLOOKUP(AD$5,Coords[],3,FALSE))^2+(VLOOKUP($G41,Coords[],4,FALSE)-VLOOKUP(AD$5,Coords[],4,FALSE))^2)))</f>
        <v>1000</v>
      </c>
      <c r="AE41" s="10">
        <f>IF($G41=AE$5,1000,IF(AE$4=0,1000,SQRT((VLOOKUP($G41,Coords[],3,FALSE)-VLOOKUP(AE$5,Coords[],3,FALSE))^2+(VLOOKUP($G41,Coords[],4,FALSE)-VLOOKUP(AE$5,Coords[],4,FALSE))^2)))</f>
        <v>1000</v>
      </c>
      <c r="AF41" s="10">
        <f>IF($G41=AF$5,1000,IF(AF$4=0,1000,SQRT((VLOOKUP($G41,Coords[],3,FALSE)-VLOOKUP(AF$5,Coords[],3,FALSE))^2+(VLOOKUP($G41,Coords[],4,FALSE)-VLOOKUP(AF$5,Coords[],4,FALSE))^2)))</f>
        <v>1000</v>
      </c>
      <c r="AG41" s="10">
        <f>IF($G41=AG$5,1000,IF(AG$4=0,1000,SQRT((VLOOKUP($G41,Coords[],3,FALSE)-VLOOKUP(AG$5,Coords[],3,FALSE))^2+(VLOOKUP($G41,Coords[],4,FALSE)-VLOOKUP(AG$5,Coords[],4,FALSE))^2)))</f>
        <v>1000</v>
      </c>
      <c r="AH41" s="10">
        <f>IF($G41=AH$5,1000,IF(AH$4=0,1000,SQRT((VLOOKUP($G41,Coords[],3,FALSE)-VLOOKUP(AH$5,Coords[],3,FALSE))^2+(VLOOKUP($G41,Coords[],4,FALSE)-VLOOKUP(AH$5,Coords[],4,FALSE))^2)))</f>
        <v>1000</v>
      </c>
      <c r="AI41" s="10">
        <f>IF($G41=AI$5,1000,IF(AI$4=0,1000,SQRT((VLOOKUP($G41,Coords[],3,FALSE)-VLOOKUP(AI$5,Coords[],3,FALSE))^2+(VLOOKUP($G41,Coords[],4,FALSE)-VLOOKUP(AI$5,Coords[],4,FALSE))^2)))</f>
        <v>1000</v>
      </c>
      <c r="AJ41" s="10">
        <f>IF($G41=AJ$5,1000,IF(AJ$4=0,1000,SQRT((VLOOKUP($G41,Coords[],3,FALSE)-VLOOKUP(AJ$5,Coords[],3,FALSE))^2+(VLOOKUP($G41,Coords[],4,FALSE)-VLOOKUP(AJ$5,Coords[],4,FALSE))^2)))</f>
        <v>1000</v>
      </c>
      <c r="AK41" s="10">
        <f>IF($G41=AK$5,1000,IF(AK$4=0,1000,SQRT((VLOOKUP($G41,Coords[],3,FALSE)-VLOOKUP(AK$5,Coords[],3,FALSE))^2+(VLOOKUP($G41,Coords[],4,FALSE)-VLOOKUP(AK$5,Coords[],4,FALSE))^2)))</f>
        <v>1000</v>
      </c>
      <c r="AL41" s="10">
        <f>IF($G41=AL$5,1000,IF(AL$4=0,1000,SQRT((VLOOKUP($G41,Coords[],3,FALSE)-VLOOKUP(AL$5,Coords[],3,FALSE))^2+(VLOOKUP($G41,Coords[],4,FALSE)-VLOOKUP(AL$5,Coords[],4,FALSE))^2)))</f>
        <v>1000</v>
      </c>
      <c r="AM41" s="10">
        <f>IF($G41=AM$5,1000,IF(AM$4=0,1000,SQRT((VLOOKUP($G41,Coords[],3,FALSE)-VLOOKUP(AM$5,Coords[],3,FALSE))^2+(VLOOKUP($G41,Coords[],4,FALSE)-VLOOKUP(AM$5,Coords[],4,FALSE))^2)))</f>
        <v>1000</v>
      </c>
      <c r="AN41" s="10">
        <f>IF($G41=AN$5,1000,IF(AN$4=0,1000,SQRT((VLOOKUP($G41,Coords[],3,FALSE)-VLOOKUP(AN$5,Coords[],3,FALSE))^2+(VLOOKUP($G41,Coords[],4,FALSE)-VLOOKUP(AN$5,Coords[],4,FALSE))^2)))</f>
        <v>1000</v>
      </c>
      <c r="AO41" s="10">
        <f>IF($G41=AO$5,1000,IF(AO$4=0,1000,SQRT((VLOOKUP($G41,Coords[],3,FALSE)-VLOOKUP(AO$5,Coords[],3,FALSE))^2+(VLOOKUP($G41,Coords[],4,FALSE)-VLOOKUP(AO$5,Coords[],4,FALSE))^2)))</f>
        <v>1000</v>
      </c>
      <c r="AP41" s="10">
        <f>IF($G41=AP$5,1000,IF(AP$4=0,1000,SQRT((VLOOKUP($G41,Coords[],3,FALSE)-VLOOKUP(AP$5,Coords[],3,FALSE))^2+(VLOOKUP($G41,Coords[],4,FALSE)-VLOOKUP(AP$5,Coords[],4,FALSE))^2)))</f>
        <v>1000</v>
      </c>
      <c r="AQ41" s="10">
        <f>IF($G41=AQ$5,1000,IF(AQ$4=0,1000,SQRT((VLOOKUP($G41,Coords[],3,FALSE)-VLOOKUP(AQ$5,Coords[],3,FALSE))^2+(VLOOKUP($G41,Coords[],4,FALSE)-VLOOKUP(AQ$5,Coords[],4,FALSE))^2)))</f>
        <v>1000</v>
      </c>
      <c r="AR41" s="10">
        <f>IF($G41=AR$5,1000,IF(AR$4=0,1000,SQRT((VLOOKUP($G41,Coords[],3,FALSE)-VLOOKUP(AR$5,Coords[],3,FALSE))^2+(VLOOKUP($G41,Coords[],4,FALSE)-VLOOKUP(AR$5,Coords[],4,FALSE))^2)))</f>
        <v>1000</v>
      </c>
      <c r="AS41" s="10">
        <f>IF($G41=AS$5,1000,IF(AS$4=0,1000,SQRT((VLOOKUP($G41,Coords[],3,FALSE)-VLOOKUP(AS$5,Coords[],3,FALSE))^2+(VLOOKUP($G41,Coords[],4,FALSE)-VLOOKUP(AS$5,Coords[],4,FALSE))^2)))</f>
        <v>1000</v>
      </c>
      <c r="AT41" s="10">
        <f>IF($G41=AT$5,1000,IF(AT$4=0,1000,SQRT((VLOOKUP($G41,Coords[],3,FALSE)-VLOOKUP(AT$5,Coords[],3,FALSE))^2+(VLOOKUP($G41,Coords[],4,FALSE)-VLOOKUP(AT$5,Coords[],4,FALSE))^2)))</f>
        <v>1000</v>
      </c>
      <c r="AU41" s="10">
        <f>IF($G41=AU$5,1000,IF(AU$4=0,1000,SQRT((VLOOKUP($G41,Coords[],3,FALSE)-VLOOKUP(AU$5,Coords[],3,FALSE))^2+(VLOOKUP($G41,Coords[],4,FALSE)-VLOOKUP(AU$5,Coords[],4,FALSE))^2)))</f>
        <v>1000</v>
      </c>
      <c r="AV41" s="10">
        <f>IF($G41=AV$5,1000,IF(AV$4=0,1000,SQRT((VLOOKUP($G41,Coords[],3,FALSE)-VLOOKUP(AV$5,Coords[],3,FALSE))^2+(VLOOKUP($G41,Coords[],4,FALSE)-VLOOKUP(AV$5,Coords[],4,FALSE))^2)))</f>
        <v>1000</v>
      </c>
      <c r="AW41" s="10">
        <f>IF($G41=AW$5,1000,IF(AW$4=0,1000,SQRT((VLOOKUP($G41,Coords[],3,FALSE)-VLOOKUP(AW$5,Coords[],3,FALSE))^2+(VLOOKUP($G41,Coords[],4,FALSE)-VLOOKUP(AW$5,Coords[],4,FALSE))^2)))</f>
        <v>1000</v>
      </c>
      <c r="AX41" s="10">
        <f>IF($G41=AX$5,1000,IF(AX$4=0,1000,SQRT((VLOOKUP($G41,Coords[],3,FALSE)-VLOOKUP(AX$5,Coords[],3,FALSE))^2+(VLOOKUP($G41,Coords[],4,FALSE)-VLOOKUP(AX$5,Coords[],4,FALSE))^2)))</f>
        <v>1000</v>
      </c>
      <c r="AY41" s="10">
        <f>IF($G41=AY$5,1000,IF(AY$4=0,1000,SQRT((VLOOKUP($G41,Coords[],3,FALSE)-VLOOKUP(AY$5,Coords[],3,FALSE))^2+(VLOOKUP($G41,Coords[],4,FALSE)-VLOOKUP(AY$5,Coords[],4,FALSE))^2)))</f>
        <v>1000</v>
      </c>
      <c r="AZ41" s="10">
        <f>IF($G41=AZ$5,1000,IF(AZ$4=0,1000,SQRT((VLOOKUP($G41,Coords[],3,FALSE)-VLOOKUP(AZ$5,Coords[],3,FALSE))^2+(VLOOKUP($G41,Coords[],4,FALSE)-VLOOKUP(AZ$5,Coords[],4,FALSE))^2)))</f>
        <v>1000</v>
      </c>
      <c r="BA41" s="10">
        <f>IF($G41=BA$5,1000,IF(BA$4=0,1000,SQRT((VLOOKUP($G41,Coords[],3,FALSE)-VLOOKUP(BA$5,Coords[],3,FALSE))^2+(VLOOKUP($G41,Coords[],4,FALSE)-VLOOKUP(BA$5,Coords[],4,FALSE))^2)))</f>
        <v>1000</v>
      </c>
      <c r="BB41" s="10">
        <f>IF($G41=BB$5,1000,IF(BB$4=0,1000,SQRT((VLOOKUP($G41,Coords[],3,FALSE)-VLOOKUP(BB$5,Coords[],3,FALSE))^2+(VLOOKUP($G41,Coords[],4,FALSE)-VLOOKUP(BB$5,Coords[],4,FALSE))^2)))</f>
        <v>1000</v>
      </c>
      <c r="BC41" s="10">
        <f>IF($G41=BC$5,1000,IF(BC$4=0,1000,SQRT((VLOOKUP($G41,Coords[],3,FALSE)-VLOOKUP(BC$5,Coords[],3,FALSE))^2+(VLOOKUP($G41,Coords[],4,FALSE)-VLOOKUP(BC$5,Coords[],4,FALSE))^2)))</f>
        <v>1000</v>
      </c>
      <c r="BD41" s="10">
        <f>IF($G41=BD$5,1000,IF(BD$4=0,1000,SQRT((VLOOKUP($G41,Coords[],3,FALSE)-VLOOKUP(BD$5,Coords[],3,FALSE))^2+(VLOOKUP($G41,Coords[],4,FALSE)-VLOOKUP(BD$5,Coords[],4,FALSE))^2)))</f>
        <v>1000</v>
      </c>
      <c r="BE41" s="10">
        <f>IF($G41=BE$5,1000,IF(BE$4=0,1000,SQRT((VLOOKUP($G41,Coords[],3,FALSE)-VLOOKUP(BE$5,Coords[],3,FALSE))^2+(VLOOKUP($G41,Coords[],4,FALSE)-VLOOKUP(BE$5,Coords[],4,FALSE))^2)))</f>
        <v>1000</v>
      </c>
      <c r="BF41" s="10">
        <f>IF($G41=BF$5,1000,IF(BF$4=0,1000,SQRT((VLOOKUP($G41,Coords[],3,FALSE)-VLOOKUP(BF$5,Coords[],3,FALSE))^2+(VLOOKUP($G41,Coords[],4,FALSE)-VLOOKUP(BF$5,Coords[],4,FALSE))^2)))</f>
        <v>1000</v>
      </c>
      <c r="BG41" s="10">
        <f>IF($G41=BG$5,1000,IF(BG$4=0,1000,SQRT((VLOOKUP($G41,Coords[],3,FALSE)-VLOOKUP(BG$5,Coords[],3,FALSE))^2+(VLOOKUP($G41,Coords[],4,FALSE)-VLOOKUP(BG$5,Coords[],4,FALSE))^2)))</f>
        <v>1000</v>
      </c>
      <c r="BH41" s="10">
        <f>IF($G41=BH$5,1000,IF(BH$4=0,1000,SQRT((VLOOKUP($G41,Coords[],3,FALSE)-VLOOKUP(BH$5,Coords[],3,FALSE))^2+(VLOOKUP($G41,Coords[],4,FALSE)-VLOOKUP(BH$5,Coords[],4,FALSE))^2)))</f>
        <v>1000</v>
      </c>
      <c r="BI41" s="10">
        <f>IF($G41=BI$5,1000,IF(BI$4=0,1000,SQRT((VLOOKUP($G41,Coords[],3,FALSE)-VLOOKUP(BI$5,Coords[],3,FALSE))^2+(VLOOKUP($G41,Coords[],4,FALSE)-VLOOKUP(BI$5,Coords[],4,FALSE))^2)))</f>
        <v>1000</v>
      </c>
      <c r="BJ41" s="10">
        <f>IF($G41=BJ$5,1000,IF(BJ$4=0,1000,SQRT((VLOOKUP($G41,Coords[],3,FALSE)-VLOOKUP(BJ$5,Coords[],3,FALSE))^2+(VLOOKUP($G41,Coords[],4,FALSE)-VLOOKUP(BJ$5,Coords[],4,FALSE))^2)))</f>
        <v>1000</v>
      </c>
      <c r="BK41" s="10">
        <f>IF($G41=BK$5,1000,IF(BK$4=0,1000,SQRT((VLOOKUP($G41,Coords[],3,FALSE)-VLOOKUP(BK$5,Coords[],3,FALSE))^2+(VLOOKUP($G41,Coords[],4,FALSE)-VLOOKUP(BK$5,Coords[],4,FALSE))^2)))</f>
        <v>1000</v>
      </c>
      <c r="BL41" s="10">
        <f>IF($G41=BL$5,1000,IF(BL$4=0,1000,SQRT((VLOOKUP($G41,Coords[],3,FALSE)-VLOOKUP(BL$5,Coords[],3,FALSE))^2+(VLOOKUP($G41,Coords[],4,FALSE)-VLOOKUP(BL$5,Coords[],4,FALSE))^2)))</f>
        <v>1000</v>
      </c>
      <c r="BM41" s="10">
        <f>IF($G41=BM$5,1000,IF(BM$4=0,1000,SQRT((VLOOKUP($G41,Coords[],3,FALSE)-VLOOKUP(BM$5,Coords[],3,FALSE))^2+(VLOOKUP($G41,Coords[],4,FALSE)-VLOOKUP(BM$5,Coords[],4,FALSE))^2)))</f>
        <v>1000</v>
      </c>
      <c r="BN41" s="10">
        <f>IF($G41=BN$5,1000,IF(BN$4=0,1000,SQRT((VLOOKUP($G41,Coords[],3,FALSE)-VLOOKUP(BN$5,Coords[],3,FALSE))^2+(VLOOKUP($G41,Coords[],4,FALSE)-VLOOKUP(BN$5,Coords[],4,FALSE))^2)))</f>
        <v>1000</v>
      </c>
      <c r="BO41" s="10">
        <f>IF($G41=BO$5,1000,IF(BO$4=0,1000,SQRT((VLOOKUP($G41,Coords[],3,FALSE)-VLOOKUP(BO$5,Coords[],3,FALSE))^2+(VLOOKUP($G41,Coords[],4,FALSE)-VLOOKUP(BO$5,Coords[],4,FALSE))^2)))</f>
        <v>1000</v>
      </c>
      <c r="BP41" s="10">
        <f>IF($G41=BP$5,1000,IF(BP$4=0,1000,SQRT((VLOOKUP($G41,Coords[],3,FALSE)-VLOOKUP(BP$5,Coords[],3,FALSE))^2+(VLOOKUP($G41,Coords[],4,FALSE)-VLOOKUP(BP$5,Coords[],4,FALSE))^2)))</f>
        <v>1000</v>
      </c>
      <c r="BQ41" s="10">
        <f>IF($G41=BQ$5,1000,IF(BQ$4=0,1000,SQRT((VLOOKUP($G41,Coords[],3,FALSE)-VLOOKUP(BQ$5,Coords[],3,FALSE))^2+(VLOOKUP($G41,Coords[],4,FALSE)-VLOOKUP(BQ$5,Coords[],4,FALSE))^2)))</f>
        <v>1000</v>
      </c>
      <c r="BR41" s="10">
        <f>IF($G41=BR$5,1000,IF(BR$4=0,1000,SQRT((VLOOKUP($G41,Coords[],3,FALSE)-VLOOKUP(BR$5,Coords[],3,FALSE))^2+(VLOOKUP($G41,Coords[],4,FALSE)-VLOOKUP(BR$5,Coords[],4,FALSE))^2)))</f>
        <v>1000</v>
      </c>
      <c r="BS41" s="10">
        <f>IF($G41=BS$5,1000,IF(BS$4=0,1000,SQRT((VLOOKUP($G41,Coords[],3,FALSE)-VLOOKUP(BS$5,Coords[],3,FALSE))^2+(VLOOKUP($G41,Coords[],4,FALSE)-VLOOKUP(BS$5,Coords[],4,FALSE))^2)))</f>
        <v>1000</v>
      </c>
      <c r="BT41" s="10">
        <f>IF($G41=BT$5,1000,IF(BT$4=0,1000,SQRT((VLOOKUP($G41,Coords[],3,FALSE)-VLOOKUP(BT$5,Coords[],3,FALSE))^2+(VLOOKUP($G41,Coords[],4,FALSE)-VLOOKUP(BT$5,Coords[],4,FALSE))^2)))</f>
        <v>1000</v>
      </c>
      <c r="BU41" s="10">
        <f>IF($G41=BU$5,1000,IF(BU$4=0,1000,SQRT((VLOOKUP($G41,Coords[],3,FALSE)-VLOOKUP(BU$5,Coords[],3,FALSE))^2+(VLOOKUP($G41,Coords[],4,FALSE)-VLOOKUP(BU$5,Coords[],4,FALSE))^2)))</f>
        <v>1000</v>
      </c>
      <c r="BV41" s="10">
        <f>IF($G41=BV$5,1000,IF(BV$4=0,1000,SQRT((VLOOKUP($G41,Coords[],3,FALSE)-VLOOKUP(BV$5,Coords[],3,FALSE))^2+(VLOOKUP($G41,Coords[],4,FALSE)-VLOOKUP(BV$5,Coords[],4,FALSE))^2)))</f>
        <v>1000</v>
      </c>
      <c r="BW41" s="10">
        <f>IF($G41=BW$5,1000,IF(BW$4=0,1000,SQRT((VLOOKUP($G41,Coords[],3,FALSE)-VLOOKUP(BW$5,Coords[],3,FALSE))^2+(VLOOKUP($G41,Coords[],4,FALSE)-VLOOKUP(BW$5,Coords[],4,FALSE))^2)))</f>
        <v>1000</v>
      </c>
      <c r="BX41" s="10">
        <f>IF($G41=BX$5,1000,IF(BX$4=0,1000,SQRT((VLOOKUP($G41,Coords[],3,FALSE)-VLOOKUP(BX$5,Coords[],3,FALSE))^2+(VLOOKUP($G41,Coords[],4,FALSE)-VLOOKUP(BX$5,Coords[],4,FALSE))^2)))</f>
        <v>1000</v>
      </c>
      <c r="BY41" s="10">
        <f>IF($G41=BY$5,1000,IF(BY$4=0,1000,SQRT((VLOOKUP($G41,Coords[],3,FALSE)-VLOOKUP(BY$5,Coords[],3,FALSE))^2+(VLOOKUP($G41,Coords[],4,FALSE)-VLOOKUP(BY$5,Coords[],4,FALSE))^2)))</f>
        <v>1000</v>
      </c>
      <c r="BZ41" s="10">
        <f>IF($G41=BZ$5,1000,IF(BZ$4=0,1000,SQRT((VLOOKUP($G41,Coords[],3,FALSE)-VLOOKUP(BZ$5,Coords[],3,FALSE))^2+(VLOOKUP($G41,Coords[],4,FALSE)-VLOOKUP(BZ$5,Coords[],4,FALSE))^2)))</f>
        <v>1000</v>
      </c>
      <c r="CA41" s="10">
        <f>IF($G41=CA$5,1000,IF(CA$4=0,1000,SQRT((VLOOKUP($G41,Coords[],3,FALSE)-VLOOKUP(CA$5,Coords[],3,FALSE))^2+(VLOOKUP($G41,Coords[],4,FALSE)-VLOOKUP(CA$5,Coords[],4,FALSE))^2)))</f>
        <v>1000</v>
      </c>
      <c r="CB41" s="10">
        <f>IF($G41=CB$5,1000,IF(CB$4=0,1000,SQRT((VLOOKUP($G41,Coords[],3,FALSE)-VLOOKUP(CB$5,Coords[],3,FALSE))^2+(VLOOKUP($G41,Coords[],4,FALSE)-VLOOKUP(CB$5,Coords[],4,FALSE))^2)))</f>
        <v>1000</v>
      </c>
      <c r="CC41" s="10">
        <f>IF($G41=CC$5,1000,IF(CC$4=0,1000,SQRT((VLOOKUP($G41,Coords[],3,FALSE)-VLOOKUP(CC$5,Coords[],3,FALSE))^2+(VLOOKUP($G41,Coords[],4,FALSE)-VLOOKUP(CC$5,Coords[],4,FALSE))^2)))</f>
        <v>1000</v>
      </c>
      <c r="CD41" s="10">
        <f>IF($G41=CD$5,1000,IF(CD$4=0,1000,SQRT((VLOOKUP($G41,Coords[],3,FALSE)-VLOOKUP(CD$5,Coords[],3,FALSE))^2+(VLOOKUP($G41,Coords[],4,FALSE)-VLOOKUP(CD$5,Coords[],4,FALSE))^2)))</f>
        <v>1000</v>
      </c>
      <c r="CE41" s="10">
        <f>IF($G41=CE$5,1000,IF(CE$4=0,1000,SQRT((VLOOKUP($G41,Coords[],3,FALSE)-VLOOKUP(CE$5,Coords[],3,FALSE))^2+(VLOOKUP($G41,Coords[],4,FALSE)-VLOOKUP(CE$5,Coords[],4,FALSE))^2)))</f>
        <v>1000</v>
      </c>
      <c r="CF41" s="4">
        <v>36</v>
      </c>
      <c r="CH41" s="5">
        <f>IF(E41=1,0,VLOOKUP($G41,$G$6:$CE$82,HLOOKUP(MIN(H41:CE41),$H41:$CE$82,((COUNT($G$6:$G$81)+2)-$G41),FALSE)+1,FALSE)*B41)</f>
        <v>0</v>
      </c>
      <c r="CI41" s="9">
        <f>VLOOKUP($G41,$G$6:$CE$82,HLOOKUP(MIN(H41:CE41),$H41:$CE$82,((COUNT($G$6:$G$81)+2)-$G41),FALSE)+1,FALSE)</f>
        <v>1000</v>
      </c>
      <c r="CJ41" s="7">
        <f>HLOOKUP(MIN(H41:CE41),$H41:$CE$82,((COUNT($G$6:$G$81)+2)-$G41),FALSE)</f>
        <v>1</v>
      </c>
      <c r="CK41">
        <f>CI41*Coords[[#This Row],[Demand]]</f>
        <v>0</v>
      </c>
    </row>
    <row r="42" spans="1:89" x14ac:dyDescent="0.25">
      <c r="A42" s="8">
        <v>37</v>
      </c>
      <c r="B42" s="3"/>
      <c r="C42" s="3"/>
      <c r="D42" s="3"/>
      <c r="E42" s="3"/>
      <c r="G42" s="4">
        <v>37</v>
      </c>
      <c r="H42" s="10">
        <f>IF($G42=H$5,1000,IF(H$4=0,1000,SQRT((VLOOKUP($G42,Coords[],3,FALSE)-VLOOKUP(H$5,Coords[],3,FALSE))^2+(VLOOKUP($G42,Coords[],4,FALSE)-VLOOKUP(H$5,Coords[],4,FALSE))^2)))</f>
        <v>1000</v>
      </c>
      <c r="I42" s="10">
        <f>IF($G42=I$5,1000,IF(I$4=0,1000,SQRT((VLOOKUP($G42,Coords[],3,FALSE)-VLOOKUP(I$5,Coords[],3,FALSE))^2+(VLOOKUP($G42,Coords[],4,FALSE)-VLOOKUP(I$5,Coords[],4,FALSE))^2)))</f>
        <v>1000</v>
      </c>
      <c r="J42" s="10">
        <f>IF($G42=J$5,1000,IF(J$4=0,1000,SQRT((VLOOKUP($G42,Coords[],3,FALSE)-VLOOKUP(J$5,Coords[],3,FALSE))^2+(VLOOKUP($G42,Coords[],4,FALSE)-VLOOKUP(J$5,Coords[],4,FALSE))^2)))</f>
        <v>1000</v>
      </c>
      <c r="K42" s="10">
        <f>IF($G42=K$5,1000,IF(K$4=0,1000,SQRT((VLOOKUP($G42,Coords[],3,FALSE)-VLOOKUP(K$5,Coords[],3,FALSE))^2+(VLOOKUP($G42,Coords[],4,FALSE)-VLOOKUP(K$5,Coords[],4,FALSE))^2)))</f>
        <v>1000</v>
      </c>
      <c r="L42" s="10">
        <f>IF($G42=L$5,1000,IF(L$4=0,1000,SQRT((VLOOKUP($G42,Coords[],3,FALSE)-VLOOKUP(L$5,Coords[],3,FALSE))^2+(VLOOKUP($G42,Coords[],4,FALSE)-VLOOKUP(L$5,Coords[],4,FALSE))^2)))</f>
        <v>1000</v>
      </c>
      <c r="M42" s="10">
        <f>IF($G42=M$5,1000,IF(M$4=0,1000,SQRT((VLOOKUP($G42,Coords[],3,FALSE)-VLOOKUP(M$5,Coords[],3,FALSE))^2+(VLOOKUP($G42,Coords[],4,FALSE)-VLOOKUP(M$5,Coords[],4,FALSE))^2)))</f>
        <v>1000</v>
      </c>
      <c r="N42" s="10">
        <f>IF($G42=N$5,1000,IF(N$4=0,1000,SQRT((VLOOKUP($G42,Coords[],3,FALSE)-VLOOKUP(N$5,Coords[],3,FALSE))^2+(VLOOKUP($G42,Coords[],4,FALSE)-VLOOKUP(N$5,Coords[],4,FALSE))^2)))</f>
        <v>1000</v>
      </c>
      <c r="O42" s="10">
        <f>IF($G42=O$5,1000,IF(O$4=0,1000,SQRT((VLOOKUP($G42,Coords[],3,FALSE)-VLOOKUP(O$5,Coords[],3,FALSE))^2+(VLOOKUP($G42,Coords[],4,FALSE)-VLOOKUP(O$5,Coords[],4,FALSE))^2)))</f>
        <v>1000</v>
      </c>
      <c r="P42" s="10">
        <f>IF($G42=P$5,1000,IF(P$4=0,1000,SQRT((VLOOKUP($G42,Coords[],3,FALSE)-VLOOKUP(P$5,Coords[],3,FALSE))^2+(VLOOKUP($G42,Coords[],4,FALSE)-VLOOKUP(P$5,Coords[],4,FALSE))^2)))</f>
        <v>1000</v>
      </c>
      <c r="Q42" s="10">
        <f>IF($G42=Q$5,1000,IF(Q$4=0,1000,SQRT((VLOOKUP($G42,Coords[],3,FALSE)-VLOOKUP(Q$5,Coords[],3,FALSE))^2+(VLOOKUP($G42,Coords[],4,FALSE)-VLOOKUP(Q$5,Coords[],4,FALSE))^2)))</f>
        <v>1000</v>
      </c>
      <c r="R42" s="10">
        <f>IF($G42=R$5,1000,IF(R$4=0,1000,SQRT((VLOOKUP($G42,Coords[],3,FALSE)-VLOOKUP(R$5,Coords[],3,FALSE))^2+(VLOOKUP($G42,Coords[],4,FALSE)-VLOOKUP(R$5,Coords[],4,FALSE))^2)))</f>
        <v>1000</v>
      </c>
      <c r="S42" s="10">
        <f>IF($G42=S$5,1000,IF(S$4=0,1000,SQRT((VLOOKUP($G42,Coords[],3,FALSE)-VLOOKUP(S$5,Coords[],3,FALSE))^2+(VLOOKUP($G42,Coords[],4,FALSE)-VLOOKUP(S$5,Coords[],4,FALSE))^2)))</f>
        <v>1000</v>
      </c>
      <c r="T42" s="10">
        <f>IF($G42=T$5,1000,IF(T$4=0,1000,SQRT((VLOOKUP($G42,Coords[],3,FALSE)-VLOOKUP(T$5,Coords[],3,FALSE))^2+(VLOOKUP($G42,Coords[],4,FALSE)-VLOOKUP(T$5,Coords[],4,FALSE))^2)))</f>
        <v>1000</v>
      </c>
      <c r="U42" s="10">
        <f>IF($G42=U$5,1000,IF(U$4=0,1000,SQRT((VLOOKUP($G42,Coords[],3,FALSE)-VLOOKUP(U$5,Coords[],3,FALSE))^2+(VLOOKUP($G42,Coords[],4,FALSE)-VLOOKUP(U$5,Coords[],4,FALSE))^2)))</f>
        <v>1000</v>
      </c>
      <c r="V42" s="10">
        <f>IF($G42=V$5,1000,IF(V$4=0,1000,SQRT((VLOOKUP($G42,Coords[],3,FALSE)-VLOOKUP(V$5,Coords[],3,FALSE))^2+(VLOOKUP($G42,Coords[],4,FALSE)-VLOOKUP(V$5,Coords[],4,FALSE))^2)))</f>
        <v>1000</v>
      </c>
      <c r="W42" s="10">
        <f>IF($G42=W$5,1000,IF(W$4=0,1000,SQRT((VLOOKUP($G42,Coords[],3,FALSE)-VLOOKUP(W$5,Coords[],3,FALSE))^2+(VLOOKUP($G42,Coords[],4,FALSE)-VLOOKUP(W$5,Coords[],4,FALSE))^2)))</f>
        <v>1000</v>
      </c>
      <c r="X42" s="10">
        <f>IF($G42=X$5,1000,IF(X$4=0,1000,SQRT((VLOOKUP($G42,Coords[],3,FALSE)-VLOOKUP(X$5,Coords[],3,FALSE))^2+(VLOOKUP($G42,Coords[],4,FALSE)-VLOOKUP(X$5,Coords[],4,FALSE))^2)))</f>
        <v>1000</v>
      </c>
      <c r="Y42" s="10">
        <f>IF($G42=Y$5,1000,IF(Y$4=0,1000,SQRT((VLOOKUP($G42,Coords[],3,FALSE)-VLOOKUP(Y$5,Coords[],3,FALSE))^2+(VLOOKUP($G42,Coords[],4,FALSE)-VLOOKUP(Y$5,Coords[],4,FALSE))^2)))</f>
        <v>1000</v>
      </c>
      <c r="Z42" s="10">
        <f>IF($G42=Z$5,1000,IF(Z$4=0,1000,SQRT((VLOOKUP($G42,Coords[],3,FALSE)-VLOOKUP(Z$5,Coords[],3,FALSE))^2+(VLOOKUP($G42,Coords[],4,FALSE)-VLOOKUP(Z$5,Coords[],4,FALSE))^2)))</f>
        <v>1000</v>
      </c>
      <c r="AA42" s="10">
        <f>IF($G42=AA$5,1000,IF(AA$4=0,1000,SQRT((VLOOKUP($G42,Coords[],3,FALSE)-VLOOKUP(AA$5,Coords[],3,FALSE))^2+(VLOOKUP($G42,Coords[],4,FALSE)-VLOOKUP(AA$5,Coords[],4,FALSE))^2)))</f>
        <v>1000</v>
      </c>
      <c r="AB42" s="10">
        <f>IF($G42=AB$5,1000,IF(AB$4=0,1000,SQRT((VLOOKUP($G42,Coords[],3,FALSE)-VLOOKUP(AB$5,Coords[],3,FALSE))^2+(VLOOKUP($G42,Coords[],4,FALSE)-VLOOKUP(AB$5,Coords[],4,FALSE))^2)))</f>
        <v>1000</v>
      </c>
      <c r="AC42" s="10">
        <f>IF($G42=AC$5,1000,IF(AC$4=0,1000,SQRT((VLOOKUP($G42,Coords[],3,FALSE)-VLOOKUP(AC$5,Coords[],3,FALSE))^2+(VLOOKUP($G42,Coords[],4,FALSE)-VLOOKUP(AC$5,Coords[],4,FALSE))^2)))</f>
        <v>1000</v>
      </c>
      <c r="AD42" s="10">
        <f>IF($G42=AD$5,1000,IF(AD$4=0,1000,SQRT((VLOOKUP($G42,Coords[],3,FALSE)-VLOOKUP(AD$5,Coords[],3,FALSE))^2+(VLOOKUP($G42,Coords[],4,FALSE)-VLOOKUP(AD$5,Coords[],4,FALSE))^2)))</f>
        <v>1000</v>
      </c>
      <c r="AE42" s="10">
        <f>IF($G42=AE$5,1000,IF(AE$4=0,1000,SQRT((VLOOKUP($G42,Coords[],3,FALSE)-VLOOKUP(AE$5,Coords[],3,FALSE))^2+(VLOOKUP($G42,Coords[],4,FALSE)-VLOOKUP(AE$5,Coords[],4,FALSE))^2)))</f>
        <v>1000</v>
      </c>
      <c r="AF42" s="10">
        <f>IF($G42=AF$5,1000,IF(AF$4=0,1000,SQRT((VLOOKUP($G42,Coords[],3,FALSE)-VLOOKUP(AF$5,Coords[],3,FALSE))^2+(VLOOKUP($G42,Coords[],4,FALSE)-VLOOKUP(AF$5,Coords[],4,FALSE))^2)))</f>
        <v>1000</v>
      </c>
      <c r="AG42" s="10">
        <f>IF($G42=AG$5,1000,IF(AG$4=0,1000,SQRT((VLOOKUP($G42,Coords[],3,FALSE)-VLOOKUP(AG$5,Coords[],3,FALSE))^2+(VLOOKUP($G42,Coords[],4,FALSE)-VLOOKUP(AG$5,Coords[],4,FALSE))^2)))</f>
        <v>1000</v>
      </c>
      <c r="AH42" s="10">
        <f>IF($G42=AH$5,1000,IF(AH$4=0,1000,SQRT((VLOOKUP($G42,Coords[],3,FALSE)-VLOOKUP(AH$5,Coords[],3,FALSE))^2+(VLOOKUP($G42,Coords[],4,FALSE)-VLOOKUP(AH$5,Coords[],4,FALSE))^2)))</f>
        <v>1000</v>
      </c>
      <c r="AI42" s="10">
        <f>IF($G42=AI$5,1000,IF(AI$4=0,1000,SQRT((VLOOKUP($G42,Coords[],3,FALSE)-VLOOKUP(AI$5,Coords[],3,FALSE))^2+(VLOOKUP($G42,Coords[],4,FALSE)-VLOOKUP(AI$5,Coords[],4,FALSE))^2)))</f>
        <v>1000</v>
      </c>
      <c r="AJ42" s="10">
        <f>IF($G42=AJ$5,1000,IF(AJ$4=0,1000,SQRT((VLOOKUP($G42,Coords[],3,FALSE)-VLOOKUP(AJ$5,Coords[],3,FALSE))^2+(VLOOKUP($G42,Coords[],4,FALSE)-VLOOKUP(AJ$5,Coords[],4,FALSE))^2)))</f>
        <v>1000</v>
      </c>
      <c r="AK42" s="10">
        <f>IF($G42=AK$5,1000,IF(AK$4=0,1000,SQRT((VLOOKUP($G42,Coords[],3,FALSE)-VLOOKUP(AK$5,Coords[],3,FALSE))^2+(VLOOKUP($G42,Coords[],4,FALSE)-VLOOKUP(AK$5,Coords[],4,FALSE))^2)))</f>
        <v>1000</v>
      </c>
      <c r="AL42" s="10">
        <f>IF($G42=AL$5,1000,IF(AL$4=0,1000,SQRT((VLOOKUP($G42,Coords[],3,FALSE)-VLOOKUP(AL$5,Coords[],3,FALSE))^2+(VLOOKUP($G42,Coords[],4,FALSE)-VLOOKUP(AL$5,Coords[],4,FALSE))^2)))</f>
        <v>1000</v>
      </c>
      <c r="AM42" s="10">
        <f>IF($G42=AM$5,1000,IF(AM$4=0,1000,SQRT((VLOOKUP($G42,Coords[],3,FALSE)-VLOOKUP(AM$5,Coords[],3,FALSE))^2+(VLOOKUP($G42,Coords[],4,FALSE)-VLOOKUP(AM$5,Coords[],4,FALSE))^2)))</f>
        <v>1000</v>
      </c>
      <c r="AN42" s="10">
        <f>IF($G42=AN$5,1000,IF(AN$4=0,1000,SQRT((VLOOKUP($G42,Coords[],3,FALSE)-VLOOKUP(AN$5,Coords[],3,FALSE))^2+(VLOOKUP($G42,Coords[],4,FALSE)-VLOOKUP(AN$5,Coords[],4,FALSE))^2)))</f>
        <v>1000</v>
      </c>
      <c r="AO42" s="10">
        <f>IF($G42=AO$5,1000,IF(AO$4=0,1000,SQRT((VLOOKUP($G42,Coords[],3,FALSE)-VLOOKUP(AO$5,Coords[],3,FALSE))^2+(VLOOKUP($G42,Coords[],4,FALSE)-VLOOKUP(AO$5,Coords[],4,FALSE))^2)))</f>
        <v>1000</v>
      </c>
      <c r="AP42" s="10">
        <f>IF($G42=AP$5,1000,IF(AP$4=0,1000,SQRT((VLOOKUP($G42,Coords[],3,FALSE)-VLOOKUP(AP$5,Coords[],3,FALSE))^2+(VLOOKUP($G42,Coords[],4,FALSE)-VLOOKUP(AP$5,Coords[],4,FALSE))^2)))</f>
        <v>1000</v>
      </c>
      <c r="AQ42" s="10">
        <f>IF($G42=AQ$5,1000,IF(AQ$4=0,1000,SQRT((VLOOKUP($G42,Coords[],3,FALSE)-VLOOKUP(AQ$5,Coords[],3,FALSE))^2+(VLOOKUP($G42,Coords[],4,FALSE)-VLOOKUP(AQ$5,Coords[],4,FALSE))^2)))</f>
        <v>1000</v>
      </c>
      <c r="AR42" s="10">
        <f>IF($G42=AR$5,1000,IF(AR$4=0,1000,SQRT((VLOOKUP($G42,Coords[],3,FALSE)-VLOOKUP(AR$5,Coords[],3,FALSE))^2+(VLOOKUP($G42,Coords[],4,FALSE)-VLOOKUP(AR$5,Coords[],4,FALSE))^2)))</f>
        <v>1000</v>
      </c>
      <c r="AS42" s="10">
        <f>IF($G42=AS$5,1000,IF(AS$4=0,1000,SQRT((VLOOKUP($G42,Coords[],3,FALSE)-VLOOKUP(AS$5,Coords[],3,FALSE))^2+(VLOOKUP($G42,Coords[],4,FALSE)-VLOOKUP(AS$5,Coords[],4,FALSE))^2)))</f>
        <v>1000</v>
      </c>
      <c r="AT42" s="10">
        <f>IF($G42=AT$5,1000,IF(AT$4=0,1000,SQRT((VLOOKUP($G42,Coords[],3,FALSE)-VLOOKUP(AT$5,Coords[],3,FALSE))^2+(VLOOKUP($G42,Coords[],4,FALSE)-VLOOKUP(AT$5,Coords[],4,FALSE))^2)))</f>
        <v>1000</v>
      </c>
      <c r="AU42" s="10">
        <f>IF($G42=AU$5,1000,IF(AU$4=0,1000,SQRT((VLOOKUP($G42,Coords[],3,FALSE)-VLOOKUP(AU$5,Coords[],3,FALSE))^2+(VLOOKUP($G42,Coords[],4,FALSE)-VLOOKUP(AU$5,Coords[],4,FALSE))^2)))</f>
        <v>1000</v>
      </c>
      <c r="AV42" s="10">
        <f>IF($G42=AV$5,1000,IF(AV$4=0,1000,SQRT((VLOOKUP($G42,Coords[],3,FALSE)-VLOOKUP(AV$5,Coords[],3,FALSE))^2+(VLOOKUP($G42,Coords[],4,FALSE)-VLOOKUP(AV$5,Coords[],4,FALSE))^2)))</f>
        <v>1000</v>
      </c>
      <c r="AW42" s="10">
        <f>IF($G42=AW$5,1000,IF(AW$4=0,1000,SQRT((VLOOKUP($G42,Coords[],3,FALSE)-VLOOKUP(AW$5,Coords[],3,FALSE))^2+(VLOOKUP($G42,Coords[],4,FALSE)-VLOOKUP(AW$5,Coords[],4,FALSE))^2)))</f>
        <v>1000</v>
      </c>
      <c r="AX42" s="10">
        <f>IF($G42=AX$5,1000,IF(AX$4=0,1000,SQRT((VLOOKUP($G42,Coords[],3,FALSE)-VLOOKUP(AX$5,Coords[],3,FALSE))^2+(VLOOKUP($G42,Coords[],4,FALSE)-VLOOKUP(AX$5,Coords[],4,FALSE))^2)))</f>
        <v>1000</v>
      </c>
      <c r="AY42" s="10">
        <f>IF($G42=AY$5,1000,IF(AY$4=0,1000,SQRT((VLOOKUP($G42,Coords[],3,FALSE)-VLOOKUP(AY$5,Coords[],3,FALSE))^2+(VLOOKUP($G42,Coords[],4,FALSE)-VLOOKUP(AY$5,Coords[],4,FALSE))^2)))</f>
        <v>1000</v>
      </c>
      <c r="AZ42" s="10">
        <f>IF($G42=AZ$5,1000,IF(AZ$4=0,1000,SQRT((VLOOKUP($G42,Coords[],3,FALSE)-VLOOKUP(AZ$5,Coords[],3,FALSE))^2+(VLOOKUP($G42,Coords[],4,FALSE)-VLOOKUP(AZ$5,Coords[],4,FALSE))^2)))</f>
        <v>1000</v>
      </c>
      <c r="BA42" s="10">
        <f>IF($G42=BA$5,1000,IF(BA$4=0,1000,SQRT((VLOOKUP($G42,Coords[],3,FALSE)-VLOOKUP(BA$5,Coords[],3,FALSE))^2+(VLOOKUP($G42,Coords[],4,FALSE)-VLOOKUP(BA$5,Coords[],4,FALSE))^2)))</f>
        <v>1000</v>
      </c>
      <c r="BB42" s="10">
        <f>IF($G42=BB$5,1000,IF(BB$4=0,1000,SQRT((VLOOKUP($G42,Coords[],3,FALSE)-VLOOKUP(BB$5,Coords[],3,FALSE))^2+(VLOOKUP($G42,Coords[],4,FALSE)-VLOOKUP(BB$5,Coords[],4,FALSE))^2)))</f>
        <v>1000</v>
      </c>
      <c r="BC42" s="10">
        <f>IF($G42=BC$5,1000,IF(BC$4=0,1000,SQRT((VLOOKUP($G42,Coords[],3,FALSE)-VLOOKUP(BC$5,Coords[],3,FALSE))^2+(VLOOKUP($G42,Coords[],4,FALSE)-VLOOKUP(BC$5,Coords[],4,FALSE))^2)))</f>
        <v>1000</v>
      </c>
      <c r="BD42" s="10">
        <f>IF($G42=BD$5,1000,IF(BD$4=0,1000,SQRT((VLOOKUP($G42,Coords[],3,FALSE)-VLOOKUP(BD$5,Coords[],3,FALSE))^2+(VLOOKUP($G42,Coords[],4,FALSE)-VLOOKUP(BD$5,Coords[],4,FALSE))^2)))</f>
        <v>1000</v>
      </c>
      <c r="BE42" s="10">
        <f>IF($G42=BE$5,1000,IF(BE$4=0,1000,SQRT((VLOOKUP($G42,Coords[],3,FALSE)-VLOOKUP(BE$5,Coords[],3,FALSE))^2+(VLOOKUP($G42,Coords[],4,FALSE)-VLOOKUP(BE$5,Coords[],4,FALSE))^2)))</f>
        <v>1000</v>
      </c>
      <c r="BF42" s="10">
        <f>IF($G42=BF$5,1000,IF(BF$4=0,1000,SQRT((VLOOKUP($G42,Coords[],3,FALSE)-VLOOKUP(BF$5,Coords[],3,FALSE))^2+(VLOOKUP($G42,Coords[],4,FALSE)-VLOOKUP(BF$5,Coords[],4,FALSE))^2)))</f>
        <v>1000</v>
      </c>
      <c r="BG42" s="10">
        <f>IF($G42=BG$5,1000,IF(BG$4=0,1000,SQRT((VLOOKUP($G42,Coords[],3,FALSE)-VLOOKUP(BG$5,Coords[],3,FALSE))^2+(VLOOKUP($G42,Coords[],4,FALSE)-VLOOKUP(BG$5,Coords[],4,FALSE))^2)))</f>
        <v>1000</v>
      </c>
      <c r="BH42" s="10">
        <f>IF($G42=BH$5,1000,IF(BH$4=0,1000,SQRT((VLOOKUP($G42,Coords[],3,FALSE)-VLOOKUP(BH$5,Coords[],3,FALSE))^2+(VLOOKUP($G42,Coords[],4,FALSE)-VLOOKUP(BH$5,Coords[],4,FALSE))^2)))</f>
        <v>1000</v>
      </c>
      <c r="BI42" s="10">
        <f>IF($G42=BI$5,1000,IF(BI$4=0,1000,SQRT((VLOOKUP($G42,Coords[],3,FALSE)-VLOOKUP(BI$5,Coords[],3,FALSE))^2+(VLOOKUP($G42,Coords[],4,FALSE)-VLOOKUP(BI$5,Coords[],4,FALSE))^2)))</f>
        <v>1000</v>
      </c>
      <c r="BJ42" s="10">
        <f>IF($G42=BJ$5,1000,IF(BJ$4=0,1000,SQRT((VLOOKUP($G42,Coords[],3,FALSE)-VLOOKUP(BJ$5,Coords[],3,FALSE))^2+(VLOOKUP($G42,Coords[],4,FALSE)-VLOOKUP(BJ$5,Coords[],4,FALSE))^2)))</f>
        <v>1000</v>
      </c>
      <c r="BK42" s="10">
        <f>IF($G42=BK$5,1000,IF(BK$4=0,1000,SQRT((VLOOKUP($G42,Coords[],3,FALSE)-VLOOKUP(BK$5,Coords[],3,FALSE))^2+(VLOOKUP($G42,Coords[],4,FALSE)-VLOOKUP(BK$5,Coords[],4,FALSE))^2)))</f>
        <v>1000</v>
      </c>
      <c r="BL42" s="10">
        <f>IF($G42=BL$5,1000,IF(BL$4=0,1000,SQRT((VLOOKUP($G42,Coords[],3,FALSE)-VLOOKUP(BL$5,Coords[],3,FALSE))^2+(VLOOKUP($G42,Coords[],4,FALSE)-VLOOKUP(BL$5,Coords[],4,FALSE))^2)))</f>
        <v>1000</v>
      </c>
      <c r="BM42" s="10">
        <f>IF($G42=BM$5,1000,IF(BM$4=0,1000,SQRT((VLOOKUP($G42,Coords[],3,FALSE)-VLOOKUP(BM$5,Coords[],3,FALSE))^2+(VLOOKUP($G42,Coords[],4,FALSE)-VLOOKUP(BM$5,Coords[],4,FALSE))^2)))</f>
        <v>1000</v>
      </c>
      <c r="BN42" s="10">
        <f>IF($G42=BN$5,1000,IF(BN$4=0,1000,SQRT((VLOOKUP($G42,Coords[],3,FALSE)-VLOOKUP(BN$5,Coords[],3,FALSE))^2+(VLOOKUP($G42,Coords[],4,FALSE)-VLOOKUP(BN$5,Coords[],4,FALSE))^2)))</f>
        <v>1000</v>
      </c>
      <c r="BO42" s="10">
        <f>IF($G42=BO$5,1000,IF(BO$4=0,1000,SQRT((VLOOKUP($G42,Coords[],3,FALSE)-VLOOKUP(BO$5,Coords[],3,FALSE))^2+(VLOOKUP($G42,Coords[],4,FALSE)-VLOOKUP(BO$5,Coords[],4,FALSE))^2)))</f>
        <v>1000</v>
      </c>
      <c r="BP42" s="10">
        <f>IF($G42=BP$5,1000,IF(BP$4=0,1000,SQRT((VLOOKUP($G42,Coords[],3,FALSE)-VLOOKUP(BP$5,Coords[],3,FALSE))^2+(VLOOKUP($G42,Coords[],4,FALSE)-VLOOKUP(BP$5,Coords[],4,FALSE))^2)))</f>
        <v>1000</v>
      </c>
      <c r="BQ42" s="10">
        <f>IF($G42=BQ$5,1000,IF(BQ$4=0,1000,SQRT((VLOOKUP($G42,Coords[],3,FALSE)-VLOOKUP(BQ$5,Coords[],3,FALSE))^2+(VLOOKUP($G42,Coords[],4,FALSE)-VLOOKUP(BQ$5,Coords[],4,FALSE))^2)))</f>
        <v>1000</v>
      </c>
      <c r="BR42" s="10">
        <f>IF($G42=BR$5,1000,IF(BR$4=0,1000,SQRT((VLOOKUP($G42,Coords[],3,FALSE)-VLOOKUP(BR$5,Coords[],3,FALSE))^2+(VLOOKUP($G42,Coords[],4,FALSE)-VLOOKUP(BR$5,Coords[],4,FALSE))^2)))</f>
        <v>1000</v>
      </c>
      <c r="BS42" s="10">
        <f>IF($G42=BS$5,1000,IF(BS$4=0,1000,SQRT((VLOOKUP($G42,Coords[],3,FALSE)-VLOOKUP(BS$5,Coords[],3,FALSE))^2+(VLOOKUP($G42,Coords[],4,FALSE)-VLOOKUP(BS$5,Coords[],4,FALSE))^2)))</f>
        <v>1000</v>
      </c>
      <c r="BT42" s="10">
        <f>IF($G42=BT$5,1000,IF(BT$4=0,1000,SQRT((VLOOKUP($G42,Coords[],3,FALSE)-VLOOKUP(BT$5,Coords[],3,FALSE))^2+(VLOOKUP($G42,Coords[],4,FALSE)-VLOOKUP(BT$5,Coords[],4,FALSE))^2)))</f>
        <v>1000</v>
      </c>
      <c r="BU42" s="10">
        <f>IF($G42=BU$5,1000,IF(BU$4=0,1000,SQRT((VLOOKUP($G42,Coords[],3,FALSE)-VLOOKUP(BU$5,Coords[],3,FALSE))^2+(VLOOKUP($G42,Coords[],4,FALSE)-VLOOKUP(BU$5,Coords[],4,FALSE))^2)))</f>
        <v>1000</v>
      </c>
      <c r="BV42" s="10">
        <f>IF($G42=BV$5,1000,IF(BV$4=0,1000,SQRT((VLOOKUP($G42,Coords[],3,FALSE)-VLOOKUP(BV$5,Coords[],3,FALSE))^2+(VLOOKUP($G42,Coords[],4,FALSE)-VLOOKUP(BV$5,Coords[],4,FALSE))^2)))</f>
        <v>1000</v>
      </c>
      <c r="BW42" s="10">
        <f>IF($G42=BW$5,1000,IF(BW$4=0,1000,SQRT((VLOOKUP($G42,Coords[],3,FALSE)-VLOOKUP(BW$5,Coords[],3,FALSE))^2+(VLOOKUP($G42,Coords[],4,FALSE)-VLOOKUP(BW$5,Coords[],4,FALSE))^2)))</f>
        <v>1000</v>
      </c>
      <c r="BX42" s="10">
        <f>IF($G42=BX$5,1000,IF(BX$4=0,1000,SQRT((VLOOKUP($G42,Coords[],3,FALSE)-VLOOKUP(BX$5,Coords[],3,FALSE))^2+(VLOOKUP($G42,Coords[],4,FALSE)-VLOOKUP(BX$5,Coords[],4,FALSE))^2)))</f>
        <v>1000</v>
      </c>
      <c r="BY42" s="10">
        <f>IF($G42=BY$5,1000,IF(BY$4=0,1000,SQRT((VLOOKUP($G42,Coords[],3,FALSE)-VLOOKUP(BY$5,Coords[],3,FALSE))^2+(VLOOKUP($G42,Coords[],4,FALSE)-VLOOKUP(BY$5,Coords[],4,FALSE))^2)))</f>
        <v>1000</v>
      </c>
      <c r="BZ42" s="10">
        <f>IF($G42=BZ$5,1000,IF(BZ$4=0,1000,SQRT((VLOOKUP($G42,Coords[],3,FALSE)-VLOOKUP(BZ$5,Coords[],3,FALSE))^2+(VLOOKUP($G42,Coords[],4,FALSE)-VLOOKUP(BZ$5,Coords[],4,FALSE))^2)))</f>
        <v>1000</v>
      </c>
      <c r="CA42" s="10">
        <f>IF($G42=CA$5,1000,IF(CA$4=0,1000,SQRT((VLOOKUP($G42,Coords[],3,FALSE)-VLOOKUP(CA$5,Coords[],3,FALSE))^2+(VLOOKUP($G42,Coords[],4,FALSE)-VLOOKUP(CA$5,Coords[],4,FALSE))^2)))</f>
        <v>1000</v>
      </c>
      <c r="CB42" s="10">
        <f>IF($G42=CB$5,1000,IF(CB$4=0,1000,SQRT((VLOOKUP($G42,Coords[],3,FALSE)-VLOOKUP(CB$5,Coords[],3,FALSE))^2+(VLOOKUP($G42,Coords[],4,FALSE)-VLOOKUP(CB$5,Coords[],4,FALSE))^2)))</f>
        <v>1000</v>
      </c>
      <c r="CC42" s="10">
        <f>IF($G42=CC$5,1000,IF(CC$4=0,1000,SQRT((VLOOKUP($G42,Coords[],3,FALSE)-VLOOKUP(CC$5,Coords[],3,FALSE))^2+(VLOOKUP($G42,Coords[],4,FALSE)-VLOOKUP(CC$5,Coords[],4,FALSE))^2)))</f>
        <v>1000</v>
      </c>
      <c r="CD42" s="10">
        <f>IF($G42=CD$5,1000,IF(CD$4=0,1000,SQRT((VLOOKUP($G42,Coords[],3,FALSE)-VLOOKUP(CD$5,Coords[],3,FALSE))^2+(VLOOKUP($G42,Coords[],4,FALSE)-VLOOKUP(CD$5,Coords[],4,FALSE))^2)))</f>
        <v>1000</v>
      </c>
      <c r="CE42" s="10">
        <f>IF($G42=CE$5,1000,IF(CE$4=0,1000,SQRT((VLOOKUP($G42,Coords[],3,FALSE)-VLOOKUP(CE$5,Coords[],3,FALSE))^2+(VLOOKUP($G42,Coords[],4,FALSE)-VLOOKUP(CE$5,Coords[],4,FALSE))^2)))</f>
        <v>1000</v>
      </c>
      <c r="CF42" s="4">
        <v>37</v>
      </c>
      <c r="CH42" s="5">
        <f>IF(E42=1,0,VLOOKUP($G42,$G$6:$CE$82,HLOOKUP(MIN(H42:CE42),$H42:$CE$82,((COUNT($G$6:$G$81)+2)-$G42),FALSE)+1,FALSE)*B42)</f>
        <v>0</v>
      </c>
      <c r="CI42" s="9">
        <f>VLOOKUP($G42,$G$6:$CE$82,HLOOKUP(MIN(H42:CE42),$H42:$CE$82,((COUNT($G$6:$G$81)+2)-$G42),FALSE)+1,FALSE)</f>
        <v>1000</v>
      </c>
      <c r="CJ42" s="7">
        <f>HLOOKUP(MIN(H42:CE42),$H42:$CE$82,((COUNT($G$6:$G$81)+2)-$G42),FALSE)</f>
        <v>1</v>
      </c>
      <c r="CK42">
        <f>CI42*Coords[[#This Row],[Demand]]</f>
        <v>0</v>
      </c>
    </row>
    <row r="43" spans="1:89" x14ac:dyDescent="0.25">
      <c r="A43" s="8">
        <v>38</v>
      </c>
      <c r="B43" s="3"/>
      <c r="C43" s="3"/>
      <c r="D43" s="3"/>
      <c r="E43" s="3"/>
      <c r="G43" s="4">
        <v>38</v>
      </c>
      <c r="H43" s="10">
        <f>IF($G43=H$5,1000,IF(H$4=0,1000,SQRT((VLOOKUP($G43,Coords[],3,FALSE)-VLOOKUP(H$5,Coords[],3,FALSE))^2+(VLOOKUP($G43,Coords[],4,FALSE)-VLOOKUP(H$5,Coords[],4,FALSE))^2)))</f>
        <v>1000</v>
      </c>
      <c r="I43" s="10">
        <f>IF($G43=I$5,1000,IF(I$4=0,1000,SQRT((VLOOKUP($G43,Coords[],3,FALSE)-VLOOKUP(I$5,Coords[],3,FALSE))^2+(VLOOKUP($G43,Coords[],4,FALSE)-VLOOKUP(I$5,Coords[],4,FALSE))^2)))</f>
        <v>1000</v>
      </c>
      <c r="J43" s="10">
        <f>IF($G43=J$5,1000,IF(J$4=0,1000,SQRT((VLOOKUP($G43,Coords[],3,FALSE)-VLOOKUP(J$5,Coords[],3,FALSE))^2+(VLOOKUP($G43,Coords[],4,FALSE)-VLOOKUP(J$5,Coords[],4,FALSE))^2)))</f>
        <v>1000</v>
      </c>
      <c r="K43" s="10">
        <f>IF($G43=K$5,1000,IF(K$4=0,1000,SQRT((VLOOKUP($G43,Coords[],3,FALSE)-VLOOKUP(K$5,Coords[],3,FALSE))^2+(VLOOKUP($G43,Coords[],4,FALSE)-VLOOKUP(K$5,Coords[],4,FALSE))^2)))</f>
        <v>1000</v>
      </c>
      <c r="L43" s="10">
        <f>IF($G43=L$5,1000,IF(L$4=0,1000,SQRT((VLOOKUP($G43,Coords[],3,FALSE)-VLOOKUP(L$5,Coords[],3,FALSE))^2+(VLOOKUP($G43,Coords[],4,FALSE)-VLOOKUP(L$5,Coords[],4,FALSE))^2)))</f>
        <v>1000</v>
      </c>
      <c r="M43" s="10">
        <f>IF($G43=M$5,1000,IF(M$4=0,1000,SQRT((VLOOKUP($G43,Coords[],3,FALSE)-VLOOKUP(M$5,Coords[],3,FALSE))^2+(VLOOKUP($G43,Coords[],4,FALSE)-VLOOKUP(M$5,Coords[],4,FALSE))^2)))</f>
        <v>1000</v>
      </c>
      <c r="N43" s="10">
        <f>IF($G43=N$5,1000,IF(N$4=0,1000,SQRT((VLOOKUP($G43,Coords[],3,FALSE)-VLOOKUP(N$5,Coords[],3,FALSE))^2+(VLOOKUP($G43,Coords[],4,FALSE)-VLOOKUP(N$5,Coords[],4,FALSE))^2)))</f>
        <v>1000</v>
      </c>
      <c r="O43" s="10">
        <f>IF($G43=O$5,1000,IF(O$4=0,1000,SQRT((VLOOKUP($G43,Coords[],3,FALSE)-VLOOKUP(O$5,Coords[],3,FALSE))^2+(VLOOKUP($G43,Coords[],4,FALSE)-VLOOKUP(O$5,Coords[],4,FALSE))^2)))</f>
        <v>1000</v>
      </c>
      <c r="P43" s="10">
        <f>IF($G43=P$5,1000,IF(P$4=0,1000,SQRT((VLOOKUP($G43,Coords[],3,FALSE)-VLOOKUP(P$5,Coords[],3,FALSE))^2+(VLOOKUP($G43,Coords[],4,FALSE)-VLOOKUP(P$5,Coords[],4,FALSE))^2)))</f>
        <v>1000</v>
      </c>
      <c r="Q43" s="10">
        <f>IF($G43=Q$5,1000,IF(Q$4=0,1000,SQRT((VLOOKUP($G43,Coords[],3,FALSE)-VLOOKUP(Q$5,Coords[],3,FALSE))^2+(VLOOKUP($G43,Coords[],4,FALSE)-VLOOKUP(Q$5,Coords[],4,FALSE))^2)))</f>
        <v>1000</v>
      </c>
      <c r="R43" s="10">
        <f>IF($G43=R$5,1000,IF(R$4=0,1000,SQRT((VLOOKUP($G43,Coords[],3,FALSE)-VLOOKUP(R$5,Coords[],3,FALSE))^2+(VLOOKUP($G43,Coords[],4,FALSE)-VLOOKUP(R$5,Coords[],4,FALSE))^2)))</f>
        <v>1000</v>
      </c>
      <c r="S43" s="10">
        <f>IF($G43=S$5,1000,IF(S$4=0,1000,SQRT((VLOOKUP($G43,Coords[],3,FALSE)-VLOOKUP(S$5,Coords[],3,FALSE))^2+(VLOOKUP($G43,Coords[],4,FALSE)-VLOOKUP(S$5,Coords[],4,FALSE))^2)))</f>
        <v>1000</v>
      </c>
      <c r="T43" s="10">
        <f>IF($G43=T$5,1000,IF(T$4=0,1000,SQRT((VLOOKUP($G43,Coords[],3,FALSE)-VLOOKUP(T$5,Coords[],3,FALSE))^2+(VLOOKUP($G43,Coords[],4,FALSE)-VLOOKUP(T$5,Coords[],4,FALSE))^2)))</f>
        <v>1000</v>
      </c>
      <c r="U43" s="10">
        <f>IF($G43=U$5,1000,IF(U$4=0,1000,SQRT((VLOOKUP($G43,Coords[],3,FALSE)-VLOOKUP(U$5,Coords[],3,FALSE))^2+(VLOOKUP($G43,Coords[],4,FALSE)-VLOOKUP(U$5,Coords[],4,FALSE))^2)))</f>
        <v>1000</v>
      </c>
      <c r="V43" s="10">
        <f>IF($G43=V$5,1000,IF(V$4=0,1000,SQRT((VLOOKUP($G43,Coords[],3,FALSE)-VLOOKUP(V$5,Coords[],3,FALSE))^2+(VLOOKUP($G43,Coords[],4,FALSE)-VLOOKUP(V$5,Coords[],4,FALSE))^2)))</f>
        <v>1000</v>
      </c>
      <c r="W43" s="10">
        <f>IF($G43=W$5,1000,IF(W$4=0,1000,SQRT((VLOOKUP($G43,Coords[],3,FALSE)-VLOOKUP(W$5,Coords[],3,FALSE))^2+(VLOOKUP($G43,Coords[],4,FALSE)-VLOOKUP(W$5,Coords[],4,FALSE))^2)))</f>
        <v>1000</v>
      </c>
      <c r="X43" s="10">
        <f>IF($G43=X$5,1000,IF(X$4=0,1000,SQRT((VLOOKUP($G43,Coords[],3,FALSE)-VLOOKUP(X$5,Coords[],3,FALSE))^2+(VLOOKUP($G43,Coords[],4,FALSE)-VLOOKUP(X$5,Coords[],4,FALSE))^2)))</f>
        <v>1000</v>
      </c>
      <c r="Y43" s="10">
        <f>IF($G43=Y$5,1000,IF(Y$4=0,1000,SQRT((VLOOKUP($G43,Coords[],3,FALSE)-VLOOKUP(Y$5,Coords[],3,FALSE))^2+(VLOOKUP($G43,Coords[],4,FALSE)-VLOOKUP(Y$5,Coords[],4,FALSE))^2)))</f>
        <v>1000</v>
      </c>
      <c r="Z43" s="10">
        <f>IF($G43=Z$5,1000,IF(Z$4=0,1000,SQRT((VLOOKUP($G43,Coords[],3,FALSE)-VLOOKUP(Z$5,Coords[],3,FALSE))^2+(VLOOKUP($G43,Coords[],4,FALSE)-VLOOKUP(Z$5,Coords[],4,FALSE))^2)))</f>
        <v>1000</v>
      </c>
      <c r="AA43" s="10">
        <f>IF($G43=AA$5,1000,IF(AA$4=0,1000,SQRT((VLOOKUP($G43,Coords[],3,FALSE)-VLOOKUP(AA$5,Coords[],3,FALSE))^2+(VLOOKUP($G43,Coords[],4,FALSE)-VLOOKUP(AA$5,Coords[],4,FALSE))^2)))</f>
        <v>1000</v>
      </c>
      <c r="AB43" s="10">
        <f>IF($G43=AB$5,1000,IF(AB$4=0,1000,SQRT((VLOOKUP($G43,Coords[],3,FALSE)-VLOOKUP(AB$5,Coords[],3,FALSE))^2+(VLOOKUP($G43,Coords[],4,FALSE)-VLOOKUP(AB$5,Coords[],4,FALSE))^2)))</f>
        <v>1000</v>
      </c>
      <c r="AC43" s="10">
        <f>IF($G43=AC$5,1000,IF(AC$4=0,1000,SQRT((VLOOKUP($G43,Coords[],3,FALSE)-VLOOKUP(AC$5,Coords[],3,FALSE))^2+(VLOOKUP($G43,Coords[],4,FALSE)-VLOOKUP(AC$5,Coords[],4,FALSE))^2)))</f>
        <v>1000</v>
      </c>
      <c r="AD43" s="10">
        <f>IF($G43=AD$5,1000,IF(AD$4=0,1000,SQRT((VLOOKUP($G43,Coords[],3,FALSE)-VLOOKUP(AD$5,Coords[],3,FALSE))^2+(VLOOKUP($G43,Coords[],4,FALSE)-VLOOKUP(AD$5,Coords[],4,FALSE))^2)))</f>
        <v>1000</v>
      </c>
      <c r="AE43" s="10">
        <f>IF($G43=AE$5,1000,IF(AE$4=0,1000,SQRT((VLOOKUP($G43,Coords[],3,FALSE)-VLOOKUP(AE$5,Coords[],3,FALSE))^2+(VLOOKUP($G43,Coords[],4,FALSE)-VLOOKUP(AE$5,Coords[],4,FALSE))^2)))</f>
        <v>1000</v>
      </c>
      <c r="AF43" s="10">
        <f>IF($G43=AF$5,1000,IF(AF$4=0,1000,SQRT((VLOOKUP($G43,Coords[],3,FALSE)-VLOOKUP(AF$5,Coords[],3,FALSE))^2+(VLOOKUP($G43,Coords[],4,FALSE)-VLOOKUP(AF$5,Coords[],4,FALSE))^2)))</f>
        <v>1000</v>
      </c>
      <c r="AG43" s="10">
        <f>IF($G43=AG$5,1000,IF(AG$4=0,1000,SQRT((VLOOKUP($G43,Coords[],3,FALSE)-VLOOKUP(AG$5,Coords[],3,FALSE))^2+(VLOOKUP($G43,Coords[],4,FALSE)-VLOOKUP(AG$5,Coords[],4,FALSE))^2)))</f>
        <v>1000</v>
      </c>
      <c r="AH43" s="10">
        <f>IF($G43=AH$5,1000,IF(AH$4=0,1000,SQRT((VLOOKUP($G43,Coords[],3,FALSE)-VLOOKUP(AH$5,Coords[],3,FALSE))^2+(VLOOKUP($G43,Coords[],4,FALSE)-VLOOKUP(AH$5,Coords[],4,FALSE))^2)))</f>
        <v>1000</v>
      </c>
      <c r="AI43" s="10">
        <f>IF($G43=AI$5,1000,IF(AI$4=0,1000,SQRT((VLOOKUP($G43,Coords[],3,FALSE)-VLOOKUP(AI$5,Coords[],3,FALSE))^2+(VLOOKUP($G43,Coords[],4,FALSE)-VLOOKUP(AI$5,Coords[],4,FALSE))^2)))</f>
        <v>1000</v>
      </c>
      <c r="AJ43" s="10">
        <f>IF($G43=AJ$5,1000,IF(AJ$4=0,1000,SQRT((VLOOKUP($G43,Coords[],3,FALSE)-VLOOKUP(AJ$5,Coords[],3,FALSE))^2+(VLOOKUP($G43,Coords[],4,FALSE)-VLOOKUP(AJ$5,Coords[],4,FALSE))^2)))</f>
        <v>1000</v>
      </c>
      <c r="AK43" s="10">
        <f>IF($G43=AK$5,1000,IF(AK$4=0,1000,SQRT((VLOOKUP($G43,Coords[],3,FALSE)-VLOOKUP(AK$5,Coords[],3,FALSE))^2+(VLOOKUP($G43,Coords[],4,FALSE)-VLOOKUP(AK$5,Coords[],4,FALSE))^2)))</f>
        <v>1000</v>
      </c>
      <c r="AL43" s="10">
        <f>IF($G43=AL$5,1000,IF(AL$4=0,1000,SQRT((VLOOKUP($G43,Coords[],3,FALSE)-VLOOKUP(AL$5,Coords[],3,FALSE))^2+(VLOOKUP($G43,Coords[],4,FALSE)-VLOOKUP(AL$5,Coords[],4,FALSE))^2)))</f>
        <v>1000</v>
      </c>
      <c r="AM43" s="10">
        <f>IF($G43=AM$5,1000,IF(AM$4=0,1000,SQRT((VLOOKUP($G43,Coords[],3,FALSE)-VLOOKUP(AM$5,Coords[],3,FALSE))^2+(VLOOKUP($G43,Coords[],4,FALSE)-VLOOKUP(AM$5,Coords[],4,FALSE))^2)))</f>
        <v>1000</v>
      </c>
      <c r="AN43" s="10">
        <f>IF($G43=AN$5,1000,IF(AN$4=0,1000,SQRT((VLOOKUP($G43,Coords[],3,FALSE)-VLOOKUP(AN$5,Coords[],3,FALSE))^2+(VLOOKUP($G43,Coords[],4,FALSE)-VLOOKUP(AN$5,Coords[],4,FALSE))^2)))</f>
        <v>1000</v>
      </c>
      <c r="AO43" s="10">
        <f>IF($G43=AO$5,1000,IF(AO$4=0,1000,SQRT((VLOOKUP($G43,Coords[],3,FALSE)-VLOOKUP(AO$5,Coords[],3,FALSE))^2+(VLOOKUP($G43,Coords[],4,FALSE)-VLOOKUP(AO$5,Coords[],4,FALSE))^2)))</f>
        <v>1000</v>
      </c>
      <c r="AP43" s="10">
        <f>IF($G43=AP$5,1000,IF(AP$4=0,1000,SQRT((VLOOKUP($G43,Coords[],3,FALSE)-VLOOKUP(AP$5,Coords[],3,FALSE))^2+(VLOOKUP($G43,Coords[],4,FALSE)-VLOOKUP(AP$5,Coords[],4,FALSE))^2)))</f>
        <v>1000</v>
      </c>
      <c r="AQ43" s="10">
        <f>IF($G43=AQ$5,1000,IF(AQ$4=0,1000,SQRT((VLOOKUP($G43,Coords[],3,FALSE)-VLOOKUP(AQ$5,Coords[],3,FALSE))^2+(VLOOKUP($G43,Coords[],4,FALSE)-VLOOKUP(AQ$5,Coords[],4,FALSE))^2)))</f>
        <v>1000</v>
      </c>
      <c r="AR43" s="10">
        <f>IF($G43=AR$5,1000,IF(AR$4=0,1000,SQRT((VLOOKUP($G43,Coords[],3,FALSE)-VLOOKUP(AR$5,Coords[],3,FALSE))^2+(VLOOKUP($G43,Coords[],4,FALSE)-VLOOKUP(AR$5,Coords[],4,FALSE))^2)))</f>
        <v>1000</v>
      </c>
      <c r="AS43" s="10">
        <f>IF($G43=AS$5,1000,IF(AS$4=0,1000,SQRT((VLOOKUP($G43,Coords[],3,FALSE)-VLOOKUP(AS$5,Coords[],3,FALSE))^2+(VLOOKUP($G43,Coords[],4,FALSE)-VLOOKUP(AS$5,Coords[],4,FALSE))^2)))</f>
        <v>1000</v>
      </c>
      <c r="AT43" s="10">
        <f>IF($G43=AT$5,1000,IF(AT$4=0,1000,SQRT((VLOOKUP($G43,Coords[],3,FALSE)-VLOOKUP(AT$5,Coords[],3,FALSE))^2+(VLOOKUP($G43,Coords[],4,FALSE)-VLOOKUP(AT$5,Coords[],4,FALSE))^2)))</f>
        <v>1000</v>
      </c>
      <c r="AU43" s="10">
        <f>IF($G43=AU$5,1000,IF(AU$4=0,1000,SQRT((VLOOKUP($G43,Coords[],3,FALSE)-VLOOKUP(AU$5,Coords[],3,FALSE))^2+(VLOOKUP($G43,Coords[],4,FALSE)-VLOOKUP(AU$5,Coords[],4,FALSE))^2)))</f>
        <v>1000</v>
      </c>
      <c r="AV43" s="10">
        <f>IF($G43=AV$5,1000,IF(AV$4=0,1000,SQRT((VLOOKUP($G43,Coords[],3,FALSE)-VLOOKUP(AV$5,Coords[],3,FALSE))^2+(VLOOKUP($G43,Coords[],4,FALSE)-VLOOKUP(AV$5,Coords[],4,FALSE))^2)))</f>
        <v>1000</v>
      </c>
      <c r="AW43" s="10">
        <f>IF($G43=AW$5,1000,IF(AW$4=0,1000,SQRT((VLOOKUP($G43,Coords[],3,FALSE)-VLOOKUP(AW$5,Coords[],3,FALSE))^2+(VLOOKUP($G43,Coords[],4,FALSE)-VLOOKUP(AW$5,Coords[],4,FALSE))^2)))</f>
        <v>1000</v>
      </c>
      <c r="AX43" s="10">
        <f>IF($G43=AX$5,1000,IF(AX$4=0,1000,SQRT((VLOOKUP($G43,Coords[],3,FALSE)-VLOOKUP(AX$5,Coords[],3,FALSE))^2+(VLOOKUP($G43,Coords[],4,FALSE)-VLOOKUP(AX$5,Coords[],4,FALSE))^2)))</f>
        <v>1000</v>
      </c>
      <c r="AY43" s="10">
        <f>IF($G43=AY$5,1000,IF(AY$4=0,1000,SQRT((VLOOKUP($G43,Coords[],3,FALSE)-VLOOKUP(AY$5,Coords[],3,FALSE))^2+(VLOOKUP($G43,Coords[],4,FALSE)-VLOOKUP(AY$5,Coords[],4,FALSE))^2)))</f>
        <v>1000</v>
      </c>
      <c r="AZ43" s="10">
        <f>IF($G43=AZ$5,1000,IF(AZ$4=0,1000,SQRT((VLOOKUP($G43,Coords[],3,FALSE)-VLOOKUP(AZ$5,Coords[],3,FALSE))^2+(VLOOKUP($G43,Coords[],4,FALSE)-VLOOKUP(AZ$5,Coords[],4,FALSE))^2)))</f>
        <v>1000</v>
      </c>
      <c r="BA43" s="10">
        <f>IF($G43=BA$5,1000,IF(BA$4=0,1000,SQRT((VLOOKUP($G43,Coords[],3,FALSE)-VLOOKUP(BA$5,Coords[],3,FALSE))^2+(VLOOKUP($G43,Coords[],4,FALSE)-VLOOKUP(BA$5,Coords[],4,FALSE))^2)))</f>
        <v>1000</v>
      </c>
      <c r="BB43" s="10">
        <f>IF($G43=BB$5,1000,IF(BB$4=0,1000,SQRT((VLOOKUP($G43,Coords[],3,FALSE)-VLOOKUP(BB$5,Coords[],3,FALSE))^2+(VLOOKUP($G43,Coords[],4,FALSE)-VLOOKUP(BB$5,Coords[],4,FALSE))^2)))</f>
        <v>1000</v>
      </c>
      <c r="BC43" s="10">
        <f>IF($G43=BC$5,1000,IF(BC$4=0,1000,SQRT((VLOOKUP($G43,Coords[],3,FALSE)-VLOOKUP(BC$5,Coords[],3,FALSE))^2+(VLOOKUP($G43,Coords[],4,FALSE)-VLOOKUP(BC$5,Coords[],4,FALSE))^2)))</f>
        <v>1000</v>
      </c>
      <c r="BD43" s="10">
        <f>IF($G43=BD$5,1000,IF(BD$4=0,1000,SQRT((VLOOKUP($G43,Coords[],3,FALSE)-VLOOKUP(BD$5,Coords[],3,FALSE))^2+(VLOOKUP($G43,Coords[],4,FALSE)-VLOOKUP(BD$5,Coords[],4,FALSE))^2)))</f>
        <v>1000</v>
      </c>
      <c r="BE43" s="10">
        <f>IF($G43=BE$5,1000,IF(BE$4=0,1000,SQRT((VLOOKUP($G43,Coords[],3,FALSE)-VLOOKUP(BE$5,Coords[],3,FALSE))^2+(VLOOKUP($G43,Coords[],4,FALSE)-VLOOKUP(BE$5,Coords[],4,FALSE))^2)))</f>
        <v>1000</v>
      </c>
      <c r="BF43" s="10">
        <f>IF($G43=BF$5,1000,IF(BF$4=0,1000,SQRT((VLOOKUP($G43,Coords[],3,FALSE)-VLOOKUP(BF$5,Coords[],3,FALSE))^2+(VLOOKUP($G43,Coords[],4,FALSE)-VLOOKUP(BF$5,Coords[],4,FALSE))^2)))</f>
        <v>1000</v>
      </c>
      <c r="BG43" s="10">
        <f>IF($G43=BG$5,1000,IF(BG$4=0,1000,SQRT((VLOOKUP($G43,Coords[],3,FALSE)-VLOOKUP(BG$5,Coords[],3,FALSE))^2+(VLOOKUP($G43,Coords[],4,FALSE)-VLOOKUP(BG$5,Coords[],4,FALSE))^2)))</f>
        <v>1000</v>
      </c>
      <c r="BH43" s="10">
        <f>IF($G43=BH$5,1000,IF(BH$4=0,1000,SQRT((VLOOKUP($G43,Coords[],3,FALSE)-VLOOKUP(BH$5,Coords[],3,FALSE))^2+(VLOOKUP($G43,Coords[],4,FALSE)-VLOOKUP(BH$5,Coords[],4,FALSE))^2)))</f>
        <v>1000</v>
      </c>
      <c r="BI43" s="10">
        <f>IF($G43=BI$5,1000,IF(BI$4=0,1000,SQRT((VLOOKUP($G43,Coords[],3,FALSE)-VLOOKUP(BI$5,Coords[],3,FALSE))^2+(VLOOKUP($G43,Coords[],4,FALSE)-VLOOKUP(BI$5,Coords[],4,FALSE))^2)))</f>
        <v>1000</v>
      </c>
      <c r="BJ43" s="10">
        <f>IF($G43=BJ$5,1000,IF(BJ$4=0,1000,SQRT((VLOOKUP($G43,Coords[],3,FALSE)-VLOOKUP(BJ$5,Coords[],3,FALSE))^2+(VLOOKUP($G43,Coords[],4,FALSE)-VLOOKUP(BJ$5,Coords[],4,FALSE))^2)))</f>
        <v>1000</v>
      </c>
      <c r="BK43" s="10">
        <f>IF($G43=BK$5,1000,IF(BK$4=0,1000,SQRT((VLOOKUP($G43,Coords[],3,FALSE)-VLOOKUP(BK$5,Coords[],3,FALSE))^2+(VLOOKUP($G43,Coords[],4,FALSE)-VLOOKUP(BK$5,Coords[],4,FALSE))^2)))</f>
        <v>1000</v>
      </c>
      <c r="BL43" s="10">
        <f>IF($G43=BL$5,1000,IF(BL$4=0,1000,SQRT((VLOOKUP($G43,Coords[],3,FALSE)-VLOOKUP(BL$5,Coords[],3,FALSE))^2+(VLOOKUP($G43,Coords[],4,FALSE)-VLOOKUP(BL$5,Coords[],4,FALSE))^2)))</f>
        <v>1000</v>
      </c>
      <c r="BM43" s="10">
        <f>IF($G43=BM$5,1000,IF(BM$4=0,1000,SQRT((VLOOKUP($G43,Coords[],3,FALSE)-VLOOKUP(BM$5,Coords[],3,FALSE))^2+(VLOOKUP($G43,Coords[],4,FALSE)-VLOOKUP(BM$5,Coords[],4,FALSE))^2)))</f>
        <v>1000</v>
      </c>
      <c r="BN43" s="10">
        <f>IF($G43=BN$5,1000,IF(BN$4=0,1000,SQRT((VLOOKUP($G43,Coords[],3,FALSE)-VLOOKUP(BN$5,Coords[],3,FALSE))^2+(VLOOKUP($G43,Coords[],4,FALSE)-VLOOKUP(BN$5,Coords[],4,FALSE))^2)))</f>
        <v>1000</v>
      </c>
      <c r="BO43" s="10">
        <f>IF($G43=BO$5,1000,IF(BO$4=0,1000,SQRT((VLOOKUP($G43,Coords[],3,FALSE)-VLOOKUP(BO$5,Coords[],3,FALSE))^2+(VLOOKUP($G43,Coords[],4,FALSE)-VLOOKUP(BO$5,Coords[],4,FALSE))^2)))</f>
        <v>1000</v>
      </c>
      <c r="BP43" s="10">
        <f>IF($G43=BP$5,1000,IF(BP$4=0,1000,SQRT((VLOOKUP($G43,Coords[],3,FALSE)-VLOOKUP(BP$5,Coords[],3,FALSE))^2+(VLOOKUP($G43,Coords[],4,FALSE)-VLOOKUP(BP$5,Coords[],4,FALSE))^2)))</f>
        <v>1000</v>
      </c>
      <c r="BQ43" s="10">
        <f>IF($G43=BQ$5,1000,IF(BQ$4=0,1000,SQRT((VLOOKUP($G43,Coords[],3,FALSE)-VLOOKUP(BQ$5,Coords[],3,FALSE))^2+(VLOOKUP($G43,Coords[],4,FALSE)-VLOOKUP(BQ$5,Coords[],4,FALSE))^2)))</f>
        <v>1000</v>
      </c>
      <c r="BR43" s="10">
        <f>IF($G43=BR$5,1000,IF(BR$4=0,1000,SQRT((VLOOKUP($G43,Coords[],3,FALSE)-VLOOKUP(BR$5,Coords[],3,FALSE))^2+(VLOOKUP($G43,Coords[],4,FALSE)-VLOOKUP(BR$5,Coords[],4,FALSE))^2)))</f>
        <v>1000</v>
      </c>
      <c r="BS43" s="10">
        <f>IF($G43=BS$5,1000,IF(BS$4=0,1000,SQRT((VLOOKUP($G43,Coords[],3,FALSE)-VLOOKUP(BS$5,Coords[],3,FALSE))^2+(VLOOKUP($G43,Coords[],4,FALSE)-VLOOKUP(BS$5,Coords[],4,FALSE))^2)))</f>
        <v>1000</v>
      </c>
      <c r="BT43" s="10">
        <f>IF($G43=BT$5,1000,IF(BT$4=0,1000,SQRT((VLOOKUP($G43,Coords[],3,FALSE)-VLOOKUP(BT$5,Coords[],3,FALSE))^2+(VLOOKUP($G43,Coords[],4,FALSE)-VLOOKUP(BT$5,Coords[],4,FALSE))^2)))</f>
        <v>1000</v>
      </c>
      <c r="BU43" s="10">
        <f>IF($G43=BU$5,1000,IF(BU$4=0,1000,SQRT((VLOOKUP($G43,Coords[],3,FALSE)-VLOOKUP(BU$5,Coords[],3,FALSE))^2+(VLOOKUP($G43,Coords[],4,FALSE)-VLOOKUP(BU$5,Coords[],4,FALSE))^2)))</f>
        <v>1000</v>
      </c>
      <c r="BV43" s="10">
        <f>IF($G43=BV$5,1000,IF(BV$4=0,1000,SQRT((VLOOKUP($G43,Coords[],3,FALSE)-VLOOKUP(BV$5,Coords[],3,FALSE))^2+(VLOOKUP($G43,Coords[],4,FALSE)-VLOOKUP(BV$5,Coords[],4,FALSE))^2)))</f>
        <v>1000</v>
      </c>
      <c r="BW43" s="10">
        <f>IF($G43=BW$5,1000,IF(BW$4=0,1000,SQRT((VLOOKUP($G43,Coords[],3,FALSE)-VLOOKUP(BW$5,Coords[],3,FALSE))^2+(VLOOKUP($G43,Coords[],4,FALSE)-VLOOKUP(BW$5,Coords[],4,FALSE))^2)))</f>
        <v>1000</v>
      </c>
      <c r="BX43" s="10">
        <f>IF($G43=BX$5,1000,IF(BX$4=0,1000,SQRT((VLOOKUP($G43,Coords[],3,FALSE)-VLOOKUP(BX$5,Coords[],3,FALSE))^2+(VLOOKUP($G43,Coords[],4,FALSE)-VLOOKUP(BX$5,Coords[],4,FALSE))^2)))</f>
        <v>1000</v>
      </c>
      <c r="BY43" s="10">
        <f>IF($G43=BY$5,1000,IF(BY$4=0,1000,SQRT((VLOOKUP($G43,Coords[],3,FALSE)-VLOOKUP(BY$5,Coords[],3,FALSE))^2+(VLOOKUP($G43,Coords[],4,FALSE)-VLOOKUP(BY$5,Coords[],4,FALSE))^2)))</f>
        <v>1000</v>
      </c>
      <c r="BZ43" s="10">
        <f>IF($G43=BZ$5,1000,IF(BZ$4=0,1000,SQRT((VLOOKUP($G43,Coords[],3,FALSE)-VLOOKUP(BZ$5,Coords[],3,FALSE))^2+(VLOOKUP($G43,Coords[],4,FALSE)-VLOOKUP(BZ$5,Coords[],4,FALSE))^2)))</f>
        <v>1000</v>
      </c>
      <c r="CA43" s="10">
        <f>IF($G43=CA$5,1000,IF(CA$4=0,1000,SQRT((VLOOKUP($G43,Coords[],3,FALSE)-VLOOKUP(CA$5,Coords[],3,FALSE))^2+(VLOOKUP($G43,Coords[],4,FALSE)-VLOOKUP(CA$5,Coords[],4,FALSE))^2)))</f>
        <v>1000</v>
      </c>
      <c r="CB43" s="10">
        <f>IF($G43=CB$5,1000,IF(CB$4=0,1000,SQRT((VLOOKUP($G43,Coords[],3,FALSE)-VLOOKUP(CB$5,Coords[],3,FALSE))^2+(VLOOKUP($G43,Coords[],4,FALSE)-VLOOKUP(CB$5,Coords[],4,FALSE))^2)))</f>
        <v>1000</v>
      </c>
      <c r="CC43" s="10">
        <f>IF($G43=CC$5,1000,IF(CC$4=0,1000,SQRT((VLOOKUP($G43,Coords[],3,FALSE)-VLOOKUP(CC$5,Coords[],3,FALSE))^2+(VLOOKUP($G43,Coords[],4,FALSE)-VLOOKUP(CC$5,Coords[],4,FALSE))^2)))</f>
        <v>1000</v>
      </c>
      <c r="CD43" s="10">
        <f>IF($G43=CD$5,1000,IF(CD$4=0,1000,SQRT((VLOOKUP($G43,Coords[],3,FALSE)-VLOOKUP(CD$5,Coords[],3,FALSE))^2+(VLOOKUP($G43,Coords[],4,FALSE)-VLOOKUP(CD$5,Coords[],4,FALSE))^2)))</f>
        <v>1000</v>
      </c>
      <c r="CE43" s="10">
        <f>IF($G43=CE$5,1000,IF(CE$4=0,1000,SQRT((VLOOKUP($G43,Coords[],3,FALSE)-VLOOKUP(CE$5,Coords[],3,FALSE))^2+(VLOOKUP($G43,Coords[],4,FALSE)-VLOOKUP(CE$5,Coords[],4,FALSE))^2)))</f>
        <v>1000</v>
      </c>
      <c r="CF43" s="4">
        <v>38</v>
      </c>
      <c r="CH43" s="5">
        <f>IF(E43=1,0,VLOOKUP($G43,$G$6:$CE$82,HLOOKUP(MIN(H43:CE43),$H43:$CE$82,((COUNT($G$6:$G$81)+2)-$G43),FALSE)+1,FALSE)*B43)</f>
        <v>0</v>
      </c>
      <c r="CI43" s="9">
        <f>VLOOKUP($G43,$G$6:$CE$82,HLOOKUP(MIN(H43:CE43),$H43:$CE$82,((COUNT($G$6:$G$81)+2)-$G43),FALSE)+1,FALSE)</f>
        <v>1000</v>
      </c>
      <c r="CJ43" s="7">
        <f>HLOOKUP(MIN(H43:CE43),$H43:$CE$82,((COUNT($G$6:$G$81)+2)-$G43),FALSE)</f>
        <v>1</v>
      </c>
      <c r="CK43">
        <f>CI43*Coords[[#This Row],[Demand]]</f>
        <v>0</v>
      </c>
    </row>
    <row r="44" spans="1:89" x14ac:dyDescent="0.25">
      <c r="A44" s="8">
        <v>39</v>
      </c>
      <c r="B44" s="3"/>
      <c r="C44" s="3"/>
      <c r="D44" s="3"/>
      <c r="E44" s="3"/>
      <c r="G44" s="4">
        <v>39</v>
      </c>
      <c r="H44" s="10">
        <f>IF($G44=H$5,1000,IF(H$4=0,1000,SQRT((VLOOKUP($G44,Coords[],3,FALSE)-VLOOKUP(H$5,Coords[],3,FALSE))^2+(VLOOKUP($G44,Coords[],4,FALSE)-VLOOKUP(H$5,Coords[],4,FALSE))^2)))</f>
        <v>1000</v>
      </c>
      <c r="I44" s="10">
        <f>IF($G44=I$5,1000,IF(I$4=0,1000,SQRT((VLOOKUP($G44,Coords[],3,FALSE)-VLOOKUP(I$5,Coords[],3,FALSE))^2+(VLOOKUP($G44,Coords[],4,FALSE)-VLOOKUP(I$5,Coords[],4,FALSE))^2)))</f>
        <v>1000</v>
      </c>
      <c r="J44" s="10">
        <f>IF($G44=J$5,1000,IF(J$4=0,1000,SQRT((VLOOKUP($G44,Coords[],3,FALSE)-VLOOKUP(J$5,Coords[],3,FALSE))^2+(VLOOKUP($G44,Coords[],4,FALSE)-VLOOKUP(J$5,Coords[],4,FALSE))^2)))</f>
        <v>1000</v>
      </c>
      <c r="K44" s="10">
        <f>IF($G44=K$5,1000,IF(K$4=0,1000,SQRT((VLOOKUP($G44,Coords[],3,FALSE)-VLOOKUP(K$5,Coords[],3,FALSE))^2+(VLOOKUP($G44,Coords[],4,FALSE)-VLOOKUP(K$5,Coords[],4,FALSE))^2)))</f>
        <v>1000</v>
      </c>
      <c r="L44" s="10">
        <f>IF($G44=L$5,1000,IF(L$4=0,1000,SQRT((VLOOKUP($G44,Coords[],3,FALSE)-VLOOKUP(L$5,Coords[],3,FALSE))^2+(VLOOKUP($G44,Coords[],4,FALSE)-VLOOKUP(L$5,Coords[],4,FALSE))^2)))</f>
        <v>1000</v>
      </c>
      <c r="M44" s="10">
        <f>IF($G44=M$5,1000,IF(M$4=0,1000,SQRT((VLOOKUP($G44,Coords[],3,FALSE)-VLOOKUP(M$5,Coords[],3,FALSE))^2+(VLOOKUP($G44,Coords[],4,FALSE)-VLOOKUP(M$5,Coords[],4,FALSE))^2)))</f>
        <v>1000</v>
      </c>
      <c r="N44" s="10">
        <f>IF($G44=N$5,1000,IF(N$4=0,1000,SQRT((VLOOKUP($G44,Coords[],3,FALSE)-VLOOKUP(N$5,Coords[],3,FALSE))^2+(VLOOKUP($G44,Coords[],4,FALSE)-VLOOKUP(N$5,Coords[],4,FALSE))^2)))</f>
        <v>1000</v>
      </c>
      <c r="O44" s="10">
        <f>IF($G44=O$5,1000,IF(O$4=0,1000,SQRT((VLOOKUP($G44,Coords[],3,FALSE)-VLOOKUP(O$5,Coords[],3,FALSE))^2+(VLOOKUP($G44,Coords[],4,FALSE)-VLOOKUP(O$5,Coords[],4,FALSE))^2)))</f>
        <v>1000</v>
      </c>
      <c r="P44" s="10">
        <f>IF($G44=P$5,1000,IF(P$4=0,1000,SQRT((VLOOKUP($G44,Coords[],3,FALSE)-VLOOKUP(P$5,Coords[],3,FALSE))^2+(VLOOKUP($G44,Coords[],4,FALSE)-VLOOKUP(P$5,Coords[],4,FALSE))^2)))</f>
        <v>1000</v>
      </c>
      <c r="Q44" s="10">
        <f>IF($G44=Q$5,1000,IF(Q$4=0,1000,SQRT((VLOOKUP($G44,Coords[],3,FALSE)-VLOOKUP(Q$5,Coords[],3,FALSE))^2+(VLOOKUP($G44,Coords[],4,FALSE)-VLOOKUP(Q$5,Coords[],4,FALSE))^2)))</f>
        <v>1000</v>
      </c>
      <c r="R44" s="10">
        <f>IF($G44=R$5,1000,IF(R$4=0,1000,SQRT((VLOOKUP($G44,Coords[],3,FALSE)-VLOOKUP(R$5,Coords[],3,FALSE))^2+(VLOOKUP($G44,Coords[],4,FALSE)-VLOOKUP(R$5,Coords[],4,FALSE))^2)))</f>
        <v>1000</v>
      </c>
      <c r="S44" s="10">
        <f>IF($G44=S$5,1000,IF(S$4=0,1000,SQRT((VLOOKUP($G44,Coords[],3,FALSE)-VLOOKUP(S$5,Coords[],3,FALSE))^2+(VLOOKUP($G44,Coords[],4,FALSE)-VLOOKUP(S$5,Coords[],4,FALSE))^2)))</f>
        <v>1000</v>
      </c>
      <c r="T44" s="10">
        <f>IF($G44=T$5,1000,IF(T$4=0,1000,SQRT((VLOOKUP($G44,Coords[],3,FALSE)-VLOOKUP(T$5,Coords[],3,FALSE))^2+(VLOOKUP($G44,Coords[],4,FALSE)-VLOOKUP(T$5,Coords[],4,FALSE))^2)))</f>
        <v>1000</v>
      </c>
      <c r="U44" s="10">
        <f>IF($G44=U$5,1000,IF(U$4=0,1000,SQRT((VLOOKUP($G44,Coords[],3,FALSE)-VLOOKUP(U$5,Coords[],3,FALSE))^2+(VLOOKUP($G44,Coords[],4,FALSE)-VLOOKUP(U$5,Coords[],4,FALSE))^2)))</f>
        <v>1000</v>
      </c>
      <c r="V44" s="10">
        <f>IF($G44=V$5,1000,IF(V$4=0,1000,SQRT((VLOOKUP($G44,Coords[],3,FALSE)-VLOOKUP(V$5,Coords[],3,FALSE))^2+(VLOOKUP($G44,Coords[],4,FALSE)-VLOOKUP(V$5,Coords[],4,FALSE))^2)))</f>
        <v>1000</v>
      </c>
      <c r="W44" s="10">
        <f>IF($G44=W$5,1000,IF(W$4=0,1000,SQRT((VLOOKUP($G44,Coords[],3,FALSE)-VLOOKUP(W$5,Coords[],3,FALSE))^2+(VLOOKUP($G44,Coords[],4,FALSE)-VLOOKUP(W$5,Coords[],4,FALSE))^2)))</f>
        <v>1000</v>
      </c>
      <c r="X44" s="10">
        <f>IF($G44=X$5,1000,IF(X$4=0,1000,SQRT((VLOOKUP($G44,Coords[],3,FALSE)-VLOOKUP(X$5,Coords[],3,FALSE))^2+(VLOOKUP($G44,Coords[],4,FALSE)-VLOOKUP(X$5,Coords[],4,FALSE))^2)))</f>
        <v>1000</v>
      </c>
      <c r="Y44" s="10">
        <f>IF($G44=Y$5,1000,IF(Y$4=0,1000,SQRT((VLOOKUP($G44,Coords[],3,FALSE)-VLOOKUP(Y$5,Coords[],3,FALSE))^2+(VLOOKUP($G44,Coords[],4,FALSE)-VLOOKUP(Y$5,Coords[],4,FALSE))^2)))</f>
        <v>1000</v>
      </c>
      <c r="Z44" s="10">
        <f>IF($G44=Z$5,1000,IF(Z$4=0,1000,SQRT((VLOOKUP($G44,Coords[],3,FALSE)-VLOOKUP(Z$5,Coords[],3,FALSE))^2+(VLOOKUP($G44,Coords[],4,FALSE)-VLOOKUP(Z$5,Coords[],4,FALSE))^2)))</f>
        <v>1000</v>
      </c>
      <c r="AA44" s="10">
        <f>IF($G44=AA$5,1000,IF(AA$4=0,1000,SQRT((VLOOKUP($G44,Coords[],3,FALSE)-VLOOKUP(AA$5,Coords[],3,FALSE))^2+(VLOOKUP($G44,Coords[],4,FALSE)-VLOOKUP(AA$5,Coords[],4,FALSE))^2)))</f>
        <v>1000</v>
      </c>
      <c r="AB44" s="10">
        <f>IF($G44=AB$5,1000,IF(AB$4=0,1000,SQRT((VLOOKUP($G44,Coords[],3,FALSE)-VLOOKUP(AB$5,Coords[],3,FALSE))^2+(VLOOKUP($G44,Coords[],4,FALSE)-VLOOKUP(AB$5,Coords[],4,FALSE))^2)))</f>
        <v>1000</v>
      </c>
      <c r="AC44" s="10">
        <f>IF($G44=AC$5,1000,IF(AC$4=0,1000,SQRT((VLOOKUP($G44,Coords[],3,FALSE)-VLOOKUP(AC$5,Coords[],3,FALSE))^2+(VLOOKUP($G44,Coords[],4,FALSE)-VLOOKUP(AC$5,Coords[],4,FALSE))^2)))</f>
        <v>1000</v>
      </c>
      <c r="AD44" s="10">
        <f>IF($G44=AD$5,1000,IF(AD$4=0,1000,SQRT((VLOOKUP($G44,Coords[],3,FALSE)-VLOOKUP(AD$5,Coords[],3,FALSE))^2+(VLOOKUP($G44,Coords[],4,FALSE)-VLOOKUP(AD$5,Coords[],4,FALSE))^2)))</f>
        <v>1000</v>
      </c>
      <c r="AE44" s="10">
        <f>IF($G44=AE$5,1000,IF(AE$4=0,1000,SQRT((VLOOKUP($G44,Coords[],3,FALSE)-VLOOKUP(AE$5,Coords[],3,FALSE))^2+(VLOOKUP($G44,Coords[],4,FALSE)-VLOOKUP(AE$5,Coords[],4,FALSE))^2)))</f>
        <v>1000</v>
      </c>
      <c r="AF44" s="10">
        <f>IF($G44=AF$5,1000,IF(AF$4=0,1000,SQRT((VLOOKUP($G44,Coords[],3,FALSE)-VLOOKUP(AF$5,Coords[],3,FALSE))^2+(VLOOKUP($G44,Coords[],4,FALSE)-VLOOKUP(AF$5,Coords[],4,FALSE))^2)))</f>
        <v>1000</v>
      </c>
      <c r="AG44" s="10">
        <f>IF($G44=AG$5,1000,IF(AG$4=0,1000,SQRT((VLOOKUP($G44,Coords[],3,FALSE)-VLOOKUP(AG$5,Coords[],3,FALSE))^2+(VLOOKUP($G44,Coords[],4,FALSE)-VLOOKUP(AG$5,Coords[],4,FALSE))^2)))</f>
        <v>1000</v>
      </c>
      <c r="AH44" s="10">
        <f>IF($G44=AH$5,1000,IF(AH$4=0,1000,SQRT((VLOOKUP($G44,Coords[],3,FALSE)-VLOOKUP(AH$5,Coords[],3,FALSE))^2+(VLOOKUP($G44,Coords[],4,FALSE)-VLOOKUP(AH$5,Coords[],4,FALSE))^2)))</f>
        <v>1000</v>
      </c>
      <c r="AI44" s="10">
        <f>IF($G44=AI$5,1000,IF(AI$4=0,1000,SQRT((VLOOKUP($G44,Coords[],3,FALSE)-VLOOKUP(AI$5,Coords[],3,FALSE))^2+(VLOOKUP($G44,Coords[],4,FALSE)-VLOOKUP(AI$5,Coords[],4,FALSE))^2)))</f>
        <v>1000</v>
      </c>
      <c r="AJ44" s="10">
        <f>IF($G44=AJ$5,1000,IF(AJ$4=0,1000,SQRT((VLOOKUP($G44,Coords[],3,FALSE)-VLOOKUP(AJ$5,Coords[],3,FALSE))^2+(VLOOKUP($G44,Coords[],4,FALSE)-VLOOKUP(AJ$5,Coords[],4,FALSE))^2)))</f>
        <v>1000</v>
      </c>
      <c r="AK44" s="10">
        <f>IF($G44=AK$5,1000,IF(AK$4=0,1000,SQRT((VLOOKUP($G44,Coords[],3,FALSE)-VLOOKUP(AK$5,Coords[],3,FALSE))^2+(VLOOKUP($G44,Coords[],4,FALSE)-VLOOKUP(AK$5,Coords[],4,FALSE))^2)))</f>
        <v>1000</v>
      </c>
      <c r="AL44" s="10">
        <f>IF($G44=AL$5,1000,IF(AL$4=0,1000,SQRT((VLOOKUP($G44,Coords[],3,FALSE)-VLOOKUP(AL$5,Coords[],3,FALSE))^2+(VLOOKUP($G44,Coords[],4,FALSE)-VLOOKUP(AL$5,Coords[],4,FALSE))^2)))</f>
        <v>1000</v>
      </c>
      <c r="AM44" s="10">
        <f>IF($G44=AM$5,1000,IF(AM$4=0,1000,SQRT((VLOOKUP($G44,Coords[],3,FALSE)-VLOOKUP(AM$5,Coords[],3,FALSE))^2+(VLOOKUP($G44,Coords[],4,FALSE)-VLOOKUP(AM$5,Coords[],4,FALSE))^2)))</f>
        <v>1000</v>
      </c>
      <c r="AN44" s="10">
        <f>IF($G44=AN$5,1000,IF(AN$4=0,1000,SQRT((VLOOKUP($G44,Coords[],3,FALSE)-VLOOKUP(AN$5,Coords[],3,FALSE))^2+(VLOOKUP($G44,Coords[],4,FALSE)-VLOOKUP(AN$5,Coords[],4,FALSE))^2)))</f>
        <v>1000</v>
      </c>
      <c r="AO44" s="10">
        <f>IF($G44=AO$5,1000,IF(AO$4=0,1000,SQRT((VLOOKUP($G44,Coords[],3,FALSE)-VLOOKUP(AO$5,Coords[],3,FALSE))^2+(VLOOKUP($G44,Coords[],4,FALSE)-VLOOKUP(AO$5,Coords[],4,FALSE))^2)))</f>
        <v>1000</v>
      </c>
      <c r="AP44" s="10">
        <f>IF($G44=AP$5,1000,IF(AP$4=0,1000,SQRT((VLOOKUP($G44,Coords[],3,FALSE)-VLOOKUP(AP$5,Coords[],3,FALSE))^2+(VLOOKUP($G44,Coords[],4,FALSE)-VLOOKUP(AP$5,Coords[],4,FALSE))^2)))</f>
        <v>1000</v>
      </c>
      <c r="AQ44" s="10">
        <f>IF($G44=AQ$5,1000,IF(AQ$4=0,1000,SQRT((VLOOKUP($G44,Coords[],3,FALSE)-VLOOKUP(AQ$5,Coords[],3,FALSE))^2+(VLOOKUP($G44,Coords[],4,FALSE)-VLOOKUP(AQ$5,Coords[],4,FALSE))^2)))</f>
        <v>1000</v>
      </c>
      <c r="AR44" s="10">
        <f>IF($G44=AR$5,1000,IF(AR$4=0,1000,SQRT((VLOOKUP($G44,Coords[],3,FALSE)-VLOOKUP(AR$5,Coords[],3,FALSE))^2+(VLOOKUP($G44,Coords[],4,FALSE)-VLOOKUP(AR$5,Coords[],4,FALSE))^2)))</f>
        <v>1000</v>
      </c>
      <c r="AS44" s="10">
        <f>IF($G44=AS$5,1000,IF(AS$4=0,1000,SQRT((VLOOKUP($G44,Coords[],3,FALSE)-VLOOKUP(AS$5,Coords[],3,FALSE))^2+(VLOOKUP($G44,Coords[],4,FALSE)-VLOOKUP(AS$5,Coords[],4,FALSE))^2)))</f>
        <v>1000</v>
      </c>
      <c r="AT44" s="10">
        <f>IF($G44=AT$5,1000,IF(AT$4=0,1000,SQRT((VLOOKUP($G44,Coords[],3,FALSE)-VLOOKUP(AT$5,Coords[],3,FALSE))^2+(VLOOKUP($G44,Coords[],4,FALSE)-VLOOKUP(AT$5,Coords[],4,FALSE))^2)))</f>
        <v>1000</v>
      </c>
      <c r="AU44" s="10">
        <f>IF($G44=AU$5,1000,IF(AU$4=0,1000,SQRT((VLOOKUP($G44,Coords[],3,FALSE)-VLOOKUP(AU$5,Coords[],3,FALSE))^2+(VLOOKUP($G44,Coords[],4,FALSE)-VLOOKUP(AU$5,Coords[],4,FALSE))^2)))</f>
        <v>1000</v>
      </c>
      <c r="AV44" s="10">
        <f>IF($G44=AV$5,1000,IF(AV$4=0,1000,SQRT((VLOOKUP($G44,Coords[],3,FALSE)-VLOOKUP(AV$5,Coords[],3,FALSE))^2+(VLOOKUP($G44,Coords[],4,FALSE)-VLOOKUP(AV$5,Coords[],4,FALSE))^2)))</f>
        <v>1000</v>
      </c>
      <c r="AW44" s="10">
        <f>IF($G44=AW$5,1000,IF(AW$4=0,1000,SQRT((VLOOKUP($G44,Coords[],3,FALSE)-VLOOKUP(AW$5,Coords[],3,FALSE))^2+(VLOOKUP($G44,Coords[],4,FALSE)-VLOOKUP(AW$5,Coords[],4,FALSE))^2)))</f>
        <v>1000</v>
      </c>
      <c r="AX44" s="10">
        <f>IF($G44=AX$5,1000,IF(AX$4=0,1000,SQRT((VLOOKUP($G44,Coords[],3,FALSE)-VLOOKUP(AX$5,Coords[],3,FALSE))^2+(VLOOKUP($G44,Coords[],4,FALSE)-VLOOKUP(AX$5,Coords[],4,FALSE))^2)))</f>
        <v>1000</v>
      </c>
      <c r="AY44" s="10">
        <f>IF($G44=AY$5,1000,IF(AY$4=0,1000,SQRT((VLOOKUP($G44,Coords[],3,FALSE)-VLOOKUP(AY$5,Coords[],3,FALSE))^2+(VLOOKUP($G44,Coords[],4,FALSE)-VLOOKUP(AY$5,Coords[],4,FALSE))^2)))</f>
        <v>1000</v>
      </c>
      <c r="AZ44" s="10">
        <f>IF($G44=AZ$5,1000,IF(AZ$4=0,1000,SQRT((VLOOKUP($G44,Coords[],3,FALSE)-VLOOKUP(AZ$5,Coords[],3,FALSE))^2+(VLOOKUP($G44,Coords[],4,FALSE)-VLOOKUP(AZ$5,Coords[],4,FALSE))^2)))</f>
        <v>1000</v>
      </c>
      <c r="BA44" s="10">
        <f>IF($G44=BA$5,1000,IF(BA$4=0,1000,SQRT((VLOOKUP($G44,Coords[],3,FALSE)-VLOOKUP(BA$5,Coords[],3,FALSE))^2+(VLOOKUP($G44,Coords[],4,FALSE)-VLOOKUP(BA$5,Coords[],4,FALSE))^2)))</f>
        <v>1000</v>
      </c>
      <c r="BB44" s="10">
        <f>IF($G44=BB$5,1000,IF(BB$4=0,1000,SQRT((VLOOKUP($G44,Coords[],3,FALSE)-VLOOKUP(BB$5,Coords[],3,FALSE))^2+(VLOOKUP($G44,Coords[],4,FALSE)-VLOOKUP(BB$5,Coords[],4,FALSE))^2)))</f>
        <v>1000</v>
      </c>
      <c r="BC44" s="10">
        <f>IF($G44=BC$5,1000,IF(BC$4=0,1000,SQRT((VLOOKUP($G44,Coords[],3,FALSE)-VLOOKUP(BC$5,Coords[],3,FALSE))^2+(VLOOKUP($G44,Coords[],4,FALSE)-VLOOKUP(BC$5,Coords[],4,FALSE))^2)))</f>
        <v>1000</v>
      </c>
      <c r="BD44" s="10">
        <f>IF($G44=BD$5,1000,IF(BD$4=0,1000,SQRT((VLOOKUP($G44,Coords[],3,FALSE)-VLOOKUP(BD$5,Coords[],3,FALSE))^2+(VLOOKUP($G44,Coords[],4,FALSE)-VLOOKUP(BD$5,Coords[],4,FALSE))^2)))</f>
        <v>1000</v>
      </c>
      <c r="BE44" s="10">
        <f>IF($G44=BE$5,1000,IF(BE$4=0,1000,SQRT((VLOOKUP($G44,Coords[],3,FALSE)-VLOOKUP(BE$5,Coords[],3,FALSE))^2+(VLOOKUP($G44,Coords[],4,FALSE)-VLOOKUP(BE$5,Coords[],4,FALSE))^2)))</f>
        <v>1000</v>
      </c>
      <c r="BF44" s="10">
        <f>IF($G44=BF$5,1000,IF(BF$4=0,1000,SQRT((VLOOKUP($G44,Coords[],3,FALSE)-VLOOKUP(BF$5,Coords[],3,FALSE))^2+(VLOOKUP($G44,Coords[],4,FALSE)-VLOOKUP(BF$5,Coords[],4,FALSE))^2)))</f>
        <v>1000</v>
      </c>
      <c r="BG44" s="10">
        <f>IF($G44=BG$5,1000,IF(BG$4=0,1000,SQRT((VLOOKUP($G44,Coords[],3,FALSE)-VLOOKUP(BG$5,Coords[],3,FALSE))^2+(VLOOKUP($G44,Coords[],4,FALSE)-VLOOKUP(BG$5,Coords[],4,FALSE))^2)))</f>
        <v>1000</v>
      </c>
      <c r="BH44" s="10">
        <f>IF($G44=BH$5,1000,IF(BH$4=0,1000,SQRT((VLOOKUP($G44,Coords[],3,FALSE)-VLOOKUP(BH$5,Coords[],3,FALSE))^2+(VLOOKUP($G44,Coords[],4,FALSE)-VLOOKUP(BH$5,Coords[],4,FALSE))^2)))</f>
        <v>1000</v>
      </c>
      <c r="BI44" s="10">
        <f>IF($G44=BI$5,1000,IF(BI$4=0,1000,SQRT((VLOOKUP($G44,Coords[],3,FALSE)-VLOOKUP(BI$5,Coords[],3,FALSE))^2+(VLOOKUP($G44,Coords[],4,FALSE)-VLOOKUP(BI$5,Coords[],4,FALSE))^2)))</f>
        <v>1000</v>
      </c>
      <c r="BJ44" s="10">
        <f>IF($G44=BJ$5,1000,IF(BJ$4=0,1000,SQRT((VLOOKUP($G44,Coords[],3,FALSE)-VLOOKUP(BJ$5,Coords[],3,FALSE))^2+(VLOOKUP($G44,Coords[],4,FALSE)-VLOOKUP(BJ$5,Coords[],4,FALSE))^2)))</f>
        <v>1000</v>
      </c>
      <c r="BK44" s="10">
        <f>IF($G44=BK$5,1000,IF(BK$4=0,1000,SQRT((VLOOKUP($G44,Coords[],3,FALSE)-VLOOKUP(BK$5,Coords[],3,FALSE))^2+(VLOOKUP($G44,Coords[],4,FALSE)-VLOOKUP(BK$5,Coords[],4,FALSE))^2)))</f>
        <v>1000</v>
      </c>
      <c r="BL44" s="10">
        <f>IF($G44=BL$5,1000,IF(BL$4=0,1000,SQRT((VLOOKUP($G44,Coords[],3,FALSE)-VLOOKUP(BL$5,Coords[],3,FALSE))^2+(VLOOKUP($G44,Coords[],4,FALSE)-VLOOKUP(BL$5,Coords[],4,FALSE))^2)))</f>
        <v>1000</v>
      </c>
      <c r="BM44" s="10">
        <f>IF($G44=BM$5,1000,IF(BM$4=0,1000,SQRT((VLOOKUP($G44,Coords[],3,FALSE)-VLOOKUP(BM$5,Coords[],3,FALSE))^2+(VLOOKUP($G44,Coords[],4,FALSE)-VLOOKUP(BM$5,Coords[],4,FALSE))^2)))</f>
        <v>1000</v>
      </c>
      <c r="BN44" s="10">
        <f>IF($G44=BN$5,1000,IF(BN$4=0,1000,SQRT((VLOOKUP($G44,Coords[],3,FALSE)-VLOOKUP(BN$5,Coords[],3,FALSE))^2+(VLOOKUP($G44,Coords[],4,FALSE)-VLOOKUP(BN$5,Coords[],4,FALSE))^2)))</f>
        <v>1000</v>
      </c>
      <c r="BO44" s="10">
        <f>IF($G44=BO$5,1000,IF(BO$4=0,1000,SQRT((VLOOKUP($G44,Coords[],3,FALSE)-VLOOKUP(BO$5,Coords[],3,FALSE))^2+(VLOOKUP($G44,Coords[],4,FALSE)-VLOOKUP(BO$5,Coords[],4,FALSE))^2)))</f>
        <v>1000</v>
      </c>
      <c r="BP44" s="10">
        <f>IF($G44=BP$5,1000,IF(BP$4=0,1000,SQRT((VLOOKUP($G44,Coords[],3,FALSE)-VLOOKUP(BP$5,Coords[],3,FALSE))^2+(VLOOKUP($G44,Coords[],4,FALSE)-VLOOKUP(BP$5,Coords[],4,FALSE))^2)))</f>
        <v>1000</v>
      </c>
      <c r="BQ44" s="10">
        <f>IF($G44=BQ$5,1000,IF(BQ$4=0,1000,SQRT((VLOOKUP($G44,Coords[],3,FALSE)-VLOOKUP(BQ$5,Coords[],3,FALSE))^2+(VLOOKUP($G44,Coords[],4,FALSE)-VLOOKUP(BQ$5,Coords[],4,FALSE))^2)))</f>
        <v>1000</v>
      </c>
      <c r="BR44" s="10">
        <f>IF($G44=BR$5,1000,IF(BR$4=0,1000,SQRT((VLOOKUP($G44,Coords[],3,FALSE)-VLOOKUP(BR$5,Coords[],3,FALSE))^2+(VLOOKUP($G44,Coords[],4,FALSE)-VLOOKUP(BR$5,Coords[],4,FALSE))^2)))</f>
        <v>1000</v>
      </c>
      <c r="BS44" s="10">
        <f>IF($G44=BS$5,1000,IF(BS$4=0,1000,SQRT((VLOOKUP($G44,Coords[],3,FALSE)-VLOOKUP(BS$5,Coords[],3,FALSE))^2+(VLOOKUP($G44,Coords[],4,FALSE)-VLOOKUP(BS$5,Coords[],4,FALSE))^2)))</f>
        <v>1000</v>
      </c>
      <c r="BT44" s="10">
        <f>IF($G44=BT$5,1000,IF(BT$4=0,1000,SQRT((VLOOKUP($G44,Coords[],3,FALSE)-VLOOKUP(BT$5,Coords[],3,FALSE))^2+(VLOOKUP($G44,Coords[],4,FALSE)-VLOOKUP(BT$5,Coords[],4,FALSE))^2)))</f>
        <v>1000</v>
      </c>
      <c r="BU44" s="10">
        <f>IF($G44=BU$5,1000,IF(BU$4=0,1000,SQRT((VLOOKUP($G44,Coords[],3,FALSE)-VLOOKUP(BU$5,Coords[],3,FALSE))^2+(VLOOKUP($G44,Coords[],4,FALSE)-VLOOKUP(BU$5,Coords[],4,FALSE))^2)))</f>
        <v>1000</v>
      </c>
      <c r="BV44" s="10">
        <f>IF($G44=BV$5,1000,IF(BV$4=0,1000,SQRT((VLOOKUP($G44,Coords[],3,FALSE)-VLOOKUP(BV$5,Coords[],3,FALSE))^2+(VLOOKUP($G44,Coords[],4,FALSE)-VLOOKUP(BV$5,Coords[],4,FALSE))^2)))</f>
        <v>1000</v>
      </c>
      <c r="BW44" s="10">
        <f>IF($G44=BW$5,1000,IF(BW$4=0,1000,SQRT((VLOOKUP($G44,Coords[],3,FALSE)-VLOOKUP(BW$5,Coords[],3,FALSE))^2+(VLOOKUP($G44,Coords[],4,FALSE)-VLOOKUP(BW$5,Coords[],4,FALSE))^2)))</f>
        <v>1000</v>
      </c>
      <c r="BX44" s="10">
        <f>IF($G44=BX$5,1000,IF(BX$4=0,1000,SQRT((VLOOKUP($G44,Coords[],3,FALSE)-VLOOKUP(BX$5,Coords[],3,FALSE))^2+(VLOOKUP($G44,Coords[],4,FALSE)-VLOOKUP(BX$5,Coords[],4,FALSE))^2)))</f>
        <v>1000</v>
      </c>
      <c r="BY44" s="10">
        <f>IF($G44=BY$5,1000,IF(BY$4=0,1000,SQRT((VLOOKUP($G44,Coords[],3,FALSE)-VLOOKUP(BY$5,Coords[],3,FALSE))^2+(VLOOKUP($G44,Coords[],4,FALSE)-VLOOKUP(BY$5,Coords[],4,FALSE))^2)))</f>
        <v>1000</v>
      </c>
      <c r="BZ44" s="10">
        <f>IF($G44=BZ$5,1000,IF(BZ$4=0,1000,SQRT((VLOOKUP($G44,Coords[],3,FALSE)-VLOOKUP(BZ$5,Coords[],3,FALSE))^2+(VLOOKUP($G44,Coords[],4,FALSE)-VLOOKUP(BZ$5,Coords[],4,FALSE))^2)))</f>
        <v>1000</v>
      </c>
      <c r="CA44" s="10">
        <f>IF($G44=CA$5,1000,IF(CA$4=0,1000,SQRT((VLOOKUP($G44,Coords[],3,FALSE)-VLOOKUP(CA$5,Coords[],3,FALSE))^2+(VLOOKUP($G44,Coords[],4,FALSE)-VLOOKUP(CA$5,Coords[],4,FALSE))^2)))</f>
        <v>1000</v>
      </c>
      <c r="CB44" s="10">
        <f>IF($G44=CB$5,1000,IF(CB$4=0,1000,SQRT((VLOOKUP($G44,Coords[],3,FALSE)-VLOOKUP(CB$5,Coords[],3,FALSE))^2+(VLOOKUP($G44,Coords[],4,FALSE)-VLOOKUP(CB$5,Coords[],4,FALSE))^2)))</f>
        <v>1000</v>
      </c>
      <c r="CC44" s="10">
        <f>IF($G44=CC$5,1000,IF(CC$4=0,1000,SQRT((VLOOKUP($G44,Coords[],3,FALSE)-VLOOKUP(CC$5,Coords[],3,FALSE))^2+(VLOOKUP($G44,Coords[],4,FALSE)-VLOOKUP(CC$5,Coords[],4,FALSE))^2)))</f>
        <v>1000</v>
      </c>
      <c r="CD44" s="10">
        <f>IF($G44=CD$5,1000,IF(CD$4=0,1000,SQRT((VLOOKUP($G44,Coords[],3,FALSE)-VLOOKUP(CD$5,Coords[],3,FALSE))^2+(VLOOKUP($G44,Coords[],4,FALSE)-VLOOKUP(CD$5,Coords[],4,FALSE))^2)))</f>
        <v>1000</v>
      </c>
      <c r="CE44" s="10">
        <f>IF($G44=CE$5,1000,IF(CE$4=0,1000,SQRT((VLOOKUP($G44,Coords[],3,FALSE)-VLOOKUP(CE$5,Coords[],3,FALSE))^2+(VLOOKUP($G44,Coords[],4,FALSE)-VLOOKUP(CE$5,Coords[],4,FALSE))^2)))</f>
        <v>1000</v>
      </c>
      <c r="CF44" s="4">
        <v>39</v>
      </c>
      <c r="CH44" s="5">
        <f>IF(E44=1,0,VLOOKUP($G44,$G$6:$CE$82,HLOOKUP(MIN(H44:CE44),$H44:$CE$82,((COUNT($G$6:$G$81)+2)-$G44),FALSE)+1,FALSE)*B44)</f>
        <v>0</v>
      </c>
      <c r="CI44" s="9">
        <f>VLOOKUP($G44,$G$6:$CE$82,HLOOKUP(MIN(H44:CE44),$H44:$CE$82,((COUNT($G$6:$G$81)+2)-$G44),FALSE)+1,FALSE)</f>
        <v>1000</v>
      </c>
      <c r="CJ44" s="7">
        <f>HLOOKUP(MIN(H44:CE44),$H44:$CE$82,((COUNT($G$6:$G$81)+2)-$G44),FALSE)</f>
        <v>1</v>
      </c>
      <c r="CK44">
        <f>CI44*Coords[[#This Row],[Demand]]</f>
        <v>0</v>
      </c>
    </row>
    <row r="45" spans="1:89" x14ac:dyDescent="0.25">
      <c r="A45" s="8">
        <v>40</v>
      </c>
      <c r="B45" s="3"/>
      <c r="C45" s="3"/>
      <c r="D45" s="3"/>
      <c r="E45" s="3"/>
      <c r="G45" s="4">
        <v>40</v>
      </c>
      <c r="H45" s="10">
        <f>IF($G45=H$5,1000,IF(H$4=0,1000,SQRT((VLOOKUP($G45,Coords[],3,FALSE)-VLOOKUP(H$5,Coords[],3,FALSE))^2+(VLOOKUP($G45,Coords[],4,FALSE)-VLOOKUP(H$5,Coords[],4,FALSE))^2)))</f>
        <v>1000</v>
      </c>
      <c r="I45" s="10">
        <f>IF($G45=I$5,1000,IF(I$4=0,1000,SQRT((VLOOKUP($G45,Coords[],3,FALSE)-VLOOKUP(I$5,Coords[],3,FALSE))^2+(VLOOKUP($G45,Coords[],4,FALSE)-VLOOKUP(I$5,Coords[],4,FALSE))^2)))</f>
        <v>1000</v>
      </c>
      <c r="J45" s="10">
        <f>IF($G45=J$5,1000,IF(J$4=0,1000,SQRT((VLOOKUP($G45,Coords[],3,FALSE)-VLOOKUP(J$5,Coords[],3,FALSE))^2+(VLOOKUP($G45,Coords[],4,FALSE)-VLOOKUP(J$5,Coords[],4,FALSE))^2)))</f>
        <v>1000</v>
      </c>
      <c r="K45" s="10">
        <f>IF($G45=K$5,1000,IF(K$4=0,1000,SQRT((VLOOKUP($G45,Coords[],3,FALSE)-VLOOKUP(K$5,Coords[],3,FALSE))^2+(VLOOKUP($G45,Coords[],4,FALSE)-VLOOKUP(K$5,Coords[],4,FALSE))^2)))</f>
        <v>1000</v>
      </c>
      <c r="L45" s="10">
        <f>IF($G45=L$5,1000,IF(L$4=0,1000,SQRT((VLOOKUP($G45,Coords[],3,FALSE)-VLOOKUP(L$5,Coords[],3,FALSE))^2+(VLOOKUP($G45,Coords[],4,FALSE)-VLOOKUP(L$5,Coords[],4,FALSE))^2)))</f>
        <v>1000</v>
      </c>
      <c r="M45" s="10">
        <f>IF($G45=M$5,1000,IF(M$4=0,1000,SQRT((VLOOKUP($G45,Coords[],3,FALSE)-VLOOKUP(M$5,Coords[],3,FALSE))^2+(VLOOKUP($G45,Coords[],4,FALSE)-VLOOKUP(M$5,Coords[],4,FALSE))^2)))</f>
        <v>1000</v>
      </c>
      <c r="N45" s="10">
        <f>IF($G45=N$5,1000,IF(N$4=0,1000,SQRT((VLOOKUP($G45,Coords[],3,FALSE)-VLOOKUP(N$5,Coords[],3,FALSE))^2+(VLOOKUP($G45,Coords[],4,FALSE)-VLOOKUP(N$5,Coords[],4,FALSE))^2)))</f>
        <v>1000</v>
      </c>
      <c r="O45" s="10">
        <f>IF($G45=O$5,1000,IF(O$4=0,1000,SQRT((VLOOKUP($G45,Coords[],3,FALSE)-VLOOKUP(O$5,Coords[],3,FALSE))^2+(VLOOKUP($G45,Coords[],4,FALSE)-VLOOKUP(O$5,Coords[],4,FALSE))^2)))</f>
        <v>1000</v>
      </c>
      <c r="P45" s="10">
        <f>IF($G45=P$5,1000,IF(P$4=0,1000,SQRT((VLOOKUP($G45,Coords[],3,FALSE)-VLOOKUP(P$5,Coords[],3,FALSE))^2+(VLOOKUP($G45,Coords[],4,FALSE)-VLOOKUP(P$5,Coords[],4,FALSE))^2)))</f>
        <v>1000</v>
      </c>
      <c r="Q45" s="10">
        <f>IF($G45=Q$5,1000,IF(Q$4=0,1000,SQRT((VLOOKUP($G45,Coords[],3,FALSE)-VLOOKUP(Q$5,Coords[],3,FALSE))^2+(VLOOKUP($G45,Coords[],4,FALSE)-VLOOKUP(Q$5,Coords[],4,FALSE))^2)))</f>
        <v>1000</v>
      </c>
      <c r="R45" s="10">
        <f>IF($G45=R$5,1000,IF(R$4=0,1000,SQRT((VLOOKUP($G45,Coords[],3,FALSE)-VLOOKUP(R$5,Coords[],3,FALSE))^2+(VLOOKUP($G45,Coords[],4,FALSE)-VLOOKUP(R$5,Coords[],4,FALSE))^2)))</f>
        <v>1000</v>
      </c>
      <c r="S45" s="10">
        <f>IF($G45=S$5,1000,IF(S$4=0,1000,SQRT((VLOOKUP($G45,Coords[],3,FALSE)-VLOOKUP(S$5,Coords[],3,FALSE))^2+(VLOOKUP($G45,Coords[],4,FALSE)-VLOOKUP(S$5,Coords[],4,FALSE))^2)))</f>
        <v>1000</v>
      </c>
      <c r="T45" s="10">
        <f>IF($G45=T$5,1000,IF(T$4=0,1000,SQRT((VLOOKUP($G45,Coords[],3,FALSE)-VLOOKUP(T$5,Coords[],3,FALSE))^2+(VLOOKUP($G45,Coords[],4,FALSE)-VLOOKUP(T$5,Coords[],4,FALSE))^2)))</f>
        <v>1000</v>
      </c>
      <c r="U45" s="10">
        <f>IF($G45=U$5,1000,IF(U$4=0,1000,SQRT((VLOOKUP($G45,Coords[],3,FALSE)-VLOOKUP(U$5,Coords[],3,FALSE))^2+(VLOOKUP($G45,Coords[],4,FALSE)-VLOOKUP(U$5,Coords[],4,FALSE))^2)))</f>
        <v>1000</v>
      </c>
      <c r="V45" s="10">
        <f>IF($G45=V$5,1000,IF(V$4=0,1000,SQRT((VLOOKUP($G45,Coords[],3,FALSE)-VLOOKUP(V$5,Coords[],3,FALSE))^2+(VLOOKUP($G45,Coords[],4,FALSE)-VLOOKUP(V$5,Coords[],4,FALSE))^2)))</f>
        <v>1000</v>
      </c>
      <c r="W45" s="10">
        <f>IF($G45=W$5,1000,IF(W$4=0,1000,SQRT((VLOOKUP($G45,Coords[],3,FALSE)-VLOOKUP(W$5,Coords[],3,FALSE))^2+(VLOOKUP($G45,Coords[],4,FALSE)-VLOOKUP(W$5,Coords[],4,FALSE))^2)))</f>
        <v>1000</v>
      </c>
      <c r="X45" s="10">
        <f>IF($G45=X$5,1000,IF(X$4=0,1000,SQRT((VLOOKUP($G45,Coords[],3,FALSE)-VLOOKUP(X$5,Coords[],3,FALSE))^2+(VLOOKUP($G45,Coords[],4,FALSE)-VLOOKUP(X$5,Coords[],4,FALSE))^2)))</f>
        <v>1000</v>
      </c>
      <c r="Y45" s="10">
        <f>IF($G45=Y$5,1000,IF(Y$4=0,1000,SQRT((VLOOKUP($G45,Coords[],3,FALSE)-VLOOKUP(Y$5,Coords[],3,FALSE))^2+(VLOOKUP($G45,Coords[],4,FALSE)-VLOOKUP(Y$5,Coords[],4,FALSE))^2)))</f>
        <v>1000</v>
      </c>
      <c r="Z45" s="10">
        <f>IF($G45=Z$5,1000,IF(Z$4=0,1000,SQRT((VLOOKUP($G45,Coords[],3,FALSE)-VLOOKUP(Z$5,Coords[],3,FALSE))^2+(VLOOKUP($G45,Coords[],4,FALSE)-VLOOKUP(Z$5,Coords[],4,FALSE))^2)))</f>
        <v>1000</v>
      </c>
      <c r="AA45" s="10">
        <f>IF($G45=AA$5,1000,IF(AA$4=0,1000,SQRT((VLOOKUP($G45,Coords[],3,FALSE)-VLOOKUP(AA$5,Coords[],3,FALSE))^2+(VLOOKUP($G45,Coords[],4,FALSE)-VLOOKUP(AA$5,Coords[],4,FALSE))^2)))</f>
        <v>1000</v>
      </c>
      <c r="AB45" s="10">
        <f>IF($G45=AB$5,1000,IF(AB$4=0,1000,SQRT((VLOOKUP($G45,Coords[],3,FALSE)-VLOOKUP(AB$5,Coords[],3,FALSE))^2+(VLOOKUP($G45,Coords[],4,FALSE)-VLOOKUP(AB$5,Coords[],4,FALSE))^2)))</f>
        <v>1000</v>
      </c>
      <c r="AC45" s="10">
        <f>IF($G45=AC$5,1000,IF(AC$4=0,1000,SQRT((VLOOKUP($G45,Coords[],3,FALSE)-VLOOKUP(AC$5,Coords[],3,FALSE))^2+(VLOOKUP($G45,Coords[],4,FALSE)-VLOOKUP(AC$5,Coords[],4,FALSE))^2)))</f>
        <v>1000</v>
      </c>
      <c r="AD45" s="10">
        <f>IF($G45=AD$5,1000,IF(AD$4=0,1000,SQRT((VLOOKUP($G45,Coords[],3,FALSE)-VLOOKUP(AD$5,Coords[],3,FALSE))^2+(VLOOKUP($G45,Coords[],4,FALSE)-VLOOKUP(AD$5,Coords[],4,FALSE))^2)))</f>
        <v>1000</v>
      </c>
      <c r="AE45" s="10">
        <f>IF($G45=AE$5,1000,IF(AE$4=0,1000,SQRT((VLOOKUP($G45,Coords[],3,FALSE)-VLOOKUP(AE$5,Coords[],3,FALSE))^2+(VLOOKUP($G45,Coords[],4,FALSE)-VLOOKUP(AE$5,Coords[],4,FALSE))^2)))</f>
        <v>1000</v>
      </c>
      <c r="AF45" s="10">
        <f>IF($G45=AF$5,1000,IF(AF$4=0,1000,SQRT((VLOOKUP($G45,Coords[],3,FALSE)-VLOOKUP(AF$5,Coords[],3,FALSE))^2+(VLOOKUP($G45,Coords[],4,FALSE)-VLOOKUP(AF$5,Coords[],4,FALSE))^2)))</f>
        <v>1000</v>
      </c>
      <c r="AG45" s="10">
        <f>IF($G45=AG$5,1000,IF(AG$4=0,1000,SQRT((VLOOKUP($G45,Coords[],3,FALSE)-VLOOKUP(AG$5,Coords[],3,FALSE))^2+(VLOOKUP($G45,Coords[],4,FALSE)-VLOOKUP(AG$5,Coords[],4,FALSE))^2)))</f>
        <v>1000</v>
      </c>
      <c r="AH45" s="10">
        <f>IF($G45=AH$5,1000,IF(AH$4=0,1000,SQRT((VLOOKUP($G45,Coords[],3,FALSE)-VLOOKUP(AH$5,Coords[],3,FALSE))^2+(VLOOKUP($G45,Coords[],4,FALSE)-VLOOKUP(AH$5,Coords[],4,FALSE))^2)))</f>
        <v>1000</v>
      </c>
      <c r="AI45" s="10">
        <f>IF($G45=AI$5,1000,IF(AI$4=0,1000,SQRT((VLOOKUP($G45,Coords[],3,FALSE)-VLOOKUP(AI$5,Coords[],3,FALSE))^2+(VLOOKUP($G45,Coords[],4,FALSE)-VLOOKUP(AI$5,Coords[],4,FALSE))^2)))</f>
        <v>1000</v>
      </c>
      <c r="AJ45" s="10">
        <f>IF($G45=AJ$5,1000,IF(AJ$4=0,1000,SQRT((VLOOKUP($G45,Coords[],3,FALSE)-VLOOKUP(AJ$5,Coords[],3,FALSE))^2+(VLOOKUP($G45,Coords[],4,FALSE)-VLOOKUP(AJ$5,Coords[],4,FALSE))^2)))</f>
        <v>1000</v>
      </c>
      <c r="AK45" s="10">
        <f>IF($G45=AK$5,1000,IF(AK$4=0,1000,SQRT((VLOOKUP($G45,Coords[],3,FALSE)-VLOOKUP(AK$5,Coords[],3,FALSE))^2+(VLOOKUP($G45,Coords[],4,FALSE)-VLOOKUP(AK$5,Coords[],4,FALSE))^2)))</f>
        <v>1000</v>
      </c>
      <c r="AL45" s="10">
        <f>IF($G45=AL$5,1000,IF(AL$4=0,1000,SQRT((VLOOKUP($G45,Coords[],3,FALSE)-VLOOKUP(AL$5,Coords[],3,FALSE))^2+(VLOOKUP($G45,Coords[],4,FALSE)-VLOOKUP(AL$5,Coords[],4,FALSE))^2)))</f>
        <v>1000</v>
      </c>
      <c r="AM45" s="10">
        <f>IF($G45=AM$5,1000,IF(AM$4=0,1000,SQRT((VLOOKUP($G45,Coords[],3,FALSE)-VLOOKUP(AM$5,Coords[],3,FALSE))^2+(VLOOKUP($G45,Coords[],4,FALSE)-VLOOKUP(AM$5,Coords[],4,FALSE))^2)))</f>
        <v>1000</v>
      </c>
      <c r="AN45" s="10">
        <f>IF($G45=AN$5,1000,IF(AN$4=0,1000,SQRT((VLOOKUP($G45,Coords[],3,FALSE)-VLOOKUP(AN$5,Coords[],3,FALSE))^2+(VLOOKUP($G45,Coords[],4,FALSE)-VLOOKUP(AN$5,Coords[],4,FALSE))^2)))</f>
        <v>1000</v>
      </c>
      <c r="AO45" s="10">
        <f>IF($G45=AO$5,1000,IF(AO$4=0,1000,SQRT((VLOOKUP($G45,Coords[],3,FALSE)-VLOOKUP(AO$5,Coords[],3,FALSE))^2+(VLOOKUP($G45,Coords[],4,FALSE)-VLOOKUP(AO$5,Coords[],4,FALSE))^2)))</f>
        <v>1000</v>
      </c>
      <c r="AP45" s="10">
        <f>IF($G45=AP$5,1000,IF(AP$4=0,1000,SQRT((VLOOKUP($G45,Coords[],3,FALSE)-VLOOKUP(AP$5,Coords[],3,FALSE))^2+(VLOOKUP($G45,Coords[],4,FALSE)-VLOOKUP(AP$5,Coords[],4,FALSE))^2)))</f>
        <v>1000</v>
      </c>
      <c r="AQ45" s="10">
        <f>IF($G45=AQ$5,1000,IF(AQ$4=0,1000,SQRT((VLOOKUP($G45,Coords[],3,FALSE)-VLOOKUP(AQ$5,Coords[],3,FALSE))^2+(VLOOKUP($G45,Coords[],4,FALSE)-VLOOKUP(AQ$5,Coords[],4,FALSE))^2)))</f>
        <v>1000</v>
      </c>
      <c r="AR45" s="10">
        <f>IF($G45=AR$5,1000,IF(AR$4=0,1000,SQRT((VLOOKUP($G45,Coords[],3,FALSE)-VLOOKUP(AR$5,Coords[],3,FALSE))^2+(VLOOKUP($G45,Coords[],4,FALSE)-VLOOKUP(AR$5,Coords[],4,FALSE))^2)))</f>
        <v>1000</v>
      </c>
      <c r="AS45" s="10">
        <f>IF($G45=AS$5,1000,IF(AS$4=0,1000,SQRT((VLOOKUP($G45,Coords[],3,FALSE)-VLOOKUP(AS$5,Coords[],3,FALSE))^2+(VLOOKUP($G45,Coords[],4,FALSE)-VLOOKUP(AS$5,Coords[],4,FALSE))^2)))</f>
        <v>1000</v>
      </c>
      <c r="AT45" s="10">
        <f>IF($G45=AT$5,1000,IF(AT$4=0,1000,SQRT((VLOOKUP($G45,Coords[],3,FALSE)-VLOOKUP(AT$5,Coords[],3,FALSE))^2+(VLOOKUP($G45,Coords[],4,FALSE)-VLOOKUP(AT$5,Coords[],4,FALSE))^2)))</f>
        <v>1000</v>
      </c>
      <c r="AU45" s="10">
        <f>IF($G45=AU$5,1000,IF(AU$4=0,1000,SQRT((VLOOKUP($G45,Coords[],3,FALSE)-VLOOKUP(AU$5,Coords[],3,FALSE))^2+(VLOOKUP($G45,Coords[],4,FALSE)-VLOOKUP(AU$5,Coords[],4,FALSE))^2)))</f>
        <v>1000</v>
      </c>
      <c r="AV45" s="10">
        <f>IF($G45=AV$5,1000,IF(AV$4=0,1000,SQRT((VLOOKUP($G45,Coords[],3,FALSE)-VLOOKUP(AV$5,Coords[],3,FALSE))^2+(VLOOKUP($G45,Coords[],4,FALSE)-VLOOKUP(AV$5,Coords[],4,FALSE))^2)))</f>
        <v>1000</v>
      </c>
      <c r="AW45" s="10">
        <f>IF($G45=AW$5,1000,IF(AW$4=0,1000,SQRT((VLOOKUP($G45,Coords[],3,FALSE)-VLOOKUP(AW$5,Coords[],3,FALSE))^2+(VLOOKUP($G45,Coords[],4,FALSE)-VLOOKUP(AW$5,Coords[],4,FALSE))^2)))</f>
        <v>1000</v>
      </c>
      <c r="AX45" s="10">
        <f>IF($G45=AX$5,1000,IF(AX$4=0,1000,SQRT((VLOOKUP($G45,Coords[],3,FALSE)-VLOOKUP(AX$5,Coords[],3,FALSE))^2+(VLOOKUP($G45,Coords[],4,FALSE)-VLOOKUP(AX$5,Coords[],4,FALSE))^2)))</f>
        <v>1000</v>
      </c>
      <c r="AY45" s="10">
        <f>IF($G45=AY$5,1000,IF(AY$4=0,1000,SQRT((VLOOKUP($G45,Coords[],3,FALSE)-VLOOKUP(AY$5,Coords[],3,FALSE))^2+(VLOOKUP($G45,Coords[],4,FALSE)-VLOOKUP(AY$5,Coords[],4,FALSE))^2)))</f>
        <v>1000</v>
      </c>
      <c r="AZ45" s="10">
        <f>IF($G45=AZ$5,1000,IF(AZ$4=0,1000,SQRT((VLOOKUP($G45,Coords[],3,FALSE)-VLOOKUP(AZ$5,Coords[],3,FALSE))^2+(VLOOKUP($G45,Coords[],4,FALSE)-VLOOKUP(AZ$5,Coords[],4,FALSE))^2)))</f>
        <v>1000</v>
      </c>
      <c r="BA45" s="10">
        <f>IF($G45=BA$5,1000,IF(BA$4=0,1000,SQRT((VLOOKUP($G45,Coords[],3,FALSE)-VLOOKUP(BA$5,Coords[],3,FALSE))^2+(VLOOKUP($G45,Coords[],4,FALSE)-VLOOKUP(BA$5,Coords[],4,FALSE))^2)))</f>
        <v>1000</v>
      </c>
      <c r="BB45" s="10">
        <f>IF($G45=BB$5,1000,IF(BB$4=0,1000,SQRT((VLOOKUP($G45,Coords[],3,FALSE)-VLOOKUP(BB$5,Coords[],3,FALSE))^2+(VLOOKUP($G45,Coords[],4,FALSE)-VLOOKUP(BB$5,Coords[],4,FALSE))^2)))</f>
        <v>1000</v>
      </c>
      <c r="BC45" s="10">
        <f>IF($G45=BC$5,1000,IF(BC$4=0,1000,SQRT((VLOOKUP($G45,Coords[],3,FALSE)-VLOOKUP(BC$5,Coords[],3,FALSE))^2+(VLOOKUP($G45,Coords[],4,FALSE)-VLOOKUP(BC$5,Coords[],4,FALSE))^2)))</f>
        <v>1000</v>
      </c>
      <c r="BD45" s="10">
        <f>IF($G45=BD$5,1000,IF(BD$4=0,1000,SQRT((VLOOKUP($G45,Coords[],3,FALSE)-VLOOKUP(BD$5,Coords[],3,FALSE))^2+(VLOOKUP($G45,Coords[],4,FALSE)-VLOOKUP(BD$5,Coords[],4,FALSE))^2)))</f>
        <v>1000</v>
      </c>
      <c r="BE45" s="10">
        <f>IF($G45=BE$5,1000,IF(BE$4=0,1000,SQRT((VLOOKUP($G45,Coords[],3,FALSE)-VLOOKUP(BE$5,Coords[],3,FALSE))^2+(VLOOKUP($G45,Coords[],4,FALSE)-VLOOKUP(BE$5,Coords[],4,FALSE))^2)))</f>
        <v>1000</v>
      </c>
      <c r="BF45" s="10">
        <f>IF($G45=BF$5,1000,IF(BF$4=0,1000,SQRT((VLOOKUP($G45,Coords[],3,FALSE)-VLOOKUP(BF$5,Coords[],3,FALSE))^2+(VLOOKUP($G45,Coords[],4,FALSE)-VLOOKUP(BF$5,Coords[],4,FALSE))^2)))</f>
        <v>1000</v>
      </c>
      <c r="BG45" s="10">
        <f>IF($G45=BG$5,1000,IF(BG$4=0,1000,SQRT((VLOOKUP($G45,Coords[],3,FALSE)-VLOOKUP(BG$5,Coords[],3,FALSE))^2+(VLOOKUP($G45,Coords[],4,FALSE)-VLOOKUP(BG$5,Coords[],4,FALSE))^2)))</f>
        <v>1000</v>
      </c>
      <c r="BH45" s="10">
        <f>IF($G45=BH$5,1000,IF(BH$4=0,1000,SQRT((VLOOKUP($G45,Coords[],3,FALSE)-VLOOKUP(BH$5,Coords[],3,FALSE))^2+(VLOOKUP($G45,Coords[],4,FALSE)-VLOOKUP(BH$5,Coords[],4,FALSE))^2)))</f>
        <v>1000</v>
      </c>
      <c r="BI45" s="10">
        <f>IF($G45=BI$5,1000,IF(BI$4=0,1000,SQRT((VLOOKUP($G45,Coords[],3,FALSE)-VLOOKUP(BI$5,Coords[],3,FALSE))^2+(VLOOKUP($G45,Coords[],4,FALSE)-VLOOKUP(BI$5,Coords[],4,FALSE))^2)))</f>
        <v>1000</v>
      </c>
      <c r="BJ45" s="10">
        <f>IF($G45=BJ$5,1000,IF(BJ$4=0,1000,SQRT((VLOOKUP($G45,Coords[],3,FALSE)-VLOOKUP(BJ$5,Coords[],3,FALSE))^2+(VLOOKUP($G45,Coords[],4,FALSE)-VLOOKUP(BJ$5,Coords[],4,FALSE))^2)))</f>
        <v>1000</v>
      </c>
      <c r="BK45" s="10">
        <f>IF($G45=BK$5,1000,IF(BK$4=0,1000,SQRT((VLOOKUP($G45,Coords[],3,FALSE)-VLOOKUP(BK$5,Coords[],3,FALSE))^2+(VLOOKUP($G45,Coords[],4,FALSE)-VLOOKUP(BK$5,Coords[],4,FALSE))^2)))</f>
        <v>1000</v>
      </c>
      <c r="BL45" s="10">
        <f>IF($G45=BL$5,1000,IF(BL$4=0,1000,SQRT((VLOOKUP($G45,Coords[],3,FALSE)-VLOOKUP(BL$5,Coords[],3,FALSE))^2+(VLOOKUP($G45,Coords[],4,FALSE)-VLOOKUP(BL$5,Coords[],4,FALSE))^2)))</f>
        <v>1000</v>
      </c>
      <c r="BM45" s="10">
        <f>IF($G45=BM$5,1000,IF(BM$4=0,1000,SQRT((VLOOKUP($G45,Coords[],3,FALSE)-VLOOKUP(BM$5,Coords[],3,FALSE))^2+(VLOOKUP($G45,Coords[],4,FALSE)-VLOOKUP(BM$5,Coords[],4,FALSE))^2)))</f>
        <v>1000</v>
      </c>
      <c r="BN45" s="10">
        <f>IF($G45=BN$5,1000,IF(BN$4=0,1000,SQRT((VLOOKUP($G45,Coords[],3,FALSE)-VLOOKUP(BN$5,Coords[],3,FALSE))^2+(VLOOKUP($G45,Coords[],4,FALSE)-VLOOKUP(BN$5,Coords[],4,FALSE))^2)))</f>
        <v>1000</v>
      </c>
      <c r="BO45" s="10">
        <f>IF($G45=BO$5,1000,IF(BO$4=0,1000,SQRT((VLOOKUP($G45,Coords[],3,FALSE)-VLOOKUP(BO$5,Coords[],3,FALSE))^2+(VLOOKUP($G45,Coords[],4,FALSE)-VLOOKUP(BO$5,Coords[],4,FALSE))^2)))</f>
        <v>1000</v>
      </c>
      <c r="BP45" s="10">
        <f>IF($G45=BP$5,1000,IF(BP$4=0,1000,SQRT((VLOOKUP($G45,Coords[],3,FALSE)-VLOOKUP(BP$5,Coords[],3,FALSE))^2+(VLOOKUP($G45,Coords[],4,FALSE)-VLOOKUP(BP$5,Coords[],4,FALSE))^2)))</f>
        <v>1000</v>
      </c>
      <c r="BQ45" s="10">
        <f>IF($G45=BQ$5,1000,IF(BQ$4=0,1000,SQRT((VLOOKUP($G45,Coords[],3,FALSE)-VLOOKUP(BQ$5,Coords[],3,FALSE))^2+(VLOOKUP($G45,Coords[],4,FALSE)-VLOOKUP(BQ$5,Coords[],4,FALSE))^2)))</f>
        <v>1000</v>
      </c>
      <c r="BR45" s="10">
        <f>IF($G45=BR$5,1000,IF(BR$4=0,1000,SQRT((VLOOKUP($G45,Coords[],3,FALSE)-VLOOKUP(BR$5,Coords[],3,FALSE))^2+(VLOOKUP($G45,Coords[],4,FALSE)-VLOOKUP(BR$5,Coords[],4,FALSE))^2)))</f>
        <v>1000</v>
      </c>
      <c r="BS45" s="10">
        <f>IF($G45=BS$5,1000,IF(BS$4=0,1000,SQRT((VLOOKUP($G45,Coords[],3,FALSE)-VLOOKUP(BS$5,Coords[],3,FALSE))^2+(VLOOKUP($G45,Coords[],4,FALSE)-VLOOKUP(BS$5,Coords[],4,FALSE))^2)))</f>
        <v>1000</v>
      </c>
      <c r="BT45" s="10">
        <f>IF($G45=BT$5,1000,IF(BT$4=0,1000,SQRT((VLOOKUP($G45,Coords[],3,FALSE)-VLOOKUP(BT$5,Coords[],3,FALSE))^2+(VLOOKUP($G45,Coords[],4,FALSE)-VLOOKUP(BT$5,Coords[],4,FALSE))^2)))</f>
        <v>1000</v>
      </c>
      <c r="BU45" s="10">
        <f>IF($G45=BU$5,1000,IF(BU$4=0,1000,SQRT((VLOOKUP($G45,Coords[],3,FALSE)-VLOOKUP(BU$5,Coords[],3,FALSE))^2+(VLOOKUP($G45,Coords[],4,FALSE)-VLOOKUP(BU$5,Coords[],4,FALSE))^2)))</f>
        <v>1000</v>
      </c>
      <c r="BV45" s="10">
        <f>IF($G45=BV$5,1000,IF(BV$4=0,1000,SQRT((VLOOKUP($G45,Coords[],3,FALSE)-VLOOKUP(BV$5,Coords[],3,FALSE))^2+(VLOOKUP($G45,Coords[],4,FALSE)-VLOOKUP(BV$5,Coords[],4,FALSE))^2)))</f>
        <v>1000</v>
      </c>
      <c r="BW45" s="10">
        <f>IF($G45=BW$5,1000,IF(BW$4=0,1000,SQRT((VLOOKUP($G45,Coords[],3,FALSE)-VLOOKUP(BW$5,Coords[],3,FALSE))^2+(VLOOKUP($G45,Coords[],4,FALSE)-VLOOKUP(BW$5,Coords[],4,FALSE))^2)))</f>
        <v>1000</v>
      </c>
      <c r="BX45" s="10">
        <f>IF($G45=BX$5,1000,IF(BX$4=0,1000,SQRT((VLOOKUP($G45,Coords[],3,FALSE)-VLOOKUP(BX$5,Coords[],3,FALSE))^2+(VLOOKUP($G45,Coords[],4,FALSE)-VLOOKUP(BX$5,Coords[],4,FALSE))^2)))</f>
        <v>1000</v>
      </c>
      <c r="BY45" s="10">
        <f>IF($G45=BY$5,1000,IF(BY$4=0,1000,SQRT((VLOOKUP($G45,Coords[],3,FALSE)-VLOOKUP(BY$5,Coords[],3,FALSE))^2+(VLOOKUP($G45,Coords[],4,FALSE)-VLOOKUP(BY$5,Coords[],4,FALSE))^2)))</f>
        <v>1000</v>
      </c>
      <c r="BZ45" s="10">
        <f>IF($G45=BZ$5,1000,IF(BZ$4=0,1000,SQRT((VLOOKUP($G45,Coords[],3,FALSE)-VLOOKUP(BZ$5,Coords[],3,FALSE))^2+(VLOOKUP($G45,Coords[],4,FALSE)-VLOOKUP(BZ$5,Coords[],4,FALSE))^2)))</f>
        <v>1000</v>
      </c>
      <c r="CA45" s="10">
        <f>IF($G45=CA$5,1000,IF(CA$4=0,1000,SQRT((VLOOKUP($G45,Coords[],3,FALSE)-VLOOKUP(CA$5,Coords[],3,FALSE))^2+(VLOOKUP($G45,Coords[],4,FALSE)-VLOOKUP(CA$5,Coords[],4,FALSE))^2)))</f>
        <v>1000</v>
      </c>
      <c r="CB45" s="10">
        <f>IF($G45=CB$5,1000,IF(CB$4=0,1000,SQRT((VLOOKUP($G45,Coords[],3,FALSE)-VLOOKUP(CB$5,Coords[],3,FALSE))^2+(VLOOKUP($G45,Coords[],4,FALSE)-VLOOKUP(CB$5,Coords[],4,FALSE))^2)))</f>
        <v>1000</v>
      </c>
      <c r="CC45" s="10">
        <f>IF($G45=CC$5,1000,IF(CC$4=0,1000,SQRT((VLOOKUP($G45,Coords[],3,FALSE)-VLOOKUP(CC$5,Coords[],3,FALSE))^2+(VLOOKUP($G45,Coords[],4,FALSE)-VLOOKUP(CC$5,Coords[],4,FALSE))^2)))</f>
        <v>1000</v>
      </c>
      <c r="CD45" s="10">
        <f>IF($G45=CD$5,1000,IF(CD$4=0,1000,SQRT((VLOOKUP($G45,Coords[],3,FALSE)-VLOOKUP(CD$5,Coords[],3,FALSE))^2+(VLOOKUP($G45,Coords[],4,FALSE)-VLOOKUP(CD$5,Coords[],4,FALSE))^2)))</f>
        <v>1000</v>
      </c>
      <c r="CE45" s="10">
        <f>IF($G45=CE$5,1000,IF(CE$4=0,1000,SQRT((VLOOKUP($G45,Coords[],3,FALSE)-VLOOKUP(CE$5,Coords[],3,FALSE))^2+(VLOOKUP($G45,Coords[],4,FALSE)-VLOOKUP(CE$5,Coords[],4,FALSE))^2)))</f>
        <v>1000</v>
      </c>
      <c r="CF45" s="4">
        <v>40</v>
      </c>
      <c r="CH45" s="5">
        <f>IF(E45=1,0,VLOOKUP($G45,$G$6:$CE$82,HLOOKUP(MIN(H45:CE45),$H45:$CE$82,((COUNT($G$6:$G$81)+2)-$G45),FALSE)+1,FALSE)*B45)</f>
        <v>0</v>
      </c>
      <c r="CI45" s="9">
        <f>VLOOKUP($G45,$G$6:$CE$82,HLOOKUP(MIN(H45:CE45),$H45:$CE$82,((COUNT($G$6:$G$81)+2)-$G45),FALSE)+1,FALSE)</f>
        <v>1000</v>
      </c>
      <c r="CJ45" s="7">
        <f>HLOOKUP(MIN(H45:CE45),$H45:$CE$82,((COUNT($G$6:$G$81)+2)-$G45),FALSE)</f>
        <v>1</v>
      </c>
      <c r="CK45">
        <f>CI45*Coords[[#This Row],[Demand]]</f>
        <v>0</v>
      </c>
    </row>
    <row r="46" spans="1:89" x14ac:dyDescent="0.25">
      <c r="A46" s="8">
        <v>41</v>
      </c>
      <c r="B46" s="3"/>
      <c r="C46" s="3"/>
      <c r="D46" s="3"/>
      <c r="E46" s="3"/>
      <c r="G46" s="4">
        <v>41</v>
      </c>
      <c r="H46" s="10">
        <f>IF($G46=H$5,1000,IF(H$4=0,1000,SQRT((VLOOKUP($G46,Coords[],3,FALSE)-VLOOKUP(H$5,Coords[],3,FALSE))^2+(VLOOKUP($G46,Coords[],4,FALSE)-VLOOKUP(H$5,Coords[],4,FALSE))^2)))</f>
        <v>1000</v>
      </c>
      <c r="I46" s="10">
        <f>IF($G46=I$5,1000,IF(I$4=0,1000,SQRT((VLOOKUP($G46,Coords[],3,FALSE)-VLOOKUP(I$5,Coords[],3,FALSE))^2+(VLOOKUP($G46,Coords[],4,FALSE)-VLOOKUP(I$5,Coords[],4,FALSE))^2)))</f>
        <v>1000</v>
      </c>
      <c r="J46" s="10">
        <f>IF($G46=J$5,1000,IF(J$4=0,1000,SQRT((VLOOKUP($G46,Coords[],3,FALSE)-VLOOKUP(J$5,Coords[],3,FALSE))^2+(VLOOKUP($G46,Coords[],4,FALSE)-VLOOKUP(J$5,Coords[],4,FALSE))^2)))</f>
        <v>1000</v>
      </c>
      <c r="K46" s="10">
        <f>IF($G46=K$5,1000,IF(K$4=0,1000,SQRT((VLOOKUP($G46,Coords[],3,FALSE)-VLOOKUP(K$5,Coords[],3,FALSE))^2+(VLOOKUP($G46,Coords[],4,FALSE)-VLOOKUP(K$5,Coords[],4,FALSE))^2)))</f>
        <v>1000</v>
      </c>
      <c r="L46" s="10">
        <f>IF($G46=L$5,1000,IF(L$4=0,1000,SQRT((VLOOKUP($G46,Coords[],3,FALSE)-VLOOKUP(L$5,Coords[],3,FALSE))^2+(VLOOKUP($G46,Coords[],4,FALSE)-VLOOKUP(L$5,Coords[],4,FALSE))^2)))</f>
        <v>1000</v>
      </c>
      <c r="M46" s="10">
        <f>IF($G46=M$5,1000,IF(M$4=0,1000,SQRT((VLOOKUP($G46,Coords[],3,FALSE)-VLOOKUP(M$5,Coords[],3,FALSE))^2+(VLOOKUP($G46,Coords[],4,FALSE)-VLOOKUP(M$5,Coords[],4,FALSE))^2)))</f>
        <v>1000</v>
      </c>
      <c r="N46" s="10">
        <f>IF($G46=N$5,1000,IF(N$4=0,1000,SQRT((VLOOKUP($G46,Coords[],3,FALSE)-VLOOKUP(N$5,Coords[],3,FALSE))^2+(VLOOKUP($G46,Coords[],4,FALSE)-VLOOKUP(N$5,Coords[],4,FALSE))^2)))</f>
        <v>1000</v>
      </c>
      <c r="O46" s="10">
        <f>IF($G46=O$5,1000,IF(O$4=0,1000,SQRT((VLOOKUP($G46,Coords[],3,FALSE)-VLOOKUP(O$5,Coords[],3,FALSE))^2+(VLOOKUP($G46,Coords[],4,FALSE)-VLOOKUP(O$5,Coords[],4,FALSE))^2)))</f>
        <v>1000</v>
      </c>
      <c r="P46" s="10">
        <f>IF($G46=P$5,1000,IF(P$4=0,1000,SQRT((VLOOKUP($G46,Coords[],3,FALSE)-VLOOKUP(P$5,Coords[],3,FALSE))^2+(VLOOKUP($G46,Coords[],4,FALSE)-VLOOKUP(P$5,Coords[],4,FALSE))^2)))</f>
        <v>1000</v>
      </c>
      <c r="Q46" s="10">
        <f>IF($G46=Q$5,1000,IF(Q$4=0,1000,SQRT((VLOOKUP($G46,Coords[],3,FALSE)-VLOOKUP(Q$5,Coords[],3,FALSE))^2+(VLOOKUP($G46,Coords[],4,FALSE)-VLOOKUP(Q$5,Coords[],4,FALSE))^2)))</f>
        <v>1000</v>
      </c>
      <c r="R46" s="10">
        <f>IF($G46=R$5,1000,IF(R$4=0,1000,SQRT((VLOOKUP($G46,Coords[],3,FALSE)-VLOOKUP(R$5,Coords[],3,FALSE))^2+(VLOOKUP($G46,Coords[],4,FALSE)-VLOOKUP(R$5,Coords[],4,FALSE))^2)))</f>
        <v>1000</v>
      </c>
      <c r="S46" s="10">
        <f>IF($G46=S$5,1000,IF(S$4=0,1000,SQRT((VLOOKUP($G46,Coords[],3,FALSE)-VLOOKUP(S$5,Coords[],3,FALSE))^2+(VLOOKUP($G46,Coords[],4,FALSE)-VLOOKUP(S$5,Coords[],4,FALSE))^2)))</f>
        <v>1000</v>
      </c>
      <c r="T46" s="10">
        <f>IF($G46=T$5,1000,IF(T$4=0,1000,SQRT((VLOOKUP($G46,Coords[],3,FALSE)-VLOOKUP(T$5,Coords[],3,FALSE))^2+(VLOOKUP($G46,Coords[],4,FALSE)-VLOOKUP(T$5,Coords[],4,FALSE))^2)))</f>
        <v>1000</v>
      </c>
      <c r="U46" s="10">
        <f>IF($G46=U$5,1000,IF(U$4=0,1000,SQRT((VLOOKUP($G46,Coords[],3,FALSE)-VLOOKUP(U$5,Coords[],3,FALSE))^2+(VLOOKUP($G46,Coords[],4,FALSE)-VLOOKUP(U$5,Coords[],4,FALSE))^2)))</f>
        <v>1000</v>
      </c>
      <c r="V46" s="10">
        <f>IF($G46=V$5,1000,IF(V$4=0,1000,SQRT((VLOOKUP($G46,Coords[],3,FALSE)-VLOOKUP(V$5,Coords[],3,FALSE))^2+(VLOOKUP($G46,Coords[],4,FALSE)-VLOOKUP(V$5,Coords[],4,FALSE))^2)))</f>
        <v>1000</v>
      </c>
      <c r="W46" s="10">
        <f>IF($G46=W$5,1000,IF(W$4=0,1000,SQRT((VLOOKUP($G46,Coords[],3,FALSE)-VLOOKUP(W$5,Coords[],3,FALSE))^2+(VLOOKUP($G46,Coords[],4,FALSE)-VLOOKUP(W$5,Coords[],4,FALSE))^2)))</f>
        <v>1000</v>
      </c>
      <c r="X46" s="10">
        <f>IF($G46=X$5,1000,IF(X$4=0,1000,SQRT((VLOOKUP($G46,Coords[],3,FALSE)-VLOOKUP(X$5,Coords[],3,FALSE))^2+(VLOOKUP($G46,Coords[],4,FALSE)-VLOOKUP(X$5,Coords[],4,FALSE))^2)))</f>
        <v>1000</v>
      </c>
      <c r="Y46" s="10">
        <f>IF($G46=Y$5,1000,IF(Y$4=0,1000,SQRT((VLOOKUP($G46,Coords[],3,FALSE)-VLOOKUP(Y$5,Coords[],3,FALSE))^2+(VLOOKUP($G46,Coords[],4,FALSE)-VLOOKUP(Y$5,Coords[],4,FALSE))^2)))</f>
        <v>1000</v>
      </c>
      <c r="Z46" s="10">
        <f>IF($G46=Z$5,1000,IF(Z$4=0,1000,SQRT((VLOOKUP($G46,Coords[],3,FALSE)-VLOOKUP(Z$5,Coords[],3,FALSE))^2+(VLOOKUP($G46,Coords[],4,FALSE)-VLOOKUP(Z$5,Coords[],4,FALSE))^2)))</f>
        <v>1000</v>
      </c>
      <c r="AA46" s="10">
        <f>IF($G46=AA$5,1000,IF(AA$4=0,1000,SQRT((VLOOKUP($G46,Coords[],3,FALSE)-VLOOKUP(AA$5,Coords[],3,FALSE))^2+(VLOOKUP($G46,Coords[],4,FALSE)-VLOOKUP(AA$5,Coords[],4,FALSE))^2)))</f>
        <v>1000</v>
      </c>
      <c r="AB46" s="10">
        <f>IF($G46=AB$5,1000,IF(AB$4=0,1000,SQRT((VLOOKUP($G46,Coords[],3,FALSE)-VLOOKUP(AB$5,Coords[],3,FALSE))^2+(VLOOKUP($G46,Coords[],4,FALSE)-VLOOKUP(AB$5,Coords[],4,FALSE))^2)))</f>
        <v>1000</v>
      </c>
      <c r="AC46" s="10">
        <f>IF($G46=AC$5,1000,IF(AC$4=0,1000,SQRT((VLOOKUP($G46,Coords[],3,FALSE)-VLOOKUP(AC$5,Coords[],3,FALSE))^2+(VLOOKUP($G46,Coords[],4,FALSE)-VLOOKUP(AC$5,Coords[],4,FALSE))^2)))</f>
        <v>1000</v>
      </c>
      <c r="AD46" s="10">
        <f>IF($G46=AD$5,1000,IF(AD$4=0,1000,SQRT((VLOOKUP($G46,Coords[],3,FALSE)-VLOOKUP(AD$5,Coords[],3,FALSE))^2+(VLOOKUP($G46,Coords[],4,FALSE)-VLOOKUP(AD$5,Coords[],4,FALSE))^2)))</f>
        <v>1000</v>
      </c>
      <c r="AE46" s="10">
        <f>IF($G46=AE$5,1000,IF(AE$4=0,1000,SQRT((VLOOKUP($G46,Coords[],3,FALSE)-VLOOKUP(AE$5,Coords[],3,FALSE))^2+(VLOOKUP($G46,Coords[],4,FALSE)-VLOOKUP(AE$5,Coords[],4,FALSE))^2)))</f>
        <v>1000</v>
      </c>
      <c r="AF46" s="10">
        <f>IF($G46=AF$5,1000,IF(AF$4=0,1000,SQRT((VLOOKUP($G46,Coords[],3,FALSE)-VLOOKUP(AF$5,Coords[],3,FALSE))^2+(VLOOKUP($G46,Coords[],4,FALSE)-VLOOKUP(AF$5,Coords[],4,FALSE))^2)))</f>
        <v>1000</v>
      </c>
      <c r="AG46" s="10">
        <f>IF($G46=AG$5,1000,IF(AG$4=0,1000,SQRT((VLOOKUP($G46,Coords[],3,FALSE)-VLOOKUP(AG$5,Coords[],3,FALSE))^2+(VLOOKUP($G46,Coords[],4,FALSE)-VLOOKUP(AG$5,Coords[],4,FALSE))^2)))</f>
        <v>1000</v>
      </c>
      <c r="AH46" s="10">
        <f>IF($G46=AH$5,1000,IF(AH$4=0,1000,SQRT((VLOOKUP($G46,Coords[],3,FALSE)-VLOOKUP(AH$5,Coords[],3,FALSE))^2+(VLOOKUP($G46,Coords[],4,FALSE)-VLOOKUP(AH$5,Coords[],4,FALSE))^2)))</f>
        <v>1000</v>
      </c>
      <c r="AI46" s="10">
        <f>IF($G46=AI$5,1000,IF(AI$4=0,1000,SQRT((VLOOKUP($G46,Coords[],3,FALSE)-VLOOKUP(AI$5,Coords[],3,FALSE))^2+(VLOOKUP($G46,Coords[],4,FALSE)-VLOOKUP(AI$5,Coords[],4,FALSE))^2)))</f>
        <v>1000</v>
      </c>
      <c r="AJ46" s="10">
        <f>IF($G46=AJ$5,1000,IF(AJ$4=0,1000,SQRT((VLOOKUP($G46,Coords[],3,FALSE)-VLOOKUP(AJ$5,Coords[],3,FALSE))^2+(VLOOKUP($G46,Coords[],4,FALSE)-VLOOKUP(AJ$5,Coords[],4,FALSE))^2)))</f>
        <v>1000</v>
      </c>
      <c r="AK46" s="10">
        <f>IF($G46=AK$5,1000,IF(AK$4=0,1000,SQRT((VLOOKUP($G46,Coords[],3,FALSE)-VLOOKUP(AK$5,Coords[],3,FALSE))^2+(VLOOKUP($G46,Coords[],4,FALSE)-VLOOKUP(AK$5,Coords[],4,FALSE))^2)))</f>
        <v>1000</v>
      </c>
      <c r="AL46" s="10">
        <f>IF($G46=AL$5,1000,IF(AL$4=0,1000,SQRT((VLOOKUP($G46,Coords[],3,FALSE)-VLOOKUP(AL$5,Coords[],3,FALSE))^2+(VLOOKUP($G46,Coords[],4,FALSE)-VLOOKUP(AL$5,Coords[],4,FALSE))^2)))</f>
        <v>1000</v>
      </c>
      <c r="AM46" s="10">
        <f>IF($G46=AM$5,1000,IF(AM$4=0,1000,SQRT((VLOOKUP($G46,Coords[],3,FALSE)-VLOOKUP(AM$5,Coords[],3,FALSE))^2+(VLOOKUP($G46,Coords[],4,FALSE)-VLOOKUP(AM$5,Coords[],4,FALSE))^2)))</f>
        <v>1000</v>
      </c>
      <c r="AN46" s="10">
        <f>IF($G46=AN$5,1000,IF(AN$4=0,1000,SQRT((VLOOKUP($G46,Coords[],3,FALSE)-VLOOKUP(AN$5,Coords[],3,FALSE))^2+(VLOOKUP($G46,Coords[],4,FALSE)-VLOOKUP(AN$5,Coords[],4,FALSE))^2)))</f>
        <v>1000</v>
      </c>
      <c r="AO46" s="10">
        <f>IF($G46=AO$5,1000,IF(AO$4=0,1000,SQRT((VLOOKUP($G46,Coords[],3,FALSE)-VLOOKUP(AO$5,Coords[],3,FALSE))^2+(VLOOKUP($G46,Coords[],4,FALSE)-VLOOKUP(AO$5,Coords[],4,FALSE))^2)))</f>
        <v>1000</v>
      </c>
      <c r="AP46" s="10">
        <f>IF($G46=AP$5,1000,IF(AP$4=0,1000,SQRT((VLOOKUP($G46,Coords[],3,FALSE)-VLOOKUP(AP$5,Coords[],3,FALSE))^2+(VLOOKUP($G46,Coords[],4,FALSE)-VLOOKUP(AP$5,Coords[],4,FALSE))^2)))</f>
        <v>1000</v>
      </c>
      <c r="AQ46" s="10">
        <f>IF($G46=AQ$5,1000,IF(AQ$4=0,1000,SQRT((VLOOKUP($G46,Coords[],3,FALSE)-VLOOKUP(AQ$5,Coords[],3,FALSE))^2+(VLOOKUP($G46,Coords[],4,FALSE)-VLOOKUP(AQ$5,Coords[],4,FALSE))^2)))</f>
        <v>1000</v>
      </c>
      <c r="AR46" s="10">
        <f>IF($G46=AR$5,1000,IF(AR$4=0,1000,SQRT((VLOOKUP($G46,Coords[],3,FALSE)-VLOOKUP(AR$5,Coords[],3,FALSE))^2+(VLOOKUP($G46,Coords[],4,FALSE)-VLOOKUP(AR$5,Coords[],4,FALSE))^2)))</f>
        <v>1000</v>
      </c>
      <c r="AS46" s="10">
        <f>IF($G46=AS$5,1000,IF(AS$4=0,1000,SQRT((VLOOKUP($G46,Coords[],3,FALSE)-VLOOKUP(AS$5,Coords[],3,FALSE))^2+(VLOOKUP($G46,Coords[],4,FALSE)-VLOOKUP(AS$5,Coords[],4,FALSE))^2)))</f>
        <v>1000</v>
      </c>
      <c r="AT46" s="10">
        <f>IF($G46=AT$5,1000,IF(AT$4=0,1000,SQRT((VLOOKUP($G46,Coords[],3,FALSE)-VLOOKUP(AT$5,Coords[],3,FALSE))^2+(VLOOKUP($G46,Coords[],4,FALSE)-VLOOKUP(AT$5,Coords[],4,FALSE))^2)))</f>
        <v>1000</v>
      </c>
      <c r="AU46" s="10">
        <f>IF($G46=AU$5,1000,IF(AU$4=0,1000,SQRT((VLOOKUP($G46,Coords[],3,FALSE)-VLOOKUP(AU$5,Coords[],3,FALSE))^2+(VLOOKUP($G46,Coords[],4,FALSE)-VLOOKUP(AU$5,Coords[],4,FALSE))^2)))</f>
        <v>1000</v>
      </c>
      <c r="AV46" s="10">
        <f>IF($G46=AV$5,1000,IF(AV$4=0,1000,SQRT((VLOOKUP($G46,Coords[],3,FALSE)-VLOOKUP(AV$5,Coords[],3,FALSE))^2+(VLOOKUP($G46,Coords[],4,FALSE)-VLOOKUP(AV$5,Coords[],4,FALSE))^2)))</f>
        <v>1000</v>
      </c>
      <c r="AW46" s="10">
        <f>IF($G46=AW$5,1000,IF(AW$4=0,1000,SQRT((VLOOKUP($G46,Coords[],3,FALSE)-VLOOKUP(AW$5,Coords[],3,FALSE))^2+(VLOOKUP($G46,Coords[],4,FALSE)-VLOOKUP(AW$5,Coords[],4,FALSE))^2)))</f>
        <v>1000</v>
      </c>
      <c r="AX46" s="10">
        <f>IF($G46=AX$5,1000,IF(AX$4=0,1000,SQRT((VLOOKUP($G46,Coords[],3,FALSE)-VLOOKUP(AX$5,Coords[],3,FALSE))^2+(VLOOKUP($G46,Coords[],4,FALSE)-VLOOKUP(AX$5,Coords[],4,FALSE))^2)))</f>
        <v>1000</v>
      </c>
      <c r="AY46" s="10">
        <f>IF($G46=AY$5,1000,IF(AY$4=0,1000,SQRT((VLOOKUP($G46,Coords[],3,FALSE)-VLOOKUP(AY$5,Coords[],3,FALSE))^2+(VLOOKUP($G46,Coords[],4,FALSE)-VLOOKUP(AY$5,Coords[],4,FALSE))^2)))</f>
        <v>1000</v>
      </c>
      <c r="AZ46" s="10">
        <f>IF($G46=AZ$5,1000,IF(AZ$4=0,1000,SQRT((VLOOKUP($G46,Coords[],3,FALSE)-VLOOKUP(AZ$5,Coords[],3,FALSE))^2+(VLOOKUP($G46,Coords[],4,FALSE)-VLOOKUP(AZ$5,Coords[],4,FALSE))^2)))</f>
        <v>1000</v>
      </c>
      <c r="BA46" s="10">
        <f>IF($G46=BA$5,1000,IF(BA$4=0,1000,SQRT((VLOOKUP($G46,Coords[],3,FALSE)-VLOOKUP(BA$5,Coords[],3,FALSE))^2+(VLOOKUP($G46,Coords[],4,FALSE)-VLOOKUP(BA$5,Coords[],4,FALSE))^2)))</f>
        <v>1000</v>
      </c>
      <c r="BB46" s="10">
        <f>IF($G46=BB$5,1000,IF(BB$4=0,1000,SQRT((VLOOKUP($G46,Coords[],3,FALSE)-VLOOKUP(BB$5,Coords[],3,FALSE))^2+(VLOOKUP($G46,Coords[],4,FALSE)-VLOOKUP(BB$5,Coords[],4,FALSE))^2)))</f>
        <v>1000</v>
      </c>
      <c r="BC46" s="10">
        <f>IF($G46=BC$5,1000,IF(BC$4=0,1000,SQRT((VLOOKUP($G46,Coords[],3,FALSE)-VLOOKUP(BC$5,Coords[],3,FALSE))^2+(VLOOKUP($G46,Coords[],4,FALSE)-VLOOKUP(BC$5,Coords[],4,FALSE))^2)))</f>
        <v>1000</v>
      </c>
      <c r="BD46" s="10">
        <f>IF($G46=BD$5,1000,IF(BD$4=0,1000,SQRT((VLOOKUP($G46,Coords[],3,FALSE)-VLOOKUP(BD$5,Coords[],3,FALSE))^2+(VLOOKUP($G46,Coords[],4,FALSE)-VLOOKUP(BD$5,Coords[],4,FALSE))^2)))</f>
        <v>1000</v>
      </c>
      <c r="BE46" s="10">
        <f>IF($G46=BE$5,1000,IF(BE$4=0,1000,SQRT((VLOOKUP($G46,Coords[],3,FALSE)-VLOOKUP(BE$5,Coords[],3,FALSE))^2+(VLOOKUP($G46,Coords[],4,FALSE)-VLOOKUP(BE$5,Coords[],4,FALSE))^2)))</f>
        <v>1000</v>
      </c>
      <c r="BF46" s="10">
        <f>IF($G46=BF$5,1000,IF(BF$4=0,1000,SQRT((VLOOKUP($G46,Coords[],3,FALSE)-VLOOKUP(BF$5,Coords[],3,FALSE))^2+(VLOOKUP($G46,Coords[],4,FALSE)-VLOOKUP(BF$5,Coords[],4,FALSE))^2)))</f>
        <v>1000</v>
      </c>
      <c r="BG46" s="10">
        <f>IF($G46=BG$5,1000,IF(BG$4=0,1000,SQRT((VLOOKUP($G46,Coords[],3,FALSE)-VLOOKUP(BG$5,Coords[],3,FALSE))^2+(VLOOKUP($G46,Coords[],4,FALSE)-VLOOKUP(BG$5,Coords[],4,FALSE))^2)))</f>
        <v>1000</v>
      </c>
      <c r="BH46" s="10">
        <f>IF($G46=BH$5,1000,IF(BH$4=0,1000,SQRT((VLOOKUP($G46,Coords[],3,FALSE)-VLOOKUP(BH$5,Coords[],3,FALSE))^2+(VLOOKUP($G46,Coords[],4,FALSE)-VLOOKUP(BH$5,Coords[],4,FALSE))^2)))</f>
        <v>1000</v>
      </c>
      <c r="BI46" s="10">
        <f>IF($G46=BI$5,1000,IF(BI$4=0,1000,SQRT((VLOOKUP($G46,Coords[],3,FALSE)-VLOOKUP(BI$5,Coords[],3,FALSE))^2+(VLOOKUP($G46,Coords[],4,FALSE)-VLOOKUP(BI$5,Coords[],4,FALSE))^2)))</f>
        <v>1000</v>
      </c>
      <c r="BJ46" s="10">
        <f>IF($G46=BJ$5,1000,IF(BJ$4=0,1000,SQRT((VLOOKUP($G46,Coords[],3,FALSE)-VLOOKUP(BJ$5,Coords[],3,FALSE))^2+(VLOOKUP($G46,Coords[],4,FALSE)-VLOOKUP(BJ$5,Coords[],4,FALSE))^2)))</f>
        <v>1000</v>
      </c>
      <c r="BK46" s="10">
        <f>IF($G46=BK$5,1000,IF(BK$4=0,1000,SQRT((VLOOKUP($G46,Coords[],3,FALSE)-VLOOKUP(BK$5,Coords[],3,FALSE))^2+(VLOOKUP($G46,Coords[],4,FALSE)-VLOOKUP(BK$5,Coords[],4,FALSE))^2)))</f>
        <v>1000</v>
      </c>
      <c r="BL46" s="10">
        <f>IF($G46=BL$5,1000,IF(BL$4=0,1000,SQRT((VLOOKUP($G46,Coords[],3,FALSE)-VLOOKUP(BL$5,Coords[],3,FALSE))^2+(VLOOKUP($G46,Coords[],4,FALSE)-VLOOKUP(BL$5,Coords[],4,FALSE))^2)))</f>
        <v>1000</v>
      </c>
      <c r="BM46" s="10">
        <f>IF($G46=BM$5,1000,IF(BM$4=0,1000,SQRT((VLOOKUP($G46,Coords[],3,FALSE)-VLOOKUP(BM$5,Coords[],3,FALSE))^2+(VLOOKUP($G46,Coords[],4,FALSE)-VLOOKUP(BM$5,Coords[],4,FALSE))^2)))</f>
        <v>1000</v>
      </c>
      <c r="BN46" s="10">
        <f>IF($G46=BN$5,1000,IF(BN$4=0,1000,SQRT((VLOOKUP($G46,Coords[],3,FALSE)-VLOOKUP(BN$5,Coords[],3,FALSE))^2+(VLOOKUP($G46,Coords[],4,FALSE)-VLOOKUP(BN$5,Coords[],4,FALSE))^2)))</f>
        <v>1000</v>
      </c>
      <c r="BO46" s="10">
        <f>IF($G46=BO$5,1000,IF(BO$4=0,1000,SQRT((VLOOKUP($G46,Coords[],3,FALSE)-VLOOKUP(BO$5,Coords[],3,FALSE))^2+(VLOOKUP($G46,Coords[],4,FALSE)-VLOOKUP(BO$5,Coords[],4,FALSE))^2)))</f>
        <v>1000</v>
      </c>
      <c r="BP46" s="10">
        <f>IF($G46=BP$5,1000,IF(BP$4=0,1000,SQRT((VLOOKUP($G46,Coords[],3,FALSE)-VLOOKUP(BP$5,Coords[],3,FALSE))^2+(VLOOKUP($G46,Coords[],4,FALSE)-VLOOKUP(BP$5,Coords[],4,FALSE))^2)))</f>
        <v>1000</v>
      </c>
      <c r="BQ46" s="10">
        <f>IF($G46=BQ$5,1000,IF(BQ$4=0,1000,SQRT((VLOOKUP($G46,Coords[],3,FALSE)-VLOOKUP(BQ$5,Coords[],3,FALSE))^2+(VLOOKUP($G46,Coords[],4,FALSE)-VLOOKUP(BQ$5,Coords[],4,FALSE))^2)))</f>
        <v>1000</v>
      </c>
      <c r="BR46" s="10">
        <f>IF($G46=BR$5,1000,IF(BR$4=0,1000,SQRT((VLOOKUP($G46,Coords[],3,FALSE)-VLOOKUP(BR$5,Coords[],3,FALSE))^2+(VLOOKUP($G46,Coords[],4,FALSE)-VLOOKUP(BR$5,Coords[],4,FALSE))^2)))</f>
        <v>1000</v>
      </c>
      <c r="BS46" s="10">
        <f>IF($G46=BS$5,1000,IF(BS$4=0,1000,SQRT((VLOOKUP($G46,Coords[],3,FALSE)-VLOOKUP(BS$5,Coords[],3,FALSE))^2+(VLOOKUP($G46,Coords[],4,FALSE)-VLOOKUP(BS$5,Coords[],4,FALSE))^2)))</f>
        <v>1000</v>
      </c>
      <c r="BT46" s="10">
        <f>IF($G46=BT$5,1000,IF(BT$4=0,1000,SQRT((VLOOKUP($G46,Coords[],3,FALSE)-VLOOKUP(BT$5,Coords[],3,FALSE))^2+(VLOOKUP($G46,Coords[],4,FALSE)-VLOOKUP(BT$5,Coords[],4,FALSE))^2)))</f>
        <v>1000</v>
      </c>
      <c r="BU46" s="10">
        <f>IF($G46=BU$5,1000,IF(BU$4=0,1000,SQRT((VLOOKUP($G46,Coords[],3,FALSE)-VLOOKUP(BU$5,Coords[],3,FALSE))^2+(VLOOKUP($G46,Coords[],4,FALSE)-VLOOKUP(BU$5,Coords[],4,FALSE))^2)))</f>
        <v>1000</v>
      </c>
      <c r="BV46" s="10">
        <f>IF($G46=BV$5,1000,IF(BV$4=0,1000,SQRT((VLOOKUP($G46,Coords[],3,FALSE)-VLOOKUP(BV$5,Coords[],3,FALSE))^2+(VLOOKUP($G46,Coords[],4,FALSE)-VLOOKUP(BV$5,Coords[],4,FALSE))^2)))</f>
        <v>1000</v>
      </c>
      <c r="BW46" s="10">
        <f>IF($G46=BW$5,1000,IF(BW$4=0,1000,SQRT((VLOOKUP($G46,Coords[],3,FALSE)-VLOOKUP(BW$5,Coords[],3,FALSE))^2+(VLOOKUP($G46,Coords[],4,FALSE)-VLOOKUP(BW$5,Coords[],4,FALSE))^2)))</f>
        <v>1000</v>
      </c>
      <c r="BX46" s="10">
        <f>IF($G46=BX$5,1000,IF(BX$4=0,1000,SQRT((VLOOKUP($G46,Coords[],3,FALSE)-VLOOKUP(BX$5,Coords[],3,FALSE))^2+(VLOOKUP($G46,Coords[],4,FALSE)-VLOOKUP(BX$5,Coords[],4,FALSE))^2)))</f>
        <v>1000</v>
      </c>
      <c r="BY46" s="10">
        <f>IF($G46=BY$5,1000,IF(BY$4=0,1000,SQRT((VLOOKUP($G46,Coords[],3,FALSE)-VLOOKUP(BY$5,Coords[],3,FALSE))^2+(VLOOKUP($G46,Coords[],4,FALSE)-VLOOKUP(BY$5,Coords[],4,FALSE))^2)))</f>
        <v>1000</v>
      </c>
      <c r="BZ46" s="10">
        <f>IF($G46=BZ$5,1000,IF(BZ$4=0,1000,SQRT((VLOOKUP($G46,Coords[],3,FALSE)-VLOOKUP(BZ$5,Coords[],3,FALSE))^2+(VLOOKUP($G46,Coords[],4,FALSE)-VLOOKUP(BZ$5,Coords[],4,FALSE))^2)))</f>
        <v>1000</v>
      </c>
      <c r="CA46" s="10">
        <f>IF($G46=CA$5,1000,IF(CA$4=0,1000,SQRT((VLOOKUP($G46,Coords[],3,FALSE)-VLOOKUP(CA$5,Coords[],3,FALSE))^2+(VLOOKUP($G46,Coords[],4,FALSE)-VLOOKUP(CA$5,Coords[],4,FALSE))^2)))</f>
        <v>1000</v>
      </c>
      <c r="CB46" s="10">
        <f>IF($G46=CB$5,1000,IF(CB$4=0,1000,SQRT((VLOOKUP($G46,Coords[],3,FALSE)-VLOOKUP(CB$5,Coords[],3,FALSE))^2+(VLOOKUP($G46,Coords[],4,FALSE)-VLOOKUP(CB$5,Coords[],4,FALSE))^2)))</f>
        <v>1000</v>
      </c>
      <c r="CC46" s="10">
        <f>IF($G46=CC$5,1000,IF(CC$4=0,1000,SQRT((VLOOKUP($G46,Coords[],3,FALSE)-VLOOKUP(CC$5,Coords[],3,FALSE))^2+(VLOOKUP($G46,Coords[],4,FALSE)-VLOOKUP(CC$5,Coords[],4,FALSE))^2)))</f>
        <v>1000</v>
      </c>
      <c r="CD46" s="10">
        <f>IF($G46=CD$5,1000,IF(CD$4=0,1000,SQRT((VLOOKUP($G46,Coords[],3,FALSE)-VLOOKUP(CD$5,Coords[],3,FALSE))^2+(VLOOKUP($G46,Coords[],4,FALSE)-VLOOKUP(CD$5,Coords[],4,FALSE))^2)))</f>
        <v>1000</v>
      </c>
      <c r="CE46" s="10">
        <f>IF($G46=CE$5,1000,IF(CE$4=0,1000,SQRT((VLOOKUP($G46,Coords[],3,FALSE)-VLOOKUP(CE$5,Coords[],3,FALSE))^2+(VLOOKUP($G46,Coords[],4,FALSE)-VLOOKUP(CE$5,Coords[],4,FALSE))^2)))</f>
        <v>1000</v>
      </c>
      <c r="CF46" s="4">
        <v>41</v>
      </c>
      <c r="CH46" s="5">
        <f>IF(E46=1,0,VLOOKUP($G46,$G$6:$CE$82,HLOOKUP(MIN(H46:CE46),$H46:$CE$82,((COUNT($G$6:$G$81)+2)-$G46),FALSE)+1,FALSE)*B46)</f>
        <v>0</v>
      </c>
      <c r="CI46" s="9">
        <f>VLOOKUP($G46,$G$6:$CE$82,HLOOKUP(MIN(H46:CE46),$H46:$CE$82,((COUNT($G$6:$G$81)+2)-$G46),FALSE)+1,FALSE)</f>
        <v>1000</v>
      </c>
      <c r="CJ46" s="7">
        <f>HLOOKUP(MIN(H46:CE46),$H46:$CE$82,((COUNT($G$6:$G$81)+2)-$G46),FALSE)</f>
        <v>1</v>
      </c>
      <c r="CK46">
        <f>CI46*Coords[[#This Row],[Demand]]</f>
        <v>0</v>
      </c>
    </row>
    <row r="47" spans="1:89" x14ac:dyDescent="0.25">
      <c r="A47" s="8">
        <v>42</v>
      </c>
      <c r="B47" s="3"/>
      <c r="C47" s="3"/>
      <c r="D47" s="3"/>
      <c r="E47" s="3"/>
      <c r="G47" s="4">
        <v>42</v>
      </c>
      <c r="H47" s="10">
        <f>IF($G47=H$5,1000,IF(H$4=0,1000,SQRT((VLOOKUP($G47,Coords[],3,FALSE)-VLOOKUP(H$5,Coords[],3,FALSE))^2+(VLOOKUP($G47,Coords[],4,FALSE)-VLOOKUP(H$5,Coords[],4,FALSE))^2)))</f>
        <v>1000</v>
      </c>
      <c r="I47" s="10">
        <f>IF($G47=I$5,1000,IF(I$4=0,1000,SQRT((VLOOKUP($G47,Coords[],3,FALSE)-VLOOKUP(I$5,Coords[],3,FALSE))^2+(VLOOKUP($G47,Coords[],4,FALSE)-VLOOKUP(I$5,Coords[],4,FALSE))^2)))</f>
        <v>1000</v>
      </c>
      <c r="J47" s="10">
        <f>IF($G47=J$5,1000,IF(J$4=0,1000,SQRT((VLOOKUP($G47,Coords[],3,FALSE)-VLOOKUP(J$5,Coords[],3,FALSE))^2+(VLOOKUP($G47,Coords[],4,FALSE)-VLOOKUP(J$5,Coords[],4,FALSE))^2)))</f>
        <v>1000</v>
      </c>
      <c r="K47" s="10">
        <f>IF($G47=K$5,1000,IF(K$4=0,1000,SQRT((VLOOKUP($G47,Coords[],3,FALSE)-VLOOKUP(K$5,Coords[],3,FALSE))^2+(VLOOKUP($G47,Coords[],4,FALSE)-VLOOKUP(K$5,Coords[],4,FALSE))^2)))</f>
        <v>1000</v>
      </c>
      <c r="L47" s="10">
        <f>IF($G47=L$5,1000,IF(L$4=0,1000,SQRT((VLOOKUP($G47,Coords[],3,FALSE)-VLOOKUP(L$5,Coords[],3,FALSE))^2+(VLOOKUP($G47,Coords[],4,FALSE)-VLOOKUP(L$5,Coords[],4,FALSE))^2)))</f>
        <v>1000</v>
      </c>
      <c r="M47" s="10">
        <f>IF($G47=M$5,1000,IF(M$4=0,1000,SQRT((VLOOKUP($G47,Coords[],3,FALSE)-VLOOKUP(M$5,Coords[],3,FALSE))^2+(VLOOKUP($G47,Coords[],4,FALSE)-VLOOKUP(M$5,Coords[],4,FALSE))^2)))</f>
        <v>1000</v>
      </c>
      <c r="N47" s="10">
        <f>IF($G47=N$5,1000,IF(N$4=0,1000,SQRT((VLOOKUP($G47,Coords[],3,FALSE)-VLOOKUP(N$5,Coords[],3,FALSE))^2+(VLOOKUP($G47,Coords[],4,FALSE)-VLOOKUP(N$5,Coords[],4,FALSE))^2)))</f>
        <v>1000</v>
      </c>
      <c r="O47" s="10">
        <f>IF($G47=O$5,1000,IF(O$4=0,1000,SQRT((VLOOKUP($G47,Coords[],3,FALSE)-VLOOKUP(O$5,Coords[],3,FALSE))^2+(VLOOKUP($G47,Coords[],4,FALSE)-VLOOKUP(O$5,Coords[],4,FALSE))^2)))</f>
        <v>1000</v>
      </c>
      <c r="P47" s="10">
        <f>IF($G47=P$5,1000,IF(P$4=0,1000,SQRT((VLOOKUP($G47,Coords[],3,FALSE)-VLOOKUP(P$5,Coords[],3,FALSE))^2+(VLOOKUP($G47,Coords[],4,FALSE)-VLOOKUP(P$5,Coords[],4,FALSE))^2)))</f>
        <v>1000</v>
      </c>
      <c r="Q47" s="10">
        <f>IF($G47=Q$5,1000,IF(Q$4=0,1000,SQRT((VLOOKUP($G47,Coords[],3,FALSE)-VLOOKUP(Q$5,Coords[],3,FALSE))^2+(VLOOKUP($G47,Coords[],4,FALSE)-VLOOKUP(Q$5,Coords[],4,FALSE))^2)))</f>
        <v>1000</v>
      </c>
      <c r="R47" s="10">
        <f>IF($G47=R$5,1000,IF(R$4=0,1000,SQRT((VLOOKUP($G47,Coords[],3,FALSE)-VLOOKUP(R$5,Coords[],3,FALSE))^2+(VLOOKUP($G47,Coords[],4,FALSE)-VLOOKUP(R$5,Coords[],4,FALSE))^2)))</f>
        <v>1000</v>
      </c>
      <c r="S47" s="10">
        <f>IF($G47=S$5,1000,IF(S$4=0,1000,SQRT((VLOOKUP($G47,Coords[],3,FALSE)-VLOOKUP(S$5,Coords[],3,FALSE))^2+(VLOOKUP($G47,Coords[],4,FALSE)-VLOOKUP(S$5,Coords[],4,FALSE))^2)))</f>
        <v>1000</v>
      </c>
      <c r="T47" s="10">
        <f>IF($G47=T$5,1000,IF(T$4=0,1000,SQRT((VLOOKUP($G47,Coords[],3,FALSE)-VLOOKUP(T$5,Coords[],3,FALSE))^2+(VLOOKUP($G47,Coords[],4,FALSE)-VLOOKUP(T$5,Coords[],4,FALSE))^2)))</f>
        <v>1000</v>
      </c>
      <c r="U47" s="10">
        <f>IF($G47=U$5,1000,IF(U$4=0,1000,SQRT((VLOOKUP($G47,Coords[],3,FALSE)-VLOOKUP(U$5,Coords[],3,FALSE))^2+(VLOOKUP($G47,Coords[],4,FALSE)-VLOOKUP(U$5,Coords[],4,FALSE))^2)))</f>
        <v>1000</v>
      </c>
      <c r="V47" s="10">
        <f>IF($G47=V$5,1000,IF(V$4=0,1000,SQRT((VLOOKUP($G47,Coords[],3,FALSE)-VLOOKUP(V$5,Coords[],3,FALSE))^2+(VLOOKUP($G47,Coords[],4,FALSE)-VLOOKUP(V$5,Coords[],4,FALSE))^2)))</f>
        <v>1000</v>
      </c>
      <c r="W47" s="10">
        <f>IF($G47=W$5,1000,IF(W$4=0,1000,SQRT((VLOOKUP($G47,Coords[],3,FALSE)-VLOOKUP(W$5,Coords[],3,FALSE))^2+(VLOOKUP($G47,Coords[],4,FALSE)-VLOOKUP(W$5,Coords[],4,FALSE))^2)))</f>
        <v>1000</v>
      </c>
      <c r="X47" s="10">
        <f>IF($G47=X$5,1000,IF(X$4=0,1000,SQRT((VLOOKUP($G47,Coords[],3,FALSE)-VLOOKUP(X$5,Coords[],3,FALSE))^2+(VLOOKUP($G47,Coords[],4,FALSE)-VLOOKUP(X$5,Coords[],4,FALSE))^2)))</f>
        <v>1000</v>
      </c>
      <c r="Y47" s="10">
        <f>IF($G47=Y$5,1000,IF(Y$4=0,1000,SQRT((VLOOKUP($G47,Coords[],3,FALSE)-VLOOKUP(Y$5,Coords[],3,FALSE))^2+(VLOOKUP($G47,Coords[],4,FALSE)-VLOOKUP(Y$5,Coords[],4,FALSE))^2)))</f>
        <v>1000</v>
      </c>
      <c r="Z47" s="10">
        <f>IF($G47=Z$5,1000,IF(Z$4=0,1000,SQRT((VLOOKUP($G47,Coords[],3,FALSE)-VLOOKUP(Z$5,Coords[],3,FALSE))^2+(VLOOKUP($G47,Coords[],4,FALSE)-VLOOKUP(Z$5,Coords[],4,FALSE))^2)))</f>
        <v>1000</v>
      </c>
      <c r="AA47" s="10">
        <f>IF($G47=AA$5,1000,IF(AA$4=0,1000,SQRT((VLOOKUP($G47,Coords[],3,FALSE)-VLOOKUP(AA$5,Coords[],3,FALSE))^2+(VLOOKUP($G47,Coords[],4,FALSE)-VLOOKUP(AA$5,Coords[],4,FALSE))^2)))</f>
        <v>1000</v>
      </c>
      <c r="AB47" s="10">
        <f>IF($G47=AB$5,1000,IF(AB$4=0,1000,SQRT((VLOOKUP($G47,Coords[],3,FALSE)-VLOOKUP(AB$5,Coords[],3,FALSE))^2+(VLOOKUP($G47,Coords[],4,FALSE)-VLOOKUP(AB$5,Coords[],4,FALSE))^2)))</f>
        <v>1000</v>
      </c>
      <c r="AC47" s="10">
        <f>IF($G47=AC$5,1000,IF(AC$4=0,1000,SQRT((VLOOKUP($G47,Coords[],3,FALSE)-VLOOKUP(AC$5,Coords[],3,FALSE))^2+(VLOOKUP($G47,Coords[],4,FALSE)-VLOOKUP(AC$5,Coords[],4,FALSE))^2)))</f>
        <v>1000</v>
      </c>
      <c r="AD47" s="10">
        <f>IF($G47=AD$5,1000,IF(AD$4=0,1000,SQRT((VLOOKUP($G47,Coords[],3,FALSE)-VLOOKUP(AD$5,Coords[],3,FALSE))^2+(VLOOKUP($G47,Coords[],4,FALSE)-VLOOKUP(AD$5,Coords[],4,FALSE))^2)))</f>
        <v>1000</v>
      </c>
      <c r="AE47" s="10">
        <f>IF($G47=AE$5,1000,IF(AE$4=0,1000,SQRT((VLOOKUP($G47,Coords[],3,FALSE)-VLOOKUP(AE$5,Coords[],3,FALSE))^2+(VLOOKUP($G47,Coords[],4,FALSE)-VLOOKUP(AE$5,Coords[],4,FALSE))^2)))</f>
        <v>1000</v>
      </c>
      <c r="AF47" s="10">
        <f>IF($G47=AF$5,1000,IF(AF$4=0,1000,SQRT((VLOOKUP($G47,Coords[],3,FALSE)-VLOOKUP(AF$5,Coords[],3,FALSE))^2+(VLOOKUP($G47,Coords[],4,FALSE)-VLOOKUP(AF$5,Coords[],4,FALSE))^2)))</f>
        <v>1000</v>
      </c>
      <c r="AG47" s="10">
        <f>IF($G47=AG$5,1000,IF(AG$4=0,1000,SQRT((VLOOKUP($G47,Coords[],3,FALSE)-VLOOKUP(AG$5,Coords[],3,FALSE))^2+(VLOOKUP($G47,Coords[],4,FALSE)-VLOOKUP(AG$5,Coords[],4,FALSE))^2)))</f>
        <v>1000</v>
      </c>
      <c r="AH47" s="10">
        <f>IF($G47=AH$5,1000,IF(AH$4=0,1000,SQRT((VLOOKUP($G47,Coords[],3,FALSE)-VLOOKUP(AH$5,Coords[],3,FALSE))^2+(VLOOKUP($G47,Coords[],4,FALSE)-VLOOKUP(AH$5,Coords[],4,FALSE))^2)))</f>
        <v>1000</v>
      </c>
      <c r="AI47" s="10">
        <f>IF($G47=AI$5,1000,IF(AI$4=0,1000,SQRT((VLOOKUP($G47,Coords[],3,FALSE)-VLOOKUP(AI$5,Coords[],3,FALSE))^2+(VLOOKUP($G47,Coords[],4,FALSE)-VLOOKUP(AI$5,Coords[],4,FALSE))^2)))</f>
        <v>1000</v>
      </c>
      <c r="AJ47" s="10">
        <f>IF($G47=AJ$5,1000,IF(AJ$4=0,1000,SQRT((VLOOKUP($G47,Coords[],3,FALSE)-VLOOKUP(AJ$5,Coords[],3,FALSE))^2+(VLOOKUP($G47,Coords[],4,FALSE)-VLOOKUP(AJ$5,Coords[],4,FALSE))^2)))</f>
        <v>1000</v>
      </c>
      <c r="AK47" s="10">
        <f>IF($G47=AK$5,1000,IF(AK$4=0,1000,SQRT((VLOOKUP($G47,Coords[],3,FALSE)-VLOOKUP(AK$5,Coords[],3,FALSE))^2+(VLOOKUP($G47,Coords[],4,FALSE)-VLOOKUP(AK$5,Coords[],4,FALSE))^2)))</f>
        <v>1000</v>
      </c>
      <c r="AL47" s="10">
        <f>IF($G47=AL$5,1000,IF(AL$4=0,1000,SQRT((VLOOKUP($G47,Coords[],3,FALSE)-VLOOKUP(AL$5,Coords[],3,FALSE))^2+(VLOOKUP($G47,Coords[],4,FALSE)-VLOOKUP(AL$5,Coords[],4,FALSE))^2)))</f>
        <v>1000</v>
      </c>
      <c r="AM47" s="10">
        <f>IF($G47=AM$5,1000,IF(AM$4=0,1000,SQRT((VLOOKUP($G47,Coords[],3,FALSE)-VLOOKUP(AM$5,Coords[],3,FALSE))^2+(VLOOKUP($G47,Coords[],4,FALSE)-VLOOKUP(AM$5,Coords[],4,FALSE))^2)))</f>
        <v>1000</v>
      </c>
      <c r="AN47" s="10">
        <f>IF($G47=AN$5,1000,IF(AN$4=0,1000,SQRT((VLOOKUP($G47,Coords[],3,FALSE)-VLOOKUP(AN$5,Coords[],3,FALSE))^2+(VLOOKUP($G47,Coords[],4,FALSE)-VLOOKUP(AN$5,Coords[],4,FALSE))^2)))</f>
        <v>1000</v>
      </c>
      <c r="AO47" s="10">
        <f>IF($G47=AO$5,1000,IF(AO$4=0,1000,SQRT((VLOOKUP($G47,Coords[],3,FALSE)-VLOOKUP(AO$5,Coords[],3,FALSE))^2+(VLOOKUP($G47,Coords[],4,FALSE)-VLOOKUP(AO$5,Coords[],4,FALSE))^2)))</f>
        <v>1000</v>
      </c>
      <c r="AP47" s="10">
        <f>IF($G47=AP$5,1000,IF(AP$4=0,1000,SQRT((VLOOKUP($G47,Coords[],3,FALSE)-VLOOKUP(AP$5,Coords[],3,FALSE))^2+(VLOOKUP($G47,Coords[],4,FALSE)-VLOOKUP(AP$5,Coords[],4,FALSE))^2)))</f>
        <v>1000</v>
      </c>
      <c r="AQ47" s="10">
        <f>IF($G47=AQ$5,1000,IF(AQ$4=0,1000,SQRT((VLOOKUP($G47,Coords[],3,FALSE)-VLOOKUP(AQ$5,Coords[],3,FALSE))^2+(VLOOKUP($G47,Coords[],4,FALSE)-VLOOKUP(AQ$5,Coords[],4,FALSE))^2)))</f>
        <v>1000</v>
      </c>
      <c r="AR47" s="10">
        <f>IF($G47=AR$5,1000,IF(AR$4=0,1000,SQRT((VLOOKUP($G47,Coords[],3,FALSE)-VLOOKUP(AR$5,Coords[],3,FALSE))^2+(VLOOKUP($G47,Coords[],4,FALSE)-VLOOKUP(AR$5,Coords[],4,FALSE))^2)))</f>
        <v>1000</v>
      </c>
      <c r="AS47" s="10">
        <f>IF($G47=AS$5,1000,IF(AS$4=0,1000,SQRT((VLOOKUP($G47,Coords[],3,FALSE)-VLOOKUP(AS$5,Coords[],3,FALSE))^2+(VLOOKUP($G47,Coords[],4,FALSE)-VLOOKUP(AS$5,Coords[],4,FALSE))^2)))</f>
        <v>1000</v>
      </c>
      <c r="AT47" s="10">
        <f>IF($G47=AT$5,1000,IF(AT$4=0,1000,SQRT((VLOOKUP($G47,Coords[],3,FALSE)-VLOOKUP(AT$5,Coords[],3,FALSE))^2+(VLOOKUP($G47,Coords[],4,FALSE)-VLOOKUP(AT$5,Coords[],4,FALSE))^2)))</f>
        <v>1000</v>
      </c>
      <c r="AU47" s="10">
        <f>IF($G47=AU$5,1000,IF(AU$4=0,1000,SQRT((VLOOKUP($G47,Coords[],3,FALSE)-VLOOKUP(AU$5,Coords[],3,FALSE))^2+(VLOOKUP($G47,Coords[],4,FALSE)-VLOOKUP(AU$5,Coords[],4,FALSE))^2)))</f>
        <v>1000</v>
      </c>
      <c r="AV47" s="10">
        <f>IF($G47=AV$5,1000,IF(AV$4=0,1000,SQRT((VLOOKUP($G47,Coords[],3,FALSE)-VLOOKUP(AV$5,Coords[],3,FALSE))^2+(VLOOKUP($G47,Coords[],4,FALSE)-VLOOKUP(AV$5,Coords[],4,FALSE))^2)))</f>
        <v>1000</v>
      </c>
      <c r="AW47" s="10">
        <f>IF($G47=AW$5,1000,IF(AW$4=0,1000,SQRT((VLOOKUP($G47,Coords[],3,FALSE)-VLOOKUP(AW$5,Coords[],3,FALSE))^2+(VLOOKUP($G47,Coords[],4,FALSE)-VLOOKUP(AW$5,Coords[],4,FALSE))^2)))</f>
        <v>1000</v>
      </c>
      <c r="AX47" s="10">
        <f>IF($G47=AX$5,1000,IF(AX$4=0,1000,SQRT((VLOOKUP($G47,Coords[],3,FALSE)-VLOOKUP(AX$5,Coords[],3,FALSE))^2+(VLOOKUP($G47,Coords[],4,FALSE)-VLOOKUP(AX$5,Coords[],4,FALSE))^2)))</f>
        <v>1000</v>
      </c>
      <c r="AY47" s="10">
        <f>IF($G47=AY$5,1000,IF(AY$4=0,1000,SQRT((VLOOKUP($G47,Coords[],3,FALSE)-VLOOKUP(AY$5,Coords[],3,FALSE))^2+(VLOOKUP($G47,Coords[],4,FALSE)-VLOOKUP(AY$5,Coords[],4,FALSE))^2)))</f>
        <v>1000</v>
      </c>
      <c r="AZ47" s="10">
        <f>IF($G47=AZ$5,1000,IF(AZ$4=0,1000,SQRT((VLOOKUP($G47,Coords[],3,FALSE)-VLOOKUP(AZ$5,Coords[],3,FALSE))^2+(VLOOKUP($G47,Coords[],4,FALSE)-VLOOKUP(AZ$5,Coords[],4,FALSE))^2)))</f>
        <v>1000</v>
      </c>
      <c r="BA47" s="10">
        <f>IF($G47=BA$5,1000,IF(BA$4=0,1000,SQRT((VLOOKUP($G47,Coords[],3,FALSE)-VLOOKUP(BA$5,Coords[],3,FALSE))^2+(VLOOKUP($G47,Coords[],4,FALSE)-VLOOKUP(BA$5,Coords[],4,FALSE))^2)))</f>
        <v>1000</v>
      </c>
      <c r="BB47" s="10">
        <f>IF($G47=BB$5,1000,IF(BB$4=0,1000,SQRT((VLOOKUP($G47,Coords[],3,FALSE)-VLOOKUP(BB$5,Coords[],3,FALSE))^2+(VLOOKUP($G47,Coords[],4,FALSE)-VLOOKUP(BB$5,Coords[],4,FALSE))^2)))</f>
        <v>1000</v>
      </c>
      <c r="BC47" s="10">
        <f>IF($G47=BC$5,1000,IF(BC$4=0,1000,SQRT((VLOOKUP($G47,Coords[],3,FALSE)-VLOOKUP(BC$5,Coords[],3,FALSE))^2+(VLOOKUP($G47,Coords[],4,FALSE)-VLOOKUP(BC$5,Coords[],4,FALSE))^2)))</f>
        <v>1000</v>
      </c>
      <c r="BD47" s="10">
        <f>IF($G47=BD$5,1000,IF(BD$4=0,1000,SQRT((VLOOKUP($G47,Coords[],3,FALSE)-VLOOKUP(BD$5,Coords[],3,FALSE))^2+(VLOOKUP($G47,Coords[],4,FALSE)-VLOOKUP(BD$5,Coords[],4,FALSE))^2)))</f>
        <v>1000</v>
      </c>
      <c r="BE47" s="10">
        <f>IF($G47=BE$5,1000,IF(BE$4=0,1000,SQRT((VLOOKUP($G47,Coords[],3,FALSE)-VLOOKUP(BE$5,Coords[],3,FALSE))^2+(VLOOKUP($G47,Coords[],4,FALSE)-VLOOKUP(BE$5,Coords[],4,FALSE))^2)))</f>
        <v>1000</v>
      </c>
      <c r="BF47" s="10">
        <f>IF($G47=BF$5,1000,IF(BF$4=0,1000,SQRT((VLOOKUP($G47,Coords[],3,FALSE)-VLOOKUP(BF$5,Coords[],3,FALSE))^2+(VLOOKUP($G47,Coords[],4,FALSE)-VLOOKUP(BF$5,Coords[],4,FALSE))^2)))</f>
        <v>1000</v>
      </c>
      <c r="BG47" s="10">
        <f>IF($G47=BG$5,1000,IF(BG$4=0,1000,SQRT((VLOOKUP($G47,Coords[],3,FALSE)-VLOOKUP(BG$5,Coords[],3,FALSE))^2+(VLOOKUP($G47,Coords[],4,FALSE)-VLOOKUP(BG$5,Coords[],4,FALSE))^2)))</f>
        <v>1000</v>
      </c>
      <c r="BH47" s="10">
        <f>IF($G47=BH$5,1000,IF(BH$4=0,1000,SQRT((VLOOKUP($G47,Coords[],3,FALSE)-VLOOKUP(BH$5,Coords[],3,FALSE))^2+(VLOOKUP($G47,Coords[],4,FALSE)-VLOOKUP(BH$5,Coords[],4,FALSE))^2)))</f>
        <v>1000</v>
      </c>
      <c r="BI47" s="10">
        <f>IF($G47=BI$5,1000,IF(BI$4=0,1000,SQRT((VLOOKUP($G47,Coords[],3,FALSE)-VLOOKUP(BI$5,Coords[],3,FALSE))^2+(VLOOKUP($G47,Coords[],4,FALSE)-VLOOKUP(BI$5,Coords[],4,FALSE))^2)))</f>
        <v>1000</v>
      </c>
      <c r="BJ47" s="10">
        <f>IF($G47=BJ$5,1000,IF(BJ$4=0,1000,SQRT((VLOOKUP($G47,Coords[],3,FALSE)-VLOOKUP(BJ$5,Coords[],3,FALSE))^2+(VLOOKUP($G47,Coords[],4,FALSE)-VLOOKUP(BJ$5,Coords[],4,FALSE))^2)))</f>
        <v>1000</v>
      </c>
      <c r="BK47" s="10">
        <f>IF($G47=BK$5,1000,IF(BK$4=0,1000,SQRT((VLOOKUP($G47,Coords[],3,FALSE)-VLOOKUP(BK$5,Coords[],3,FALSE))^2+(VLOOKUP($G47,Coords[],4,FALSE)-VLOOKUP(BK$5,Coords[],4,FALSE))^2)))</f>
        <v>1000</v>
      </c>
      <c r="BL47" s="10">
        <f>IF($G47=BL$5,1000,IF(BL$4=0,1000,SQRT((VLOOKUP($G47,Coords[],3,FALSE)-VLOOKUP(BL$5,Coords[],3,FALSE))^2+(VLOOKUP($G47,Coords[],4,FALSE)-VLOOKUP(BL$5,Coords[],4,FALSE))^2)))</f>
        <v>1000</v>
      </c>
      <c r="BM47" s="10">
        <f>IF($G47=BM$5,1000,IF(BM$4=0,1000,SQRT((VLOOKUP($G47,Coords[],3,FALSE)-VLOOKUP(BM$5,Coords[],3,FALSE))^2+(VLOOKUP($G47,Coords[],4,FALSE)-VLOOKUP(BM$5,Coords[],4,FALSE))^2)))</f>
        <v>1000</v>
      </c>
      <c r="BN47" s="10">
        <f>IF($G47=BN$5,1000,IF(BN$4=0,1000,SQRT((VLOOKUP($G47,Coords[],3,FALSE)-VLOOKUP(BN$5,Coords[],3,FALSE))^2+(VLOOKUP($G47,Coords[],4,FALSE)-VLOOKUP(BN$5,Coords[],4,FALSE))^2)))</f>
        <v>1000</v>
      </c>
      <c r="BO47" s="10">
        <f>IF($G47=BO$5,1000,IF(BO$4=0,1000,SQRT((VLOOKUP($G47,Coords[],3,FALSE)-VLOOKUP(BO$5,Coords[],3,FALSE))^2+(VLOOKUP($G47,Coords[],4,FALSE)-VLOOKUP(BO$5,Coords[],4,FALSE))^2)))</f>
        <v>1000</v>
      </c>
      <c r="BP47" s="10">
        <f>IF($G47=BP$5,1000,IF(BP$4=0,1000,SQRT((VLOOKUP($G47,Coords[],3,FALSE)-VLOOKUP(BP$5,Coords[],3,FALSE))^2+(VLOOKUP($G47,Coords[],4,FALSE)-VLOOKUP(BP$5,Coords[],4,FALSE))^2)))</f>
        <v>1000</v>
      </c>
      <c r="BQ47" s="10">
        <f>IF($G47=BQ$5,1000,IF(BQ$4=0,1000,SQRT((VLOOKUP($G47,Coords[],3,FALSE)-VLOOKUP(BQ$5,Coords[],3,FALSE))^2+(VLOOKUP($G47,Coords[],4,FALSE)-VLOOKUP(BQ$5,Coords[],4,FALSE))^2)))</f>
        <v>1000</v>
      </c>
      <c r="BR47" s="10">
        <f>IF($G47=BR$5,1000,IF(BR$4=0,1000,SQRT((VLOOKUP($G47,Coords[],3,FALSE)-VLOOKUP(BR$5,Coords[],3,FALSE))^2+(VLOOKUP($G47,Coords[],4,FALSE)-VLOOKUP(BR$5,Coords[],4,FALSE))^2)))</f>
        <v>1000</v>
      </c>
      <c r="BS47" s="10">
        <f>IF($G47=BS$5,1000,IF(BS$4=0,1000,SQRT((VLOOKUP($G47,Coords[],3,FALSE)-VLOOKUP(BS$5,Coords[],3,FALSE))^2+(VLOOKUP($G47,Coords[],4,FALSE)-VLOOKUP(BS$5,Coords[],4,FALSE))^2)))</f>
        <v>1000</v>
      </c>
      <c r="BT47" s="10">
        <f>IF($G47=BT$5,1000,IF(BT$4=0,1000,SQRT((VLOOKUP($G47,Coords[],3,FALSE)-VLOOKUP(BT$5,Coords[],3,FALSE))^2+(VLOOKUP($G47,Coords[],4,FALSE)-VLOOKUP(BT$5,Coords[],4,FALSE))^2)))</f>
        <v>1000</v>
      </c>
      <c r="BU47" s="10">
        <f>IF($G47=BU$5,1000,IF(BU$4=0,1000,SQRT((VLOOKUP($G47,Coords[],3,FALSE)-VLOOKUP(BU$5,Coords[],3,FALSE))^2+(VLOOKUP($G47,Coords[],4,FALSE)-VLOOKUP(BU$5,Coords[],4,FALSE))^2)))</f>
        <v>1000</v>
      </c>
      <c r="BV47" s="10">
        <f>IF($G47=BV$5,1000,IF(BV$4=0,1000,SQRT((VLOOKUP($G47,Coords[],3,FALSE)-VLOOKUP(BV$5,Coords[],3,FALSE))^2+(VLOOKUP($G47,Coords[],4,FALSE)-VLOOKUP(BV$5,Coords[],4,FALSE))^2)))</f>
        <v>1000</v>
      </c>
      <c r="BW47" s="10">
        <f>IF($G47=BW$5,1000,IF(BW$4=0,1000,SQRT((VLOOKUP($G47,Coords[],3,FALSE)-VLOOKUP(BW$5,Coords[],3,FALSE))^2+(VLOOKUP($G47,Coords[],4,FALSE)-VLOOKUP(BW$5,Coords[],4,FALSE))^2)))</f>
        <v>1000</v>
      </c>
      <c r="BX47" s="10">
        <f>IF($G47=BX$5,1000,IF(BX$4=0,1000,SQRT((VLOOKUP($G47,Coords[],3,FALSE)-VLOOKUP(BX$5,Coords[],3,FALSE))^2+(VLOOKUP($G47,Coords[],4,FALSE)-VLOOKUP(BX$5,Coords[],4,FALSE))^2)))</f>
        <v>1000</v>
      </c>
      <c r="BY47" s="10">
        <f>IF($G47=BY$5,1000,IF(BY$4=0,1000,SQRT((VLOOKUP($G47,Coords[],3,FALSE)-VLOOKUP(BY$5,Coords[],3,FALSE))^2+(VLOOKUP($G47,Coords[],4,FALSE)-VLOOKUP(BY$5,Coords[],4,FALSE))^2)))</f>
        <v>1000</v>
      </c>
      <c r="BZ47" s="10">
        <f>IF($G47=BZ$5,1000,IF(BZ$4=0,1000,SQRT((VLOOKUP($G47,Coords[],3,FALSE)-VLOOKUP(BZ$5,Coords[],3,FALSE))^2+(VLOOKUP($G47,Coords[],4,FALSE)-VLOOKUP(BZ$5,Coords[],4,FALSE))^2)))</f>
        <v>1000</v>
      </c>
      <c r="CA47" s="10">
        <f>IF($G47=CA$5,1000,IF(CA$4=0,1000,SQRT((VLOOKUP($G47,Coords[],3,FALSE)-VLOOKUP(CA$5,Coords[],3,FALSE))^2+(VLOOKUP($G47,Coords[],4,FALSE)-VLOOKUP(CA$5,Coords[],4,FALSE))^2)))</f>
        <v>1000</v>
      </c>
      <c r="CB47" s="10">
        <f>IF($G47=CB$5,1000,IF(CB$4=0,1000,SQRT((VLOOKUP($G47,Coords[],3,FALSE)-VLOOKUP(CB$5,Coords[],3,FALSE))^2+(VLOOKUP($G47,Coords[],4,FALSE)-VLOOKUP(CB$5,Coords[],4,FALSE))^2)))</f>
        <v>1000</v>
      </c>
      <c r="CC47" s="10">
        <f>IF($G47=CC$5,1000,IF(CC$4=0,1000,SQRT((VLOOKUP($G47,Coords[],3,FALSE)-VLOOKUP(CC$5,Coords[],3,FALSE))^2+(VLOOKUP($G47,Coords[],4,FALSE)-VLOOKUP(CC$5,Coords[],4,FALSE))^2)))</f>
        <v>1000</v>
      </c>
      <c r="CD47" s="10">
        <f>IF($G47=CD$5,1000,IF(CD$4=0,1000,SQRT((VLOOKUP($G47,Coords[],3,FALSE)-VLOOKUP(CD$5,Coords[],3,FALSE))^2+(VLOOKUP($G47,Coords[],4,FALSE)-VLOOKUP(CD$5,Coords[],4,FALSE))^2)))</f>
        <v>1000</v>
      </c>
      <c r="CE47" s="10">
        <f>IF($G47=CE$5,1000,IF(CE$4=0,1000,SQRT((VLOOKUP($G47,Coords[],3,FALSE)-VLOOKUP(CE$5,Coords[],3,FALSE))^2+(VLOOKUP($G47,Coords[],4,FALSE)-VLOOKUP(CE$5,Coords[],4,FALSE))^2)))</f>
        <v>1000</v>
      </c>
      <c r="CF47" s="4">
        <v>42</v>
      </c>
      <c r="CH47" s="5">
        <f>IF(E47=1,0,VLOOKUP($G47,$G$6:$CE$82,HLOOKUP(MIN(H47:CE47),$H47:$CE$82,((COUNT($G$6:$G$81)+2)-$G47),FALSE)+1,FALSE)*B47)</f>
        <v>0</v>
      </c>
      <c r="CI47" s="9">
        <f>VLOOKUP($G47,$G$6:$CE$82,HLOOKUP(MIN(H47:CE47),$H47:$CE$82,((COUNT($G$6:$G$81)+2)-$G47),FALSE)+1,FALSE)</f>
        <v>1000</v>
      </c>
      <c r="CJ47" s="7">
        <f>HLOOKUP(MIN(H47:CE47),$H47:$CE$82,((COUNT($G$6:$G$81)+2)-$G47),FALSE)</f>
        <v>1</v>
      </c>
      <c r="CK47">
        <f>CI47*Coords[[#This Row],[Demand]]</f>
        <v>0</v>
      </c>
    </row>
    <row r="48" spans="1:89" x14ac:dyDescent="0.25">
      <c r="A48" s="8">
        <v>43</v>
      </c>
      <c r="B48" s="3"/>
      <c r="C48" s="3"/>
      <c r="D48" s="3"/>
      <c r="E48" s="3"/>
      <c r="G48" s="4">
        <v>43</v>
      </c>
      <c r="H48" s="10">
        <f>IF($G48=H$5,1000,IF(H$4=0,1000,SQRT((VLOOKUP($G48,Coords[],3,FALSE)-VLOOKUP(H$5,Coords[],3,FALSE))^2+(VLOOKUP($G48,Coords[],4,FALSE)-VLOOKUP(H$5,Coords[],4,FALSE))^2)))</f>
        <v>1000</v>
      </c>
      <c r="I48" s="10">
        <f>IF($G48=I$5,1000,IF(I$4=0,1000,SQRT((VLOOKUP($G48,Coords[],3,FALSE)-VLOOKUP(I$5,Coords[],3,FALSE))^2+(VLOOKUP($G48,Coords[],4,FALSE)-VLOOKUP(I$5,Coords[],4,FALSE))^2)))</f>
        <v>1000</v>
      </c>
      <c r="J48" s="10">
        <f>IF($G48=J$5,1000,IF(J$4=0,1000,SQRT((VLOOKUP($G48,Coords[],3,FALSE)-VLOOKUP(J$5,Coords[],3,FALSE))^2+(VLOOKUP($G48,Coords[],4,FALSE)-VLOOKUP(J$5,Coords[],4,FALSE))^2)))</f>
        <v>1000</v>
      </c>
      <c r="K48" s="10">
        <f>IF($G48=K$5,1000,IF(K$4=0,1000,SQRT((VLOOKUP($G48,Coords[],3,FALSE)-VLOOKUP(K$5,Coords[],3,FALSE))^2+(VLOOKUP($G48,Coords[],4,FALSE)-VLOOKUP(K$5,Coords[],4,FALSE))^2)))</f>
        <v>1000</v>
      </c>
      <c r="L48" s="10">
        <f>IF($G48=L$5,1000,IF(L$4=0,1000,SQRT((VLOOKUP($G48,Coords[],3,FALSE)-VLOOKUP(L$5,Coords[],3,FALSE))^2+(VLOOKUP($G48,Coords[],4,FALSE)-VLOOKUP(L$5,Coords[],4,FALSE))^2)))</f>
        <v>1000</v>
      </c>
      <c r="M48" s="10">
        <f>IF($G48=M$5,1000,IF(M$4=0,1000,SQRT((VLOOKUP($G48,Coords[],3,FALSE)-VLOOKUP(M$5,Coords[],3,FALSE))^2+(VLOOKUP($G48,Coords[],4,FALSE)-VLOOKUP(M$5,Coords[],4,FALSE))^2)))</f>
        <v>1000</v>
      </c>
      <c r="N48" s="10">
        <f>IF($G48=N$5,1000,IF(N$4=0,1000,SQRT((VLOOKUP($G48,Coords[],3,FALSE)-VLOOKUP(N$5,Coords[],3,FALSE))^2+(VLOOKUP($G48,Coords[],4,FALSE)-VLOOKUP(N$5,Coords[],4,FALSE))^2)))</f>
        <v>1000</v>
      </c>
      <c r="O48" s="10">
        <f>IF($G48=O$5,1000,IF(O$4=0,1000,SQRT((VLOOKUP($G48,Coords[],3,FALSE)-VLOOKUP(O$5,Coords[],3,FALSE))^2+(VLOOKUP($G48,Coords[],4,FALSE)-VLOOKUP(O$5,Coords[],4,FALSE))^2)))</f>
        <v>1000</v>
      </c>
      <c r="P48" s="10">
        <f>IF($G48=P$5,1000,IF(P$4=0,1000,SQRT((VLOOKUP($G48,Coords[],3,FALSE)-VLOOKUP(P$5,Coords[],3,FALSE))^2+(VLOOKUP($G48,Coords[],4,FALSE)-VLOOKUP(P$5,Coords[],4,FALSE))^2)))</f>
        <v>1000</v>
      </c>
      <c r="Q48" s="10">
        <f>IF($G48=Q$5,1000,IF(Q$4=0,1000,SQRT((VLOOKUP($G48,Coords[],3,FALSE)-VLOOKUP(Q$5,Coords[],3,FALSE))^2+(VLOOKUP($G48,Coords[],4,FALSE)-VLOOKUP(Q$5,Coords[],4,FALSE))^2)))</f>
        <v>1000</v>
      </c>
      <c r="R48" s="10">
        <f>IF($G48=R$5,1000,IF(R$4=0,1000,SQRT((VLOOKUP($G48,Coords[],3,FALSE)-VLOOKUP(R$5,Coords[],3,FALSE))^2+(VLOOKUP($G48,Coords[],4,FALSE)-VLOOKUP(R$5,Coords[],4,FALSE))^2)))</f>
        <v>1000</v>
      </c>
      <c r="S48" s="10">
        <f>IF($G48=S$5,1000,IF(S$4=0,1000,SQRT((VLOOKUP($G48,Coords[],3,FALSE)-VLOOKUP(S$5,Coords[],3,FALSE))^2+(VLOOKUP($G48,Coords[],4,FALSE)-VLOOKUP(S$5,Coords[],4,FALSE))^2)))</f>
        <v>1000</v>
      </c>
      <c r="T48" s="10">
        <f>IF($G48=T$5,1000,IF(T$4=0,1000,SQRT((VLOOKUP($G48,Coords[],3,FALSE)-VLOOKUP(T$5,Coords[],3,FALSE))^2+(VLOOKUP($G48,Coords[],4,FALSE)-VLOOKUP(T$5,Coords[],4,FALSE))^2)))</f>
        <v>1000</v>
      </c>
      <c r="U48" s="10">
        <f>IF($G48=U$5,1000,IF(U$4=0,1000,SQRT((VLOOKUP($G48,Coords[],3,FALSE)-VLOOKUP(U$5,Coords[],3,FALSE))^2+(VLOOKUP($G48,Coords[],4,FALSE)-VLOOKUP(U$5,Coords[],4,FALSE))^2)))</f>
        <v>1000</v>
      </c>
      <c r="V48" s="10">
        <f>IF($G48=V$5,1000,IF(V$4=0,1000,SQRT((VLOOKUP($G48,Coords[],3,FALSE)-VLOOKUP(V$5,Coords[],3,FALSE))^2+(VLOOKUP($G48,Coords[],4,FALSE)-VLOOKUP(V$5,Coords[],4,FALSE))^2)))</f>
        <v>1000</v>
      </c>
      <c r="W48" s="10">
        <f>IF($G48=W$5,1000,IF(W$4=0,1000,SQRT((VLOOKUP($G48,Coords[],3,FALSE)-VLOOKUP(W$5,Coords[],3,FALSE))^2+(VLOOKUP($G48,Coords[],4,FALSE)-VLOOKUP(W$5,Coords[],4,FALSE))^2)))</f>
        <v>1000</v>
      </c>
      <c r="X48" s="10">
        <f>IF($G48=X$5,1000,IF(X$4=0,1000,SQRT((VLOOKUP($G48,Coords[],3,FALSE)-VLOOKUP(X$5,Coords[],3,FALSE))^2+(VLOOKUP($G48,Coords[],4,FALSE)-VLOOKUP(X$5,Coords[],4,FALSE))^2)))</f>
        <v>1000</v>
      </c>
      <c r="Y48" s="10">
        <f>IF($G48=Y$5,1000,IF(Y$4=0,1000,SQRT((VLOOKUP($G48,Coords[],3,FALSE)-VLOOKUP(Y$5,Coords[],3,FALSE))^2+(VLOOKUP($G48,Coords[],4,FALSE)-VLOOKUP(Y$5,Coords[],4,FALSE))^2)))</f>
        <v>1000</v>
      </c>
      <c r="Z48" s="10">
        <f>IF($G48=Z$5,1000,IF(Z$4=0,1000,SQRT((VLOOKUP($G48,Coords[],3,FALSE)-VLOOKUP(Z$5,Coords[],3,FALSE))^2+(VLOOKUP($G48,Coords[],4,FALSE)-VLOOKUP(Z$5,Coords[],4,FALSE))^2)))</f>
        <v>1000</v>
      </c>
      <c r="AA48" s="10">
        <f>IF($G48=AA$5,1000,IF(AA$4=0,1000,SQRT((VLOOKUP($G48,Coords[],3,FALSE)-VLOOKUP(AA$5,Coords[],3,FALSE))^2+(VLOOKUP($G48,Coords[],4,FALSE)-VLOOKUP(AA$5,Coords[],4,FALSE))^2)))</f>
        <v>1000</v>
      </c>
      <c r="AB48" s="10">
        <f>IF($G48=AB$5,1000,IF(AB$4=0,1000,SQRT((VLOOKUP($G48,Coords[],3,FALSE)-VLOOKUP(AB$5,Coords[],3,FALSE))^2+(VLOOKUP($G48,Coords[],4,FALSE)-VLOOKUP(AB$5,Coords[],4,FALSE))^2)))</f>
        <v>1000</v>
      </c>
      <c r="AC48" s="10">
        <f>IF($G48=AC$5,1000,IF(AC$4=0,1000,SQRT((VLOOKUP($G48,Coords[],3,FALSE)-VLOOKUP(AC$5,Coords[],3,FALSE))^2+(VLOOKUP($G48,Coords[],4,FALSE)-VLOOKUP(AC$5,Coords[],4,FALSE))^2)))</f>
        <v>1000</v>
      </c>
      <c r="AD48" s="10">
        <f>IF($G48=AD$5,1000,IF(AD$4=0,1000,SQRT((VLOOKUP($G48,Coords[],3,FALSE)-VLOOKUP(AD$5,Coords[],3,FALSE))^2+(VLOOKUP($G48,Coords[],4,FALSE)-VLOOKUP(AD$5,Coords[],4,FALSE))^2)))</f>
        <v>1000</v>
      </c>
      <c r="AE48" s="10">
        <f>IF($G48=AE$5,1000,IF(AE$4=0,1000,SQRT((VLOOKUP($G48,Coords[],3,FALSE)-VLOOKUP(AE$5,Coords[],3,FALSE))^2+(VLOOKUP($G48,Coords[],4,FALSE)-VLOOKUP(AE$5,Coords[],4,FALSE))^2)))</f>
        <v>1000</v>
      </c>
      <c r="AF48" s="10">
        <f>IF($G48=AF$5,1000,IF(AF$4=0,1000,SQRT((VLOOKUP($G48,Coords[],3,FALSE)-VLOOKUP(AF$5,Coords[],3,FALSE))^2+(VLOOKUP($G48,Coords[],4,FALSE)-VLOOKUP(AF$5,Coords[],4,FALSE))^2)))</f>
        <v>1000</v>
      </c>
      <c r="AG48" s="10">
        <f>IF($G48=AG$5,1000,IF(AG$4=0,1000,SQRT((VLOOKUP($G48,Coords[],3,FALSE)-VLOOKUP(AG$5,Coords[],3,FALSE))^2+(VLOOKUP($G48,Coords[],4,FALSE)-VLOOKUP(AG$5,Coords[],4,FALSE))^2)))</f>
        <v>1000</v>
      </c>
      <c r="AH48" s="10">
        <f>IF($G48=AH$5,1000,IF(AH$4=0,1000,SQRT((VLOOKUP($G48,Coords[],3,FALSE)-VLOOKUP(AH$5,Coords[],3,FALSE))^2+(VLOOKUP($G48,Coords[],4,FALSE)-VLOOKUP(AH$5,Coords[],4,FALSE))^2)))</f>
        <v>1000</v>
      </c>
      <c r="AI48" s="10">
        <f>IF($G48=AI$5,1000,IF(AI$4=0,1000,SQRT((VLOOKUP($G48,Coords[],3,FALSE)-VLOOKUP(AI$5,Coords[],3,FALSE))^2+(VLOOKUP($G48,Coords[],4,FALSE)-VLOOKUP(AI$5,Coords[],4,FALSE))^2)))</f>
        <v>1000</v>
      </c>
      <c r="AJ48" s="10">
        <f>IF($G48=AJ$5,1000,IF(AJ$4=0,1000,SQRT((VLOOKUP($G48,Coords[],3,FALSE)-VLOOKUP(AJ$5,Coords[],3,FALSE))^2+(VLOOKUP($G48,Coords[],4,FALSE)-VLOOKUP(AJ$5,Coords[],4,FALSE))^2)))</f>
        <v>1000</v>
      </c>
      <c r="AK48" s="10">
        <f>IF($G48=AK$5,1000,IF(AK$4=0,1000,SQRT((VLOOKUP($G48,Coords[],3,FALSE)-VLOOKUP(AK$5,Coords[],3,FALSE))^2+(VLOOKUP($G48,Coords[],4,FALSE)-VLOOKUP(AK$5,Coords[],4,FALSE))^2)))</f>
        <v>1000</v>
      </c>
      <c r="AL48" s="10">
        <f>IF($G48=AL$5,1000,IF(AL$4=0,1000,SQRT((VLOOKUP($G48,Coords[],3,FALSE)-VLOOKUP(AL$5,Coords[],3,FALSE))^2+(VLOOKUP($G48,Coords[],4,FALSE)-VLOOKUP(AL$5,Coords[],4,FALSE))^2)))</f>
        <v>1000</v>
      </c>
      <c r="AM48" s="10">
        <f>IF($G48=AM$5,1000,IF(AM$4=0,1000,SQRT((VLOOKUP($G48,Coords[],3,FALSE)-VLOOKUP(AM$5,Coords[],3,FALSE))^2+(VLOOKUP($G48,Coords[],4,FALSE)-VLOOKUP(AM$5,Coords[],4,FALSE))^2)))</f>
        <v>1000</v>
      </c>
      <c r="AN48" s="10">
        <f>IF($G48=AN$5,1000,IF(AN$4=0,1000,SQRT((VLOOKUP($G48,Coords[],3,FALSE)-VLOOKUP(AN$5,Coords[],3,FALSE))^2+(VLOOKUP($G48,Coords[],4,FALSE)-VLOOKUP(AN$5,Coords[],4,FALSE))^2)))</f>
        <v>1000</v>
      </c>
      <c r="AO48" s="10">
        <f>IF($G48=AO$5,1000,IF(AO$4=0,1000,SQRT((VLOOKUP($G48,Coords[],3,FALSE)-VLOOKUP(AO$5,Coords[],3,FALSE))^2+(VLOOKUP($G48,Coords[],4,FALSE)-VLOOKUP(AO$5,Coords[],4,FALSE))^2)))</f>
        <v>1000</v>
      </c>
      <c r="AP48" s="10">
        <f>IF($G48=AP$5,1000,IF(AP$4=0,1000,SQRT((VLOOKUP($G48,Coords[],3,FALSE)-VLOOKUP(AP$5,Coords[],3,FALSE))^2+(VLOOKUP($G48,Coords[],4,FALSE)-VLOOKUP(AP$5,Coords[],4,FALSE))^2)))</f>
        <v>1000</v>
      </c>
      <c r="AQ48" s="10">
        <f>IF($G48=AQ$5,1000,IF(AQ$4=0,1000,SQRT((VLOOKUP($G48,Coords[],3,FALSE)-VLOOKUP(AQ$5,Coords[],3,FALSE))^2+(VLOOKUP($G48,Coords[],4,FALSE)-VLOOKUP(AQ$5,Coords[],4,FALSE))^2)))</f>
        <v>1000</v>
      </c>
      <c r="AR48" s="10">
        <f>IF($G48=AR$5,1000,IF(AR$4=0,1000,SQRT((VLOOKUP($G48,Coords[],3,FALSE)-VLOOKUP(AR$5,Coords[],3,FALSE))^2+(VLOOKUP($G48,Coords[],4,FALSE)-VLOOKUP(AR$5,Coords[],4,FALSE))^2)))</f>
        <v>1000</v>
      </c>
      <c r="AS48" s="10">
        <f>IF($G48=AS$5,1000,IF(AS$4=0,1000,SQRT((VLOOKUP($G48,Coords[],3,FALSE)-VLOOKUP(AS$5,Coords[],3,FALSE))^2+(VLOOKUP($G48,Coords[],4,FALSE)-VLOOKUP(AS$5,Coords[],4,FALSE))^2)))</f>
        <v>1000</v>
      </c>
      <c r="AT48" s="10">
        <f>IF($G48=AT$5,1000,IF(AT$4=0,1000,SQRT((VLOOKUP($G48,Coords[],3,FALSE)-VLOOKUP(AT$5,Coords[],3,FALSE))^2+(VLOOKUP($G48,Coords[],4,FALSE)-VLOOKUP(AT$5,Coords[],4,FALSE))^2)))</f>
        <v>1000</v>
      </c>
      <c r="AU48" s="10">
        <f>IF($G48=AU$5,1000,IF(AU$4=0,1000,SQRT((VLOOKUP($G48,Coords[],3,FALSE)-VLOOKUP(AU$5,Coords[],3,FALSE))^2+(VLOOKUP($G48,Coords[],4,FALSE)-VLOOKUP(AU$5,Coords[],4,FALSE))^2)))</f>
        <v>1000</v>
      </c>
      <c r="AV48" s="10">
        <f>IF($G48=AV$5,1000,IF(AV$4=0,1000,SQRT((VLOOKUP($G48,Coords[],3,FALSE)-VLOOKUP(AV$5,Coords[],3,FALSE))^2+(VLOOKUP($G48,Coords[],4,FALSE)-VLOOKUP(AV$5,Coords[],4,FALSE))^2)))</f>
        <v>1000</v>
      </c>
      <c r="AW48" s="10">
        <f>IF($G48=AW$5,1000,IF(AW$4=0,1000,SQRT((VLOOKUP($G48,Coords[],3,FALSE)-VLOOKUP(AW$5,Coords[],3,FALSE))^2+(VLOOKUP($G48,Coords[],4,FALSE)-VLOOKUP(AW$5,Coords[],4,FALSE))^2)))</f>
        <v>1000</v>
      </c>
      <c r="AX48" s="10">
        <f>IF($G48=AX$5,1000,IF(AX$4=0,1000,SQRT((VLOOKUP($G48,Coords[],3,FALSE)-VLOOKUP(AX$5,Coords[],3,FALSE))^2+(VLOOKUP($G48,Coords[],4,FALSE)-VLOOKUP(AX$5,Coords[],4,FALSE))^2)))</f>
        <v>1000</v>
      </c>
      <c r="AY48" s="10">
        <f>IF($G48=AY$5,1000,IF(AY$4=0,1000,SQRT((VLOOKUP($G48,Coords[],3,FALSE)-VLOOKUP(AY$5,Coords[],3,FALSE))^2+(VLOOKUP($G48,Coords[],4,FALSE)-VLOOKUP(AY$5,Coords[],4,FALSE))^2)))</f>
        <v>1000</v>
      </c>
      <c r="AZ48" s="10">
        <f>IF($G48=AZ$5,1000,IF(AZ$4=0,1000,SQRT((VLOOKUP($G48,Coords[],3,FALSE)-VLOOKUP(AZ$5,Coords[],3,FALSE))^2+(VLOOKUP($G48,Coords[],4,FALSE)-VLOOKUP(AZ$5,Coords[],4,FALSE))^2)))</f>
        <v>1000</v>
      </c>
      <c r="BA48" s="10">
        <f>IF($G48=BA$5,1000,IF(BA$4=0,1000,SQRT((VLOOKUP($G48,Coords[],3,FALSE)-VLOOKUP(BA$5,Coords[],3,FALSE))^2+(VLOOKUP($G48,Coords[],4,FALSE)-VLOOKUP(BA$5,Coords[],4,FALSE))^2)))</f>
        <v>1000</v>
      </c>
      <c r="BB48" s="10">
        <f>IF($G48=BB$5,1000,IF(BB$4=0,1000,SQRT((VLOOKUP($G48,Coords[],3,FALSE)-VLOOKUP(BB$5,Coords[],3,FALSE))^2+(VLOOKUP($G48,Coords[],4,FALSE)-VLOOKUP(BB$5,Coords[],4,FALSE))^2)))</f>
        <v>1000</v>
      </c>
      <c r="BC48" s="10">
        <f>IF($G48=BC$5,1000,IF(BC$4=0,1000,SQRT((VLOOKUP($G48,Coords[],3,FALSE)-VLOOKUP(BC$5,Coords[],3,FALSE))^2+(VLOOKUP($G48,Coords[],4,FALSE)-VLOOKUP(BC$5,Coords[],4,FALSE))^2)))</f>
        <v>1000</v>
      </c>
      <c r="BD48" s="10">
        <f>IF($G48=BD$5,1000,IF(BD$4=0,1000,SQRT((VLOOKUP($G48,Coords[],3,FALSE)-VLOOKUP(BD$5,Coords[],3,FALSE))^2+(VLOOKUP($G48,Coords[],4,FALSE)-VLOOKUP(BD$5,Coords[],4,FALSE))^2)))</f>
        <v>1000</v>
      </c>
      <c r="BE48" s="10">
        <f>IF($G48=BE$5,1000,IF(BE$4=0,1000,SQRT((VLOOKUP($G48,Coords[],3,FALSE)-VLOOKUP(BE$5,Coords[],3,FALSE))^2+(VLOOKUP($G48,Coords[],4,FALSE)-VLOOKUP(BE$5,Coords[],4,FALSE))^2)))</f>
        <v>1000</v>
      </c>
      <c r="BF48" s="10">
        <f>IF($G48=BF$5,1000,IF(BF$4=0,1000,SQRT((VLOOKUP($G48,Coords[],3,FALSE)-VLOOKUP(BF$5,Coords[],3,FALSE))^2+(VLOOKUP($G48,Coords[],4,FALSE)-VLOOKUP(BF$5,Coords[],4,FALSE))^2)))</f>
        <v>1000</v>
      </c>
      <c r="BG48" s="10">
        <f>IF($G48=BG$5,1000,IF(BG$4=0,1000,SQRT((VLOOKUP($G48,Coords[],3,FALSE)-VLOOKUP(BG$5,Coords[],3,FALSE))^2+(VLOOKUP($G48,Coords[],4,FALSE)-VLOOKUP(BG$5,Coords[],4,FALSE))^2)))</f>
        <v>1000</v>
      </c>
      <c r="BH48" s="10">
        <f>IF($G48=BH$5,1000,IF(BH$4=0,1000,SQRT((VLOOKUP($G48,Coords[],3,FALSE)-VLOOKUP(BH$5,Coords[],3,FALSE))^2+(VLOOKUP($G48,Coords[],4,FALSE)-VLOOKUP(BH$5,Coords[],4,FALSE))^2)))</f>
        <v>1000</v>
      </c>
      <c r="BI48" s="10">
        <f>IF($G48=BI$5,1000,IF(BI$4=0,1000,SQRT((VLOOKUP($G48,Coords[],3,FALSE)-VLOOKUP(BI$5,Coords[],3,FALSE))^2+(VLOOKUP($G48,Coords[],4,FALSE)-VLOOKUP(BI$5,Coords[],4,FALSE))^2)))</f>
        <v>1000</v>
      </c>
      <c r="BJ48" s="10">
        <f>IF($G48=BJ$5,1000,IF(BJ$4=0,1000,SQRT((VLOOKUP($G48,Coords[],3,FALSE)-VLOOKUP(BJ$5,Coords[],3,FALSE))^2+(VLOOKUP($G48,Coords[],4,FALSE)-VLOOKUP(BJ$5,Coords[],4,FALSE))^2)))</f>
        <v>1000</v>
      </c>
      <c r="BK48" s="10">
        <f>IF($G48=BK$5,1000,IF(BK$4=0,1000,SQRT((VLOOKUP($G48,Coords[],3,FALSE)-VLOOKUP(BK$5,Coords[],3,FALSE))^2+(VLOOKUP($G48,Coords[],4,FALSE)-VLOOKUP(BK$5,Coords[],4,FALSE))^2)))</f>
        <v>1000</v>
      </c>
      <c r="BL48" s="10">
        <f>IF($G48=BL$5,1000,IF(BL$4=0,1000,SQRT((VLOOKUP($G48,Coords[],3,FALSE)-VLOOKUP(BL$5,Coords[],3,FALSE))^2+(VLOOKUP($G48,Coords[],4,FALSE)-VLOOKUP(BL$5,Coords[],4,FALSE))^2)))</f>
        <v>1000</v>
      </c>
      <c r="BM48" s="10">
        <f>IF($G48=BM$5,1000,IF(BM$4=0,1000,SQRT((VLOOKUP($G48,Coords[],3,FALSE)-VLOOKUP(BM$5,Coords[],3,FALSE))^2+(VLOOKUP($G48,Coords[],4,FALSE)-VLOOKUP(BM$5,Coords[],4,FALSE))^2)))</f>
        <v>1000</v>
      </c>
      <c r="BN48" s="10">
        <f>IF($G48=BN$5,1000,IF(BN$4=0,1000,SQRT((VLOOKUP($G48,Coords[],3,FALSE)-VLOOKUP(BN$5,Coords[],3,FALSE))^2+(VLOOKUP($G48,Coords[],4,FALSE)-VLOOKUP(BN$5,Coords[],4,FALSE))^2)))</f>
        <v>1000</v>
      </c>
      <c r="BO48" s="10">
        <f>IF($G48=BO$5,1000,IF(BO$4=0,1000,SQRT((VLOOKUP($G48,Coords[],3,FALSE)-VLOOKUP(BO$5,Coords[],3,FALSE))^2+(VLOOKUP($G48,Coords[],4,FALSE)-VLOOKUP(BO$5,Coords[],4,FALSE))^2)))</f>
        <v>1000</v>
      </c>
      <c r="BP48" s="10">
        <f>IF($G48=BP$5,1000,IF(BP$4=0,1000,SQRT((VLOOKUP($G48,Coords[],3,FALSE)-VLOOKUP(BP$5,Coords[],3,FALSE))^2+(VLOOKUP($G48,Coords[],4,FALSE)-VLOOKUP(BP$5,Coords[],4,FALSE))^2)))</f>
        <v>1000</v>
      </c>
      <c r="BQ48" s="10">
        <f>IF($G48=BQ$5,1000,IF(BQ$4=0,1000,SQRT((VLOOKUP($G48,Coords[],3,FALSE)-VLOOKUP(BQ$5,Coords[],3,FALSE))^2+(VLOOKUP($G48,Coords[],4,FALSE)-VLOOKUP(BQ$5,Coords[],4,FALSE))^2)))</f>
        <v>1000</v>
      </c>
      <c r="BR48" s="10">
        <f>IF($G48=BR$5,1000,IF(BR$4=0,1000,SQRT((VLOOKUP($G48,Coords[],3,FALSE)-VLOOKUP(BR$5,Coords[],3,FALSE))^2+(VLOOKUP($G48,Coords[],4,FALSE)-VLOOKUP(BR$5,Coords[],4,FALSE))^2)))</f>
        <v>1000</v>
      </c>
      <c r="BS48" s="10">
        <f>IF($G48=BS$5,1000,IF(BS$4=0,1000,SQRT((VLOOKUP($G48,Coords[],3,FALSE)-VLOOKUP(BS$5,Coords[],3,FALSE))^2+(VLOOKUP($G48,Coords[],4,FALSE)-VLOOKUP(BS$5,Coords[],4,FALSE))^2)))</f>
        <v>1000</v>
      </c>
      <c r="BT48" s="10">
        <f>IF($G48=BT$5,1000,IF(BT$4=0,1000,SQRT((VLOOKUP($G48,Coords[],3,FALSE)-VLOOKUP(BT$5,Coords[],3,FALSE))^2+(VLOOKUP($G48,Coords[],4,FALSE)-VLOOKUP(BT$5,Coords[],4,FALSE))^2)))</f>
        <v>1000</v>
      </c>
      <c r="BU48" s="10">
        <f>IF($G48=BU$5,1000,IF(BU$4=0,1000,SQRT((VLOOKUP($G48,Coords[],3,FALSE)-VLOOKUP(BU$5,Coords[],3,FALSE))^2+(VLOOKUP($G48,Coords[],4,FALSE)-VLOOKUP(BU$5,Coords[],4,FALSE))^2)))</f>
        <v>1000</v>
      </c>
      <c r="BV48" s="10">
        <f>IF($G48=BV$5,1000,IF(BV$4=0,1000,SQRT((VLOOKUP($G48,Coords[],3,FALSE)-VLOOKUP(BV$5,Coords[],3,FALSE))^2+(VLOOKUP($G48,Coords[],4,FALSE)-VLOOKUP(BV$5,Coords[],4,FALSE))^2)))</f>
        <v>1000</v>
      </c>
      <c r="BW48" s="10">
        <f>IF($G48=BW$5,1000,IF(BW$4=0,1000,SQRT((VLOOKUP($G48,Coords[],3,FALSE)-VLOOKUP(BW$5,Coords[],3,FALSE))^2+(VLOOKUP($G48,Coords[],4,FALSE)-VLOOKUP(BW$5,Coords[],4,FALSE))^2)))</f>
        <v>1000</v>
      </c>
      <c r="BX48" s="10">
        <f>IF($G48=BX$5,1000,IF(BX$4=0,1000,SQRT((VLOOKUP($G48,Coords[],3,FALSE)-VLOOKUP(BX$5,Coords[],3,FALSE))^2+(VLOOKUP($G48,Coords[],4,FALSE)-VLOOKUP(BX$5,Coords[],4,FALSE))^2)))</f>
        <v>1000</v>
      </c>
      <c r="BY48" s="10">
        <f>IF($G48=BY$5,1000,IF(BY$4=0,1000,SQRT((VLOOKUP($G48,Coords[],3,FALSE)-VLOOKUP(BY$5,Coords[],3,FALSE))^2+(VLOOKUP($G48,Coords[],4,FALSE)-VLOOKUP(BY$5,Coords[],4,FALSE))^2)))</f>
        <v>1000</v>
      </c>
      <c r="BZ48" s="10">
        <f>IF($G48=BZ$5,1000,IF(BZ$4=0,1000,SQRT((VLOOKUP($G48,Coords[],3,FALSE)-VLOOKUP(BZ$5,Coords[],3,FALSE))^2+(VLOOKUP($G48,Coords[],4,FALSE)-VLOOKUP(BZ$5,Coords[],4,FALSE))^2)))</f>
        <v>1000</v>
      </c>
      <c r="CA48" s="10">
        <f>IF($G48=CA$5,1000,IF(CA$4=0,1000,SQRT((VLOOKUP($G48,Coords[],3,FALSE)-VLOOKUP(CA$5,Coords[],3,FALSE))^2+(VLOOKUP($G48,Coords[],4,FALSE)-VLOOKUP(CA$5,Coords[],4,FALSE))^2)))</f>
        <v>1000</v>
      </c>
      <c r="CB48" s="10">
        <f>IF($G48=CB$5,1000,IF(CB$4=0,1000,SQRT((VLOOKUP($G48,Coords[],3,FALSE)-VLOOKUP(CB$5,Coords[],3,FALSE))^2+(VLOOKUP($G48,Coords[],4,FALSE)-VLOOKUP(CB$5,Coords[],4,FALSE))^2)))</f>
        <v>1000</v>
      </c>
      <c r="CC48" s="10">
        <f>IF($G48=CC$5,1000,IF(CC$4=0,1000,SQRT((VLOOKUP($G48,Coords[],3,FALSE)-VLOOKUP(CC$5,Coords[],3,FALSE))^2+(VLOOKUP($G48,Coords[],4,FALSE)-VLOOKUP(CC$5,Coords[],4,FALSE))^2)))</f>
        <v>1000</v>
      </c>
      <c r="CD48" s="10">
        <f>IF($G48=CD$5,1000,IF(CD$4=0,1000,SQRT((VLOOKUP($G48,Coords[],3,FALSE)-VLOOKUP(CD$5,Coords[],3,FALSE))^2+(VLOOKUP($G48,Coords[],4,FALSE)-VLOOKUP(CD$5,Coords[],4,FALSE))^2)))</f>
        <v>1000</v>
      </c>
      <c r="CE48" s="10">
        <f>IF($G48=CE$5,1000,IF(CE$4=0,1000,SQRT((VLOOKUP($G48,Coords[],3,FALSE)-VLOOKUP(CE$5,Coords[],3,FALSE))^2+(VLOOKUP($G48,Coords[],4,FALSE)-VLOOKUP(CE$5,Coords[],4,FALSE))^2)))</f>
        <v>1000</v>
      </c>
      <c r="CF48" s="4">
        <v>43</v>
      </c>
      <c r="CH48" s="5">
        <f>IF(E48=1,0,VLOOKUP($G48,$G$6:$CE$82,HLOOKUP(MIN(H48:CE48),$H48:$CE$82,((COUNT($G$6:$G$81)+2)-$G48),FALSE)+1,FALSE)*B48)</f>
        <v>0</v>
      </c>
      <c r="CI48" s="9">
        <f>VLOOKUP($G48,$G$6:$CE$82,HLOOKUP(MIN(H48:CE48),$H48:$CE$82,((COUNT($G$6:$G$81)+2)-$G48),FALSE)+1,FALSE)</f>
        <v>1000</v>
      </c>
      <c r="CJ48" s="7">
        <f>HLOOKUP(MIN(H48:CE48),$H48:$CE$82,((COUNT($G$6:$G$81)+2)-$G48),FALSE)</f>
        <v>1</v>
      </c>
      <c r="CK48">
        <f>CI48*Coords[[#This Row],[Demand]]</f>
        <v>0</v>
      </c>
    </row>
    <row r="49" spans="1:89" x14ac:dyDescent="0.25">
      <c r="A49" s="8">
        <v>44</v>
      </c>
      <c r="B49" s="3"/>
      <c r="C49" s="3"/>
      <c r="D49" s="3"/>
      <c r="E49" s="3"/>
      <c r="G49" s="4">
        <v>44</v>
      </c>
      <c r="H49" s="10">
        <f>IF($G49=H$5,1000,IF(H$4=0,1000,SQRT((VLOOKUP($G49,Coords[],3,FALSE)-VLOOKUP(H$5,Coords[],3,FALSE))^2+(VLOOKUP($G49,Coords[],4,FALSE)-VLOOKUP(H$5,Coords[],4,FALSE))^2)))</f>
        <v>1000</v>
      </c>
      <c r="I49" s="10">
        <f>IF($G49=I$5,1000,IF(I$4=0,1000,SQRT((VLOOKUP($G49,Coords[],3,FALSE)-VLOOKUP(I$5,Coords[],3,FALSE))^2+(VLOOKUP($G49,Coords[],4,FALSE)-VLOOKUP(I$5,Coords[],4,FALSE))^2)))</f>
        <v>1000</v>
      </c>
      <c r="J49" s="10">
        <f>IF($G49=J$5,1000,IF(J$4=0,1000,SQRT((VLOOKUP($G49,Coords[],3,FALSE)-VLOOKUP(J$5,Coords[],3,FALSE))^2+(VLOOKUP($G49,Coords[],4,FALSE)-VLOOKUP(J$5,Coords[],4,FALSE))^2)))</f>
        <v>1000</v>
      </c>
      <c r="K49" s="10">
        <f>IF($G49=K$5,1000,IF(K$4=0,1000,SQRT((VLOOKUP($G49,Coords[],3,FALSE)-VLOOKUP(K$5,Coords[],3,FALSE))^2+(VLOOKUP($G49,Coords[],4,FALSE)-VLOOKUP(K$5,Coords[],4,FALSE))^2)))</f>
        <v>1000</v>
      </c>
      <c r="L49" s="10">
        <f>IF($G49=L$5,1000,IF(L$4=0,1000,SQRT((VLOOKUP($G49,Coords[],3,FALSE)-VLOOKUP(L$5,Coords[],3,FALSE))^2+(VLOOKUP($G49,Coords[],4,FALSE)-VLOOKUP(L$5,Coords[],4,FALSE))^2)))</f>
        <v>1000</v>
      </c>
      <c r="M49" s="10">
        <f>IF($G49=M$5,1000,IF(M$4=0,1000,SQRT((VLOOKUP($G49,Coords[],3,FALSE)-VLOOKUP(M$5,Coords[],3,FALSE))^2+(VLOOKUP($G49,Coords[],4,FALSE)-VLOOKUP(M$5,Coords[],4,FALSE))^2)))</f>
        <v>1000</v>
      </c>
      <c r="N49" s="10">
        <f>IF($G49=N$5,1000,IF(N$4=0,1000,SQRT((VLOOKUP($G49,Coords[],3,FALSE)-VLOOKUP(N$5,Coords[],3,FALSE))^2+(VLOOKUP($G49,Coords[],4,FALSE)-VLOOKUP(N$5,Coords[],4,FALSE))^2)))</f>
        <v>1000</v>
      </c>
      <c r="O49" s="10">
        <f>IF($G49=O$5,1000,IF(O$4=0,1000,SQRT((VLOOKUP($G49,Coords[],3,FALSE)-VLOOKUP(O$5,Coords[],3,FALSE))^2+(VLOOKUP($G49,Coords[],4,FALSE)-VLOOKUP(O$5,Coords[],4,FALSE))^2)))</f>
        <v>1000</v>
      </c>
      <c r="P49" s="10">
        <f>IF($G49=P$5,1000,IF(P$4=0,1000,SQRT((VLOOKUP($G49,Coords[],3,FALSE)-VLOOKUP(P$5,Coords[],3,FALSE))^2+(VLOOKUP($G49,Coords[],4,FALSE)-VLOOKUP(P$5,Coords[],4,FALSE))^2)))</f>
        <v>1000</v>
      </c>
      <c r="Q49" s="10">
        <f>IF($G49=Q$5,1000,IF(Q$4=0,1000,SQRT((VLOOKUP($G49,Coords[],3,FALSE)-VLOOKUP(Q$5,Coords[],3,FALSE))^2+(VLOOKUP($G49,Coords[],4,FALSE)-VLOOKUP(Q$5,Coords[],4,FALSE))^2)))</f>
        <v>1000</v>
      </c>
      <c r="R49" s="10">
        <f>IF($G49=R$5,1000,IF(R$4=0,1000,SQRT((VLOOKUP($G49,Coords[],3,FALSE)-VLOOKUP(R$5,Coords[],3,FALSE))^2+(VLOOKUP($G49,Coords[],4,FALSE)-VLOOKUP(R$5,Coords[],4,FALSE))^2)))</f>
        <v>1000</v>
      </c>
      <c r="S49" s="10">
        <f>IF($G49=S$5,1000,IF(S$4=0,1000,SQRT((VLOOKUP($G49,Coords[],3,FALSE)-VLOOKUP(S$5,Coords[],3,FALSE))^2+(VLOOKUP($G49,Coords[],4,FALSE)-VLOOKUP(S$5,Coords[],4,FALSE))^2)))</f>
        <v>1000</v>
      </c>
      <c r="T49" s="10">
        <f>IF($G49=T$5,1000,IF(T$4=0,1000,SQRT((VLOOKUP($G49,Coords[],3,FALSE)-VLOOKUP(T$5,Coords[],3,FALSE))^2+(VLOOKUP($G49,Coords[],4,FALSE)-VLOOKUP(T$5,Coords[],4,FALSE))^2)))</f>
        <v>1000</v>
      </c>
      <c r="U49" s="10">
        <f>IF($G49=U$5,1000,IF(U$4=0,1000,SQRT((VLOOKUP($G49,Coords[],3,FALSE)-VLOOKUP(U$5,Coords[],3,FALSE))^2+(VLOOKUP($G49,Coords[],4,FALSE)-VLOOKUP(U$5,Coords[],4,FALSE))^2)))</f>
        <v>1000</v>
      </c>
      <c r="V49" s="10">
        <f>IF($G49=V$5,1000,IF(V$4=0,1000,SQRT((VLOOKUP($G49,Coords[],3,FALSE)-VLOOKUP(V$5,Coords[],3,FALSE))^2+(VLOOKUP($G49,Coords[],4,FALSE)-VLOOKUP(V$5,Coords[],4,FALSE))^2)))</f>
        <v>1000</v>
      </c>
      <c r="W49" s="10">
        <f>IF($G49=W$5,1000,IF(W$4=0,1000,SQRT((VLOOKUP($G49,Coords[],3,FALSE)-VLOOKUP(W$5,Coords[],3,FALSE))^2+(VLOOKUP($G49,Coords[],4,FALSE)-VLOOKUP(W$5,Coords[],4,FALSE))^2)))</f>
        <v>1000</v>
      </c>
      <c r="X49" s="10">
        <f>IF($G49=X$5,1000,IF(X$4=0,1000,SQRT((VLOOKUP($G49,Coords[],3,FALSE)-VLOOKUP(X$5,Coords[],3,FALSE))^2+(VLOOKUP($G49,Coords[],4,FALSE)-VLOOKUP(X$5,Coords[],4,FALSE))^2)))</f>
        <v>1000</v>
      </c>
      <c r="Y49" s="10">
        <f>IF($G49=Y$5,1000,IF(Y$4=0,1000,SQRT((VLOOKUP($G49,Coords[],3,FALSE)-VLOOKUP(Y$5,Coords[],3,FALSE))^2+(VLOOKUP($G49,Coords[],4,FALSE)-VLOOKUP(Y$5,Coords[],4,FALSE))^2)))</f>
        <v>1000</v>
      </c>
      <c r="Z49" s="10">
        <f>IF($G49=Z$5,1000,IF(Z$4=0,1000,SQRT((VLOOKUP($G49,Coords[],3,FALSE)-VLOOKUP(Z$5,Coords[],3,FALSE))^2+(VLOOKUP($G49,Coords[],4,FALSE)-VLOOKUP(Z$5,Coords[],4,FALSE))^2)))</f>
        <v>1000</v>
      </c>
      <c r="AA49" s="10">
        <f>IF($G49=AA$5,1000,IF(AA$4=0,1000,SQRT((VLOOKUP($G49,Coords[],3,FALSE)-VLOOKUP(AA$5,Coords[],3,FALSE))^2+(VLOOKUP($G49,Coords[],4,FALSE)-VLOOKUP(AA$5,Coords[],4,FALSE))^2)))</f>
        <v>1000</v>
      </c>
      <c r="AB49" s="10">
        <f>IF($G49=AB$5,1000,IF(AB$4=0,1000,SQRT((VLOOKUP($G49,Coords[],3,FALSE)-VLOOKUP(AB$5,Coords[],3,FALSE))^2+(VLOOKUP($G49,Coords[],4,FALSE)-VLOOKUP(AB$5,Coords[],4,FALSE))^2)))</f>
        <v>1000</v>
      </c>
      <c r="AC49" s="10">
        <f>IF($G49=AC$5,1000,IF(AC$4=0,1000,SQRT((VLOOKUP($G49,Coords[],3,FALSE)-VLOOKUP(AC$5,Coords[],3,FALSE))^2+(VLOOKUP($G49,Coords[],4,FALSE)-VLOOKUP(AC$5,Coords[],4,FALSE))^2)))</f>
        <v>1000</v>
      </c>
      <c r="AD49" s="10">
        <f>IF($G49=AD$5,1000,IF(AD$4=0,1000,SQRT((VLOOKUP($G49,Coords[],3,FALSE)-VLOOKUP(AD$5,Coords[],3,FALSE))^2+(VLOOKUP($G49,Coords[],4,FALSE)-VLOOKUP(AD$5,Coords[],4,FALSE))^2)))</f>
        <v>1000</v>
      </c>
      <c r="AE49" s="10">
        <f>IF($G49=AE$5,1000,IF(AE$4=0,1000,SQRT((VLOOKUP($G49,Coords[],3,FALSE)-VLOOKUP(AE$5,Coords[],3,FALSE))^2+(VLOOKUP($G49,Coords[],4,FALSE)-VLOOKUP(AE$5,Coords[],4,FALSE))^2)))</f>
        <v>1000</v>
      </c>
      <c r="AF49" s="10">
        <f>IF($G49=AF$5,1000,IF(AF$4=0,1000,SQRT((VLOOKUP($G49,Coords[],3,FALSE)-VLOOKUP(AF$5,Coords[],3,FALSE))^2+(VLOOKUP($G49,Coords[],4,FALSE)-VLOOKUP(AF$5,Coords[],4,FALSE))^2)))</f>
        <v>1000</v>
      </c>
      <c r="AG49" s="10">
        <f>IF($G49=AG$5,1000,IF(AG$4=0,1000,SQRT((VLOOKUP($G49,Coords[],3,FALSE)-VLOOKUP(AG$5,Coords[],3,FALSE))^2+(VLOOKUP($G49,Coords[],4,FALSE)-VLOOKUP(AG$5,Coords[],4,FALSE))^2)))</f>
        <v>1000</v>
      </c>
      <c r="AH49" s="10">
        <f>IF($G49=AH$5,1000,IF(AH$4=0,1000,SQRT((VLOOKUP($G49,Coords[],3,FALSE)-VLOOKUP(AH$5,Coords[],3,FALSE))^2+(VLOOKUP($G49,Coords[],4,FALSE)-VLOOKUP(AH$5,Coords[],4,FALSE))^2)))</f>
        <v>1000</v>
      </c>
      <c r="AI49" s="10">
        <f>IF($G49=AI$5,1000,IF(AI$4=0,1000,SQRT((VLOOKUP($G49,Coords[],3,FALSE)-VLOOKUP(AI$5,Coords[],3,FALSE))^2+(VLOOKUP($G49,Coords[],4,FALSE)-VLOOKUP(AI$5,Coords[],4,FALSE))^2)))</f>
        <v>1000</v>
      </c>
      <c r="AJ49" s="10">
        <f>IF($G49=AJ$5,1000,IF(AJ$4=0,1000,SQRT((VLOOKUP($G49,Coords[],3,FALSE)-VLOOKUP(AJ$5,Coords[],3,FALSE))^2+(VLOOKUP($G49,Coords[],4,FALSE)-VLOOKUP(AJ$5,Coords[],4,FALSE))^2)))</f>
        <v>1000</v>
      </c>
      <c r="AK49" s="10">
        <f>IF($G49=AK$5,1000,IF(AK$4=0,1000,SQRT((VLOOKUP($G49,Coords[],3,FALSE)-VLOOKUP(AK$5,Coords[],3,FALSE))^2+(VLOOKUP($G49,Coords[],4,FALSE)-VLOOKUP(AK$5,Coords[],4,FALSE))^2)))</f>
        <v>1000</v>
      </c>
      <c r="AL49" s="10">
        <f>IF($G49=AL$5,1000,IF(AL$4=0,1000,SQRT((VLOOKUP($G49,Coords[],3,FALSE)-VLOOKUP(AL$5,Coords[],3,FALSE))^2+(VLOOKUP($G49,Coords[],4,FALSE)-VLOOKUP(AL$5,Coords[],4,FALSE))^2)))</f>
        <v>1000</v>
      </c>
      <c r="AM49" s="10">
        <f>IF($G49=AM$5,1000,IF(AM$4=0,1000,SQRT((VLOOKUP($G49,Coords[],3,FALSE)-VLOOKUP(AM$5,Coords[],3,FALSE))^2+(VLOOKUP($G49,Coords[],4,FALSE)-VLOOKUP(AM$5,Coords[],4,FALSE))^2)))</f>
        <v>1000</v>
      </c>
      <c r="AN49" s="10">
        <f>IF($G49=AN$5,1000,IF(AN$4=0,1000,SQRT((VLOOKUP($G49,Coords[],3,FALSE)-VLOOKUP(AN$5,Coords[],3,FALSE))^2+(VLOOKUP($G49,Coords[],4,FALSE)-VLOOKUP(AN$5,Coords[],4,FALSE))^2)))</f>
        <v>1000</v>
      </c>
      <c r="AO49" s="10">
        <f>IF($G49=AO$5,1000,IF(AO$4=0,1000,SQRT((VLOOKUP($G49,Coords[],3,FALSE)-VLOOKUP(AO$5,Coords[],3,FALSE))^2+(VLOOKUP($G49,Coords[],4,FALSE)-VLOOKUP(AO$5,Coords[],4,FALSE))^2)))</f>
        <v>1000</v>
      </c>
      <c r="AP49" s="10">
        <f>IF($G49=AP$5,1000,IF(AP$4=0,1000,SQRT((VLOOKUP($G49,Coords[],3,FALSE)-VLOOKUP(AP$5,Coords[],3,FALSE))^2+(VLOOKUP($G49,Coords[],4,FALSE)-VLOOKUP(AP$5,Coords[],4,FALSE))^2)))</f>
        <v>1000</v>
      </c>
      <c r="AQ49" s="10">
        <f>IF($G49=AQ$5,1000,IF(AQ$4=0,1000,SQRT((VLOOKUP($G49,Coords[],3,FALSE)-VLOOKUP(AQ$5,Coords[],3,FALSE))^2+(VLOOKUP($G49,Coords[],4,FALSE)-VLOOKUP(AQ$5,Coords[],4,FALSE))^2)))</f>
        <v>1000</v>
      </c>
      <c r="AR49" s="10">
        <f>IF($G49=AR$5,1000,IF(AR$4=0,1000,SQRT((VLOOKUP($G49,Coords[],3,FALSE)-VLOOKUP(AR$5,Coords[],3,FALSE))^2+(VLOOKUP($G49,Coords[],4,FALSE)-VLOOKUP(AR$5,Coords[],4,FALSE))^2)))</f>
        <v>1000</v>
      </c>
      <c r="AS49" s="10">
        <f>IF($G49=AS$5,1000,IF(AS$4=0,1000,SQRT((VLOOKUP($G49,Coords[],3,FALSE)-VLOOKUP(AS$5,Coords[],3,FALSE))^2+(VLOOKUP($G49,Coords[],4,FALSE)-VLOOKUP(AS$5,Coords[],4,FALSE))^2)))</f>
        <v>1000</v>
      </c>
      <c r="AT49" s="10">
        <f>IF($G49=AT$5,1000,IF(AT$4=0,1000,SQRT((VLOOKUP($G49,Coords[],3,FALSE)-VLOOKUP(AT$5,Coords[],3,FALSE))^2+(VLOOKUP($G49,Coords[],4,FALSE)-VLOOKUP(AT$5,Coords[],4,FALSE))^2)))</f>
        <v>1000</v>
      </c>
      <c r="AU49" s="10">
        <f>IF($G49=AU$5,1000,IF(AU$4=0,1000,SQRT((VLOOKUP($G49,Coords[],3,FALSE)-VLOOKUP(AU$5,Coords[],3,FALSE))^2+(VLOOKUP($G49,Coords[],4,FALSE)-VLOOKUP(AU$5,Coords[],4,FALSE))^2)))</f>
        <v>1000</v>
      </c>
      <c r="AV49" s="10">
        <f>IF($G49=AV$5,1000,IF(AV$4=0,1000,SQRT((VLOOKUP($G49,Coords[],3,FALSE)-VLOOKUP(AV$5,Coords[],3,FALSE))^2+(VLOOKUP($G49,Coords[],4,FALSE)-VLOOKUP(AV$5,Coords[],4,FALSE))^2)))</f>
        <v>1000</v>
      </c>
      <c r="AW49" s="10">
        <f>IF($G49=AW$5,1000,IF(AW$4=0,1000,SQRT((VLOOKUP($G49,Coords[],3,FALSE)-VLOOKUP(AW$5,Coords[],3,FALSE))^2+(VLOOKUP($G49,Coords[],4,FALSE)-VLOOKUP(AW$5,Coords[],4,FALSE))^2)))</f>
        <v>1000</v>
      </c>
      <c r="AX49" s="10">
        <f>IF($G49=AX$5,1000,IF(AX$4=0,1000,SQRT((VLOOKUP($G49,Coords[],3,FALSE)-VLOOKUP(AX$5,Coords[],3,FALSE))^2+(VLOOKUP($G49,Coords[],4,FALSE)-VLOOKUP(AX$5,Coords[],4,FALSE))^2)))</f>
        <v>1000</v>
      </c>
      <c r="AY49" s="10">
        <f>IF($G49=AY$5,1000,IF(AY$4=0,1000,SQRT((VLOOKUP($G49,Coords[],3,FALSE)-VLOOKUP(AY$5,Coords[],3,FALSE))^2+(VLOOKUP($G49,Coords[],4,FALSE)-VLOOKUP(AY$5,Coords[],4,FALSE))^2)))</f>
        <v>1000</v>
      </c>
      <c r="AZ49" s="10">
        <f>IF($G49=AZ$5,1000,IF(AZ$4=0,1000,SQRT((VLOOKUP($G49,Coords[],3,FALSE)-VLOOKUP(AZ$5,Coords[],3,FALSE))^2+(VLOOKUP($G49,Coords[],4,FALSE)-VLOOKUP(AZ$5,Coords[],4,FALSE))^2)))</f>
        <v>1000</v>
      </c>
      <c r="BA49" s="10">
        <f>IF($G49=BA$5,1000,IF(BA$4=0,1000,SQRT((VLOOKUP($G49,Coords[],3,FALSE)-VLOOKUP(BA$5,Coords[],3,FALSE))^2+(VLOOKUP($G49,Coords[],4,FALSE)-VLOOKUP(BA$5,Coords[],4,FALSE))^2)))</f>
        <v>1000</v>
      </c>
      <c r="BB49" s="10">
        <f>IF($G49=BB$5,1000,IF(BB$4=0,1000,SQRT((VLOOKUP($G49,Coords[],3,FALSE)-VLOOKUP(BB$5,Coords[],3,FALSE))^2+(VLOOKUP($G49,Coords[],4,FALSE)-VLOOKUP(BB$5,Coords[],4,FALSE))^2)))</f>
        <v>1000</v>
      </c>
      <c r="BC49" s="10">
        <f>IF($G49=BC$5,1000,IF(BC$4=0,1000,SQRT((VLOOKUP($G49,Coords[],3,FALSE)-VLOOKUP(BC$5,Coords[],3,FALSE))^2+(VLOOKUP($G49,Coords[],4,FALSE)-VLOOKUP(BC$5,Coords[],4,FALSE))^2)))</f>
        <v>1000</v>
      </c>
      <c r="BD49" s="10">
        <f>IF($G49=BD$5,1000,IF(BD$4=0,1000,SQRT((VLOOKUP($G49,Coords[],3,FALSE)-VLOOKUP(BD$5,Coords[],3,FALSE))^2+(VLOOKUP($G49,Coords[],4,FALSE)-VLOOKUP(BD$5,Coords[],4,FALSE))^2)))</f>
        <v>1000</v>
      </c>
      <c r="BE49" s="10">
        <f>IF($G49=BE$5,1000,IF(BE$4=0,1000,SQRT((VLOOKUP($G49,Coords[],3,FALSE)-VLOOKUP(BE$5,Coords[],3,FALSE))^2+(VLOOKUP($G49,Coords[],4,FALSE)-VLOOKUP(BE$5,Coords[],4,FALSE))^2)))</f>
        <v>1000</v>
      </c>
      <c r="BF49" s="10">
        <f>IF($G49=BF$5,1000,IF(BF$4=0,1000,SQRT((VLOOKUP($G49,Coords[],3,FALSE)-VLOOKUP(BF$5,Coords[],3,FALSE))^2+(VLOOKUP($G49,Coords[],4,FALSE)-VLOOKUP(BF$5,Coords[],4,FALSE))^2)))</f>
        <v>1000</v>
      </c>
      <c r="BG49" s="10">
        <f>IF($G49=BG$5,1000,IF(BG$4=0,1000,SQRT((VLOOKUP($G49,Coords[],3,FALSE)-VLOOKUP(BG$5,Coords[],3,FALSE))^2+(VLOOKUP($G49,Coords[],4,FALSE)-VLOOKUP(BG$5,Coords[],4,FALSE))^2)))</f>
        <v>1000</v>
      </c>
      <c r="BH49" s="10">
        <f>IF($G49=BH$5,1000,IF(BH$4=0,1000,SQRT((VLOOKUP($G49,Coords[],3,FALSE)-VLOOKUP(BH$5,Coords[],3,FALSE))^2+(VLOOKUP($G49,Coords[],4,FALSE)-VLOOKUP(BH$5,Coords[],4,FALSE))^2)))</f>
        <v>1000</v>
      </c>
      <c r="BI49" s="10">
        <f>IF($G49=BI$5,1000,IF(BI$4=0,1000,SQRT((VLOOKUP($G49,Coords[],3,FALSE)-VLOOKUP(BI$5,Coords[],3,FALSE))^2+(VLOOKUP($G49,Coords[],4,FALSE)-VLOOKUP(BI$5,Coords[],4,FALSE))^2)))</f>
        <v>1000</v>
      </c>
      <c r="BJ49" s="10">
        <f>IF($G49=BJ$5,1000,IF(BJ$4=0,1000,SQRT((VLOOKUP($G49,Coords[],3,FALSE)-VLOOKUP(BJ$5,Coords[],3,FALSE))^2+(VLOOKUP($G49,Coords[],4,FALSE)-VLOOKUP(BJ$5,Coords[],4,FALSE))^2)))</f>
        <v>1000</v>
      </c>
      <c r="BK49" s="10">
        <f>IF($G49=BK$5,1000,IF(BK$4=0,1000,SQRT((VLOOKUP($G49,Coords[],3,FALSE)-VLOOKUP(BK$5,Coords[],3,FALSE))^2+(VLOOKUP($G49,Coords[],4,FALSE)-VLOOKUP(BK$5,Coords[],4,FALSE))^2)))</f>
        <v>1000</v>
      </c>
      <c r="BL49" s="10">
        <f>IF($G49=BL$5,1000,IF(BL$4=0,1000,SQRT((VLOOKUP($G49,Coords[],3,FALSE)-VLOOKUP(BL$5,Coords[],3,FALSE))^2+(VLOOKUP($G49,Coords[],4,FALSE)-VLOOKUP(BL$5,Coords[],4,FALSE))^2)))</f>
        <v>1000</v>
      </c>
      <c r="BM49" s="10">
        <f>IF($G49=BM$5,1000,IF(BM$4=0,1000,SQRT((VLOOKUP($G49,Coords[],3,FALSE)-VLOOKUP(BM$5,Coords[],3,FALSE))^2+(VLOOKUP($G49,Coords[],4,FALSE)-VLOOKUP(BM$5,Coords[],4,FALSE))^2)))</f>
        <v>1000</v>
      </c>
      <c r="BN49" s="10">
        <f>IF($G49=BN$5,1000,IF(BN$4=0,1000,SQRT((VLOOKUP($G49,Coords[],3,FALSE)-VLOOKUP(BN$5,Coords[],3,FALSE))^2+(VLOOKUP($G49,Coords[],4,FALSE)-VLOOKUP(BN$5,Coords[],4,FALSE))^2)))</f>
        <v>1000</v>
      </c>
      <c r="BO49" s="10">
        <f>IF($G49=BO$5,1000,IF(BO$4=0,1000,SQRT((VLOOKUP($G49,Coords[],3,FALSE)-VLOOKUP(BO$5,Coords[],3,FALSE))^2+(VLOOKUP($G49,Coords[],4,FALSE)-VLOOKUP(BO$5,Coords[],4,FALSE))^2)))</f>
        <v>1000</v>
      </c>
      <c r="BP49" s="10">
        <f>IF($G49=BP$5,1000,IF(BP$4=0,1000,SQRT((VLOOKUP($G49,Coords[],3,FALSE)-VLOOKUP(BP$5,Coords[],3,FALSE))^2+(VLOOKUP($G49,Coords[],4,FALSE)-VLOOKUP(BP$5,Coords[],4,FALSE))^2)))</f>
        <v>1000</v>
      </c>
      <c r="BQ49" s="10">
        <f>IF($G49=BQ$5,1000,IF(BQ$4=0,1000,SQRT((VLOOKUP($G49,Coords[],3,FALSE)-VLOOKUP(BQ$5,Coords[],3,FALSE))^2+(VLOOKUP($G49,Coords[],4,FALSE)-VLOOKUP(BQ$5,Coords[],4,FALSE))^2)))</f>
        <v>1000</v>
      </c>
      <c r="BR49" s="10">
        <f>IF($G49=BR$5,1000,IF(BR$4=0,1000,SQRT((VLOOKUP($G49,Coords[],3,FALSE)-VLOOKUP(BR$5,Coords[],3,FALSE))^2+(VLOOKUP($G49,Coords[],4,FALSE)-VLOOKUP(BR$5,Coords[],4,FALSE))^2)))</f>
        <v>1000</v>
      </c>
      <c r="BS49" s="10">
        <f>IF($G49=BS$5,1000,IF(BS$4=0,1000,SQRT((VLOOKUP($G49,Coords[],3,FALSE)-VLOOKUP(BS$5,Coords[],3,FALSE))^2+(VLOOKUP($G49,Coords[],4,FALSE)-VLOOKUP(BS$5,Coords[],4,FALSE))^2)))</f>
        <v>1000</v>
      </c>
      <c r="BT49" s="10">
        <f>IF($G49=BT$5,1000,IF(BT$4=0,1000,SQRT((VLOOKUP($G49,Coords[],3,FALSE)-VLOOKUP(BT$5,Coords[],3,FALSE))^2+(VLOOKUP($G49,Coords[],4,FALSE)-VLOOKUP(BT$5,Coords[],4,FALSE))^2)))</f>
        <v>1000</v>
      </c>
      <c r="BU49" s="10">
        <f>IF($G49=BU$5,1000,IF(BU$4=0,1000,SQRT((VLOOKUP($G49,Coords[],3,FALSE)-VLOOKUP(BU$5,Coords[],3,FALSE))^2+(VLOOKUP($G49,Coords[],4,FALSE)-VLOOKUP(BU$5,Coords[],4,FALSE))^2)))</f>
        <v>1000</v>
      </c>
      <c r="BV49" s="10">
        <f>IF($G49=BV$5,1000,IF(BV$4=0,1000,SQRT((VLOOKUP($G49,Coords[],3,FALSE)-VLOOKUP(BV$5,Coords[],3,FALSE))^2+(VLOOKUP($G49,Coords[],4,FALSE)-VLOOKUP(BV$5,Coords[],4,FALSE))^2)))</f>
        <v>1000</v>
      </c>
      <c r="BW49" s="10">
        <f>IF($G49=BW$5,1000,IF(BW$4=0,1000,SQRT((VLOOKUP($G49,Coords[],3,FALSE)-VLOOKUP(BW$5,Coords[],3,FALSE))^2+(VLOOKUP($G49,Coords[],4,FALSE)-VLOOKUP(BW$5,Coords[],4,FALSE))^2)))</f>
        <v>1000</v>
      </c>
      <c r="BX49" s="10">
        <f>IF($G49=BX$5,1000,IF(BX$4=0,1000,SQRT((VLOOKUP($G49,Coords[],3,FALSE)-VLOOKUP(BX$5,Coords[],3,FALSE))^2+(VLOOKUP($G49,Coords[],4,FALSE)-VLOOKUP(BX$5,Coords[],4,FALSE))^2)))</f>
        <v>1000</v>
      </c>
      <c r="BY49" s="10">
        <f>IF($G49=BY$5,1000,IF(BY$4=0,1000,SQRT((VLOOKUP($G49,Coords[],3,FALSE)-VLOOKUP(BY$5,Coords[],3,FALSE))^2+(VLOOKUP($G49,Coords[],4,FALSE)-VLOOKUP(BY$5,Coords[],4,FALSE))^2)))</f>
        <v>1000</v>
      </c>
      <c r="BZ49" s="10">
        <f>IF($G49=BZ$5,1000,IF(BZ$4=0,1000,SQRT((VLOOKUP($G49,Coords[],3,FALSE)-VLOOKUP(BZ$5,Coords[],3,FALSE))^2+(VLOOKUP($G49,Coords[],4,FALSE)-VLOOKUP(BZ$5,Coords[],4,FALSE))^2)))</f>
        <v>1000</v>
      </c>
      <c r="CA49" s="10">
        <f>IF($G49=CA$5,1000,IF(CA$4=0,1000,SQRT((VLOOKUP($G49,Coords[],3,FALSE)-VLOOKUP(CA$5,Coords[],3,FALSE))^2+(VLOOKUP($G49,Coords[],4,FALSE)-VLOOKUP(CA$5,Coords[],4,FALSE))^2)))</f>
        <v>1000</v>
      </c>
      <c r="CB49" s="10">
        <f>IF($G49=CB$5,1000,IF(CB$4=0,1000,SQRT((VLOOKUP($G49,Coords[],3,FALSE)-VLOOKUP(CB$5,Coords[],3,FALSE))^2+(VLOOKUP($G49,Coords[],4,FALSE)-VLOOKUP(CB$5,Coords[],4,FALSE))^2)))</f>
        <v>1000</v>
      </c>
      <c r="CC49" s="10">
        <f>IF($G49=CC$5,1000,IF(CC$4=0,1000,SQRT((VLOOKUP($G49,Coords[],3,FALSE)-VLOOKUP(CC$5,Coords[],3,FALSE))^2+(VLOOKUP($G49,Coords[],4,FALSE)-VLOOKUP(CC$5,Coords[],4,FALSE))^2)))</f>
        <v>1000</v>
      </c>
      <c r="CD49" s="10">
        <f>IF($G49=CD$5,1000,IF(CD$4=0,1000,SQRT((VLOOKUP($G49,Coords[],3,FALSE)-VLOOKUP(CD$5,Coords[],3,FALSE))^2+(VLOOKUP($G49,Coords[],4,FALSE)-VLOOKUP(CD$5,Coords[],4,FALSE))^2)))</f>
        <v>1000</v>
      </c>
      <c r="CE49" s="10">
        <f>IF($G49=CE$5,1000,IF(CE$4=0,1000,SQRT((VLOOKUP($G49,Coords[],3,FALSE)-VLOOKUP(CE$5,Coords[],3,FALSE))^2+(VLOOKUP($G49,Coords[],4,FALSE)-VLOOKUP(CE$5,Coords[],4,FALSE))^2)))</f>
        <v>1000</v>
      </c>
      <c r="CF49" s="4">
        <v>44</v>
      </c>
      <c r="CH49" s="5">
        <f>IF(E49=1,0,VLOOKUP($G49,$G$6:$CE$82,HLOOKUP(MIN(H49:CE49),$H49:$CE$82,((COUNT($G$6:$G$81)+2)-$G49),FALSE)+1,FALSE)*B49)</f>
        <v>0</v>
      </c>
      <c r="CI49" s="9">
        <f>VLOOKUP($G49,$G$6:$CE$82,HLOOKUP(MIN(H49:CE49),$H49:$CE$82,((COUNT($G$6:$G$81)+2)-$G49),FALSE)+1,FALSE)</f>
        <v>1000</v>
      </c>
      <c r="CJ49" s="7">
        <f>HLOOKUP(MIN(H49:CE49),$H49:$CE$82,((COUNT($G$6:$G$81)+2)-$G49),FALSE)</f>
        <v>1</v>
      </c>
      <c r="CK49">
        <f>CI49*Coords[[#This Row],[Demand]]</f>
        <v>0</v>
      </c>
    </row>
    <row r="50" spans="1:89" x14ac:dyDescent="0.25">
      <c r="A50" s="8">
        <v>45</v>
      </c>
      <c r="B50" s="3"/>
      <c r="C50" s="3"/>
      <c r="D50" s="3"/>
      <c r="E50" s="3"/>
      <c r="G50" s="4">
        <v>45</v>
      </c>
      <c r="H50" s="10">
        <f>IF($G50=H$5,1000,IF(H$4=0,1000,SQRT((VLOOKUP($G50,Coords[],3,FALSE)-VLOOKUP(H$5,Coords[],3,FALSE))^2+(VLOOKUP($G50,Coords[],4,FALSE)-VLOOKUP(H$5,Coords[],4,FALSE))^2)))</f>
        <v>1000</v>
      </c>
      <c r="I50" s="10">
        <f>IF($G50=I$5,1000,IF(I$4=0,1000,SQRT((VLOOKUP($G50,Coords[],3,FALSE)-VLOOKUP(I$5,Coords[],3,FALSE))^2+(VLOOKUP($G50,Coords[],4,FALSE)-VLOOKUP(I$5,Coords[],4,FALSE))^2)))</f>
        <v>1000</v>
      </c>
      <c r="J50" s="10">
        <f>IF($G50=J$5,1000,IF(J$4=0,1000,SQRT((VLOOKUP($G50,Coords[],3,FALSE)-VLOOKUP(J$5,Coords[],3,FALSE))^2+(VLOOKUP($G50,Coords[],4,FALSE)-VLOOKUP(J$5,Coords[],4,FALSE))^2)))</f>
        <v>1000</v>
      </c>
      <c r="K50" s="10">
        <f>IF($G50=K$5,1000,IF(K$4=0,1000,SQRT((VLOOKUP($G50,Coords[],3,FALSE)-VLOOKUP(K$5,Coords[],3,FALSE))^2+(VLOOKUP($G50,Coords[],4,FALSE)-VLOOKUP(K$5,Coords[],4,FALSE))^2)))</f>
        <v>1000</v>
      </c>
      <c r="L50" s="10">
        <f>IF($G50=L$5,1000,IF(L$4=0,1000,SQRT((VLOOKUP($G50,Coords[],3,FALSE)-VLOOKUP(L$5,Coords[],3,FALSE))^2+(VLOOKUP($G50,Coords[],4,FALSE)-VLOOKUP(L$5,Coords[],4,FALSE))^2)))</f>
        <v>1000</v>
      </c>
      <c r="M50" s="10">
        <f>IF($G50=M$5,1000,IF(M$4=0,1000,SQRT((VLOOKUP($G50,Coords[],3,FALSE)-VLOOKUP(M$5,Coords[],3,FALSE))^2+(VLOOKUP($G50,Coords[],4,FALSE)-VLOOKUP(M$5,Coords[],4,FALSE))^2)))</f>
        <v>1000</v>
      </c>
      <c r="N50" s="10">
        <f>IF($G50=N$5,1000,IF(N$4=0,1000,SQRT((VLOOKUP($G50,Coords[],3,FALSE)-VLOOKUP(N$5,Coords[],3,FALSE))^2+(VLOOKUP($G50,Coords[],4,FALSE)-VLOOKUP(N$5,Coords[],4,FALSE))^2)))</f>
        <v>1000</v>
      </c>
      <c r="O50" s="10">
        <f>IF($G50=O$5,1000,IF(O$4=0,1000,SQRT((VLOOKUP($G50,Coords[],3,FALSE)-VLOOKUP(O$5,Coords[],3,FALSE))^2+(VLOOKUP($G50,Coords[],4,FALSE)-VLOOKUP(O$5,Coords[],4,FALSE))^2)))</f>
        <v>1000</v>
      </c>
      <c r="P50" s="10">
        <f>IF($G50=P$5,1000,IF(P$4=0,1000,SQRT((VLOOKUP($G50,Coords[],3,FALSE)-VLOOKUP(P$5,Coords[],3,FALSE))^2+(VLOOKUP($G50,Coords[],4,FALSE)-VLOOKUP(P$5,Coords[],4,FALSE))^2)))</f>
        <v>1000</v>
      </c>
      <c r="Q50" s="10">
        <f>IF($G50=Q$5,1000,IF(Q$4=0,1000,SQRT((VLOOKUP($G50,Coords[],3,FALSE)-VLOOKUP(Q$5,Coords[],3,FALSE))^2+(VLOOKUP($G50,Coords[],4,FALSE)-VLOOKUP(Q$5,Coords[],4,FALSE))^2)))</f>
        <v>1000</v>
      </c>
      <c r="R50" s="10">
        <f>IF($G50=R$5,1000,IF(R$4=0,1000,SQRT((VLOOKUP($G50,Coords[],3,FALSE)-VLOOKUP(R$5,Coords[],3,FALSE))^2+(VLOOKUP($G50,Coords[],4,FALSE)-VLOOKUP(R$5,Coords[],4,FALSE))^2)))</f>
        <v>1000</v>
      </c>
      <c r="S50" s="10">
        <f>IF($G50=S$5,1000,IF(S$4=0,1000,SQRT((VLOOKUP($G50,Coords[],3,FALSE)-VLOOKUP(S$5,Coords[],3,FALSE))^2+(VLOOKUP($G50,Coords[],4,FALSE)-VLOOKUP(S$5,Coords[],4,FALSE))^2)))</f>
        <v>1000</v>
      </c>
      <c r="T50" s="10">
        <f>IF($G50=T$5,1000,IF(T$4=0,1000,SQRT((VLOOKUP($G50,Coords[],3,FALSE)-VLOOKUP(T$5,Coords[],3,FALSE))^2+(VLOOKUP($G50,Coords[],4,FALSE)-VLOOKUP(T$5,Coords[],4,FALSE))^2)))</f>
        <v>1000</v>
      </c>
      <c r="U50" s="10">
        <f>IF($G50=U$5,1000,IF(U$4=0,1000,SQRT((VLOOKUP($G50,Coords[],3,FALSE)-VLOOKUP(U$5,Coords[],3,FALSE))^2+(VLOOKUP($G50,Coords[],4,FALSE)-VLOOKUP(U$5,Coords[],4,FALSE))^2)))</f>
        <v>1000</v>
      </c>
      <c r="V50" s="10">
        <f>IF($G50=V$5,1000,IF(V$4=0,1000,SQRT((VLOOKUP($G50,Coords[],3,FALSE)-VLOOKUP(V$5,Coords[],3,FALSE))^2+(VLOOKUP($G50,Coords[],4,FALSE)-VLOOKUP(V$5,Coords[],4,FALSE))^2)))</f>
        <v>1000</v>
      </c>
      <c r="W50" s="10">
        <f>IF($G50=W$5,1000,IF(W$4=0,1000,SQRT((VLOOKUP($G50,Coords[],3,FALSE)-VLOOKUP(W$5,Coords[],3,FALSE))^2+(VLOOKUP($G50,Coords[],4,FALSE)-VLOOKUP(W$5,Coords[],4,FALSE))^2)))</f>
        <v>1000</v>
      </c>
      <c r="X50" s="10">
        <f>IF($G50=X$5,1000,IF(X$4=0,1000,SQRT((VLOOKUP($G50,Coords[],3,FALSE)-VLOOKUP(X$5,Coords[],3,FALSE))^2+(VLOOKUP($G50,Coords[],4,FALSE)-VLOOKUP(X$5,Coords[],4,FALSE))^2)))</f>
        <v>1000</v>
      </c>
      <c r="Y50" s="10">
        <f>IF($G50=Y$5,1000,IF(Y$4=0,1000,SQRT((VLOOKUP($G50,Coords[],3,FALSE)-VLOOKUP(Y$5,Coords[],3,FALSE))^2+(VLOOKUP($G50,Coords[],4,FALSE)-VLOOKUP(Y$5,Coords[],4,FALSE))^2)))</f>
        <v>1000</v>
      </c>
      <c r="Z50" s="10">
        <f>IF($G50=Z$5,1000,IF(Z$4=0,1000,SQRT((VLOOKUP($G50,Coords[],3,FALSE)-VLOOKUP(Z$5,Coords[],3,FALSE))^2+(VLOOKUP($G50,Coords[],4,FALSE)-VLOOKUP(Z$5,Coords[],4,FALSE))^2)))</f>
        <v>1000</v>
      </c>
      <c r="AA50" s="10">
        <f>IF($G50=AA$5,1000,IF(AA$4=0,1000,SQRT((VLOOKUP($G50,Coords[],3,FALSE)-VLOOKUP(AA$5,Coords[],3,FALSE))^2+(VLOOKUP($G50,Coords[],4,FALSE)-VLOOKUP(AA$5,Coords[],4,FALSE))^2)))</f>
        <v>1000</v>
      </c>
      <c r="AB50" s="10">
        <f>IF($G50=AB$5,1000,IF(AB$4=0,1000,SQRT((VLOOKUP($G50,Coords[],3,FALSE)-VLOOKUP(AB$5,Coords[],3,FALSE))^2+(VLOOKUP($G50,Coords[],4,FALSE)-VLOOKUP(AB$5,Coords[],4,FALSE))^2)))</f>
        <v>1000</v>
      </c>
      <c r="AC50" s="10">
        <f>IF($G50=AC$5,1000,IF(AC$4=0,1000,SQRT((VLOOKUP($G50,Coords[],3,FALSE)-VLOOKUP(AC$5,Coords[],3,FALSE))^2+(VLOOKUP($G50,Coords[],4,FALSE)-VLOOKUP(AC$5,Coords[],4,FALSE))^2)))</f>
        <v>1000</v>
      </c>
      <c r="AD50" s="10">
        <f>IF($G50=AD$5,1000,IF(AD$4=0,1000,SQRT((VLOOKUP($G50,Coords[],3,FALSE)-VLOOKUP(AD$5,Coords[],3,FALSE))^2+(VLOOKUP($G50,Coords[],4,FALSE)-VLOOKUP(AD$5,Coords[],4,FALSE))^2)))</f>
        <v>1000</v>
      </c>
      <c r="AE50" s="10">
        <f>IF($G50=AE$5,1000,IF(AE$4=0,1000,SQRT((VLOOKUP($G50,Coords[],3,FALSE)-VLOOKUP(AE$5,Coords[],3,FALSE))^2+(VLOOKUP($G50,Coords[],4,FALSE)-VLOOKUP(AE$5,Coords[],4,FALSE))^2)))</f>
        <v>1000</v>
      </c>
      <c r="AF50" s="10">
        <f>IF($G50=AF$5,1000,IF(AF$4=0,1000,SQRT((VLOOKUP($G50,Coords[],3,FALSE)-VLOOKUP(AF$5,Coords[],3,FALSE))^2+(VLOOKUP($G50,Coords[],4,FALSE)-VLOOKUP(AF$5,Coords[],4,FALSE))^2)))</f>
        <v>1000</v>
      </c>
      <c r="AG50" s="10">
        <f>IF($G50=AG$5,1000,IF(AG$4=0,1000,SQRT((VLOOKUP($G50,Coords[],3,FALSE)-VLOOKUP(AG$5,Coords[],3,FALSE))^2+(VLOOKUP($G50,Coords[],4,FALSE)-VLOOKUP(AG$5,Coords[],4,FALSE))^2)))</f>
        <v>1000</v>
      </c>
      <c r="AH50" s="10">
        <f>IF($G50=AH$5,1000,IF(AH$4=0,1000,SQRT((VLOOKUP($G50,Coords[],3,FALSE)-VLOOKUP(AH$5,Coords[],3,FALSE))^2+(VLOOKUP($G50,Coords[],4,FALSE)-VLOOKUP(AH$5,Coords[],4,FALSE))^2)))</f>
        <v>1000</v>
      </c>
      <c r="AI50" s="10">
        <f>IF($G50=AI$5,1000,IF(AI$4=0,1000,SQRT((VLOOKUP($G50,Coords[],3,FALSE)-VLOOKUP(AI$5,Coords[],3,FALSE))^2+(VLOOKUP($G50,Coords[],4,FALSE)-VLOOKUP(AI$5,Coords[],4,FALSE))^2)))</f>
        <v>1000</v>
      </c>
      <c r="AJ50" s="10">
        <f>IF($G50=AJ$5,1000,IF(AJ$4=0,1000,SQRT((VLOOKUP($G50,Coords[],3,FALSE)-VLOOKUP(AJ$5,Coords[],3,FALSE))^2+(VLOOKUP($G50,Coords[],4,FALSE)-VLOOKUP(AJ$5,Coords[],4,FALSE))^2)))</f>
        <v>1000</v>
      </c>
      <c r="AK50" s="10">
        <f>IF($G50=AK$5,1000,IF(AK$4=0,1000,SQRT((VLOOKUP($G50,Coords[],3,FALSE)-VLOOKUP(AK$5,Coords[],3,FALSE))^2+(VLOOKUP($G50,Coords[],4,FALSE)-VLOOKUP(AK$5,Coords[],4,FALSE))^2)))</f>
        <v>1000</v>
      </c>
      <c r="AL50" s="10">
        <f>IF($G50=AL$5,1000,IF(AL$4=0,1000,SQRT((VLOOKUP($G50,Coords[],3,FALSE)-VLOOKUP(AL$5,Coords[],3,FALSE))^2+(VLOOKUP($G50,Coords[],4,FALSE)-VLOOKUP(AL$5,Coords[],4,FALSE))^2)))</f>
        <v>1000</v>
      </c>
      <c r="AM50" s="10">
        <f>IF($G50=AM$5,1000,IF(AM$4=0,1000,SQRT((VLOOKUP($G50,Coords[],3,FALSE)-VLOOKUP(AM$5,Coords[],3,FALSE))^2+(VLOOKUP($G50,Coords[],4,FALSE)-VLOOKUP(AM$5,Coords[],4,FALSE))^2)))</f>
        <v>1000</v>
      </c>
      <c r="AN50" s="10">
        <f>IF($G50=AN$5,1000,IF(AN$4=0,1000,SQRT((VLOOKUP($G50,Coords[],3,FALSE)-VLOOKUP(AN$5,Coords[],3,FALSE))^2+(VLOOKUP($G50,Coords[],4,FALSE)-VLOOKUP(AN$5,Coords[],4,FALSE))^2)))</f>
        <v>1000</v>
      </c>
      <c r="AO50" s="10">
        <f>IF($G50=AO$5,1000,IF(AO$4=0,1000,SQRT((VLOOKUP($G50,Coords[],3,FALSE)-VLOOKUP(AO$5,Coords[],3,FALSE))^2+(VLOOKUP($G50,Coords[],4,FALSE)-VLOOKUP(AO$5,Coords[],4,FALSE))^2)))</f>
        <v>1000</v>
      </c>
      <c r="AP50" s="10">
        <f>IF($G50=AP$5,1000,IF(AP$4=0,1000,SQRT((VLOOKUP($G50,Coords[],3,FALSE)-VLOOKUP(AP$5,Coords[],3,FALSE))^2+(VLOOKUP($G50,Coords[],4,FALSE)-VLOOKUP(AP$5,Coords[],4,FALSE))^2)))</f>
        <v>1000</v>
      </c>
      <c r="AQ50" s="10">
        <f>IF($G50=AQ$5,1000,IF(AQ$4=0,1000,SQRT((VLOOKUP($G50,Coords[],3,FALSE)-VLOOKUP(AQ$5,Coords[],3,FALSE))^2+(VLOOKUP($G50,Coords[],4,FALSE)-VLOOKUP(AQ$5,Coords[],4,FALSE))^2)))</f>
        <v>1000</v>
      </c>
      <c r="AR50" s="10">
        <f>IF($G50=AR$5,1000,IF(AR$4=0,1000,SQRT((VLOOKUP($G50,Coords[],3,FALSE)-VLOOKUP(AR$5,Coords[],3,FALSE))^2+(VLOOKUP($G50,Coords[],4,FALSE)-VLOOKUP(AR$5,Coords[],4,FALSE))^2)))</f>
        <v>1000</v>
      </c>
      <c r="AS50" s="10">
        <f>IF($G50=AS$5,1000,IF(AS$4=0,1000,SQRT((VLOOKUP($G50,Coords[],3,FALSE)-VLOOKUP(AS$5,Coords[],3,FALSE))^2+(VLOOKUP($G50,Coords[],4,FALSE)-VLOOKUP(AS$5,Coords[],4,FALSE))^2)))</f>
        <v>1000</v>
      </c>
      <c r="AT50" s="10">
        <f>IF($G50=AT$5,1000,IF(AT$4=0,1000,SQRT((VLOOKUP($G50,Coords[],3,FALSE)-VLOOKUP(AT$5,Coords[],3,FALSE))^2+(VLOOKUP($G50,Coords[],4,FALSE)-VLOOKUP(AT$5,Coords[],4,FALSE))^2)))</f>
        <v>1000</v>
      </c>
      <c r="AU50" s="10">
        <f>IF($G50=AU$5,1000,IF(AU$4=0,1000,SQRT((VLOOKUP($G50,Coords[],3,FALSE)-VLOOKUP(AU$5,Coords[],3,FALSE))^2+(VLOOKUP($G50,Coords[],4,FALSE)-VLOOKUP(AU$5,Coords[],4,FALSE))^2)))</f>
        <v>1000</v>
      </c>
      <c r="AV50" s="10">
        <f>IF($G50=AV$5,1000,IF(AV$4=0,1000,SQRT((VLOOKUP($G50,Coords[],3,FALSE)-VLOOKUP(AV$5,Coords[],3,FALSE))^2+(VLOOKUP($G50,Coords[],4,FALSE)-VLOOKUP(AV$5,Coords[],4,FALSE))^2)))</f>
        <v>1000</v>
      </c>
      <c r="AW50" s="10">
        <f>IF($G50=AW$5,1000,IF(AW$4=0,1000,SQRT((VLOOKUP($G50,Coords[],3,FALSE)-VLOOKUP(AW$5,Coords[],3,FALSE))^2+(VLOOKUP($G50,Coords[],4,FALSE)-VLOOKUP(AW$5,Coords[],4,FALSE))^2)))</f>
        <v>1000</v>
      </c>
      <c r="AX50" s="10">
        <f>IF($G50=AX$5,1000,IF(AX$4=0,1000,SQRT((VLOOKUP($G50,Coords[],3,FALSE)-VLOOKUP(AX$5,Coords[],3,FALSE))^2+(VLOOKUP($G50,Coords[],4,FALSE)-VLOOKUP(AX$5,Coords[],4,FALSE))^2)))</f>
        <v>1000</v>
      </c>
      <c r="AY50" s="10">
        <f>IF($G50=AY$5,1000,IF(AY$4=0,1000,SQRT((VLOOKUP($G50,Coords[],3,FALSE)-VLOOKUP(AY$5,Coords[],3,FALSE))^2+(VLOOKUP($G50,Coords[],4,FALSE)-VLOOKUP(AY$5,Coords[],4,FALSE))^2)))</f>
        <v>1000</v>
      </c>
      <c r="AZ50" s="10">
        <f>IF($G50=AZ$5,1000,IF(AZ$4=0,1000,SQRT((VLOOKUP($G50,Coords[],3,FALSE)-VLOOKUP(AZ$5,Coords[],3,FALSE))^2+(VLOOKUP($G50,Coords[],4,FALSE)-VLOOKUP(AZ$5,Coords[],4,FALSE))^2)))</f>
        <v>1000</v>
      </c>
      <c r="BA50" s="10">
        <f>IF($G50=BA$5,1000,IF(BA$4=0,1000,SQRT((VLOOKUP($G50,Coords[],3,FALSE)-VLOOKUP(BA$5,Coords[],3,FALSE))^2+(VLOOKUP($G50,Coords[],4,FALSE)-VLOOKUP(BA$5,Coords[],4,FALSE))^2)))</f>
        <v>1000</v>
      </c>
      <c r="BB50" s="10">
        <f>IF($G50=BB$5,1000,IF(BB$4=0,1000,SQRT((VLOOKUP($G50,Coords[],3,FALSE)-VLOOKUP(BB$5,Coords[],3,FALSE))^2+(VLOOKUP($G50,Coords[],4,FALSE)-VLOOKUP(BB$5,Coords[],4,FALSE))^2)))</f>
        <v>1000</v>
      </c>
      <c r="BC50" s="10">
        <f>IF($G50=BC$5,1000,IF(BC$4=0,1000,SQRT((VLOOKUP($G50,Coords[],3,FALSE)-VLOOKUP(BC$5,Coords[],3,FALSE))^2+(VLOOKUP($G50,Coords[],4,FALSE)-VLOOKUP(BC$5,Coords[],4,FALSE))^2)))</f>
        <v>1000</v>
      </c>
      <c r="BD50" s="10">
        <f>IF($G50=BD$5,1000,IF(BD$4=0,1000,SQRT((VLOOKUP($G50,Coords[],3,FALSE)-VLOOKUP(BD$5,Coords[],3,FALSE))^2+(VLOOKUP($G50,Coords[],4,FALSE)-VLOOKUP(BD$5,Coords[],4,FALSE))^2)))</f>
        <v>1000</v>
      </c>
      <c r="BE50" s="10">
        <f>IF($G50=BE$5,1000,IF(BE$4=0,1000,SQRT((VLOOKUP($G50,Coords[],3,FALSE)-VLOOKUP(BE$5,Coords[],3,FALSE))^2+(VLOOKUP($G50,Coords[],4,FALSE)-VLOOKUP(BE$5,Coords[],4,FALSE))^2)))</f>
        <v>1000</v>
      </c>
      <c r="BF50" s="10">
        <f>IF($G50=BF$5,1000,IF(BF$4=0,1000,SQRT((VLOOKUP($G50,Coords[],3,FALSE)-VLOOKUP(BF$5,Coords[],3,FALSE))^2+(VLOOKUP($G50,Coords[],4,FALSE)-VLOOKUP(BF$5,Coords[],4,FALSE))^2)))</f>
        <v>1000</v>
      </c>
      <c r="BG50" s="10">
        <f>IF($G50=BG$5,1000,IF(BG$4=0,1000,SQRT((VLOOKUP($G50,Coords[],3,FALSE)-VLOOKUP(BG$5,Coords[],3,FALSE))^2+(VLOOKUP($G50,Coords[],4,FALSE)-VLOOKUP(BG$5,Coords[],4,FALSE))^2)))</f>
        <v>1000</v>
      </c>
      <c r="BH50" s="10">
        <f>IF($G50=BH$5,1000,IF(BH$4=0,1000,SQRT((VLOOKUP($G50,Coords[],3,FALSE)-VLOOKUP(BH$5,Coords[],3,FALSE))^2+(VLOOKUP($G50,Coords[],4,FALSE)-VLOOKUP(BH$5,Coords[],4,FALSE))^2)))</f>
        <v>1000</v>
      </c>
      <c r="BI50" s="10">
        <f>IF($G50=BI$5,1000,IF(BI$4=0,1000,SQRT((VLOOKUP($G50,Coords[],3,FALSE)-VLOOKUP(BI$5,Coords[],3,FALSE))^2+(VLOOKUP($G50,Coords[],4,FALSE)-VLOOKUP(BI$5,Coords[],4,FALSE))^2)))</f>
        <v>1000</v>
      </c>
      <c r="BJ50" s="10">
        <f>IF($G50=BJ$5,1000,IF(BJ$4=0,1000,SQRT((VLOOKUP($G50,Coords[],3,FALSE)-VLOOKUP(BJ$5,Coords[],3,FALSE))^2+(VLOOKUP($G50,Coords[],4,FALSE)-VLOOKUP(BJ$5,Coords[],4,FALSE))^2)))</f>
        <v>1000</v>
      </c>
      <c r="BK50" s="10">
        <f>IF($G50=BK$5,1000,IF(BK$4=0,1000,SQRT((VLOOKUP($G50,Coords[],3,FALSE)-VLOOKUP(BK$5,Coords[],3,FALSE))^2+(VLOOKUP($G50,Coords[],4,FALSE)-VLOOKUP(BK$5,Coords[],4,FALSE))^2)))</f>
        <v>1000</v>
      </c>
      <c r="BL50" s="10">
        <f>IF($G50=BL$5,1000,IF(BL$4=0,1000,SQRT((VLOOKUP($G50,Coords[],3,FALSE)-VLOOKUP(BL$5,Coords[],3,FALSE))^2+(VLOOKUP($G50,Coords[],4,FALSE)-VLOOKUP(BL$5,Coords[],4,FALSE))^2)))</f>
        <v>1000</v>
      </c>
      <c r="BM50" s="10">
        <f>IF($G50=BM$5,1000,IF(BM$4=0,1000,SQRT((VLOOKUP($G50,Coords[],3,FALSE)-VLOOKUP(BM$5,Coords[],3,FALSE))^2+(VLOOKUP($G50,Coords[],4,FALSE)-VLOOKUP(BM$5,Coords[],4,FALSE))^2)))</f>
        <v>1000</v>
      </c>
      <c r="BN50" s="10">
        <f>IF($G50=BN$5,1000,IF(BN$4=0,1000,SQRT((VLOOKUP($G50,Coords[],3,FALSE)-VLOOKUP(BN$5,Coords[],3,FALSE))^2+(VLOOKUP($G50,Coords[],4,FALSE)-VLOOKUP(BN$5,Coords[],4,FALSE))^2)))</f>
        <v>1000</v>
      </c>
      <c r="BO50" s="10">
        <f>IF($G50=BO$5,1000,IF(BO$4=0,1000,SQRT((VLOOKUP($G50,Coords[],3,FALSE)-VLOOKUP(BO$5,Coords[],3,FALSE))^2+(VLOOKUP($G50,Coords[],4,FALSE)-VLOOKUP(BO$5,Coords[],4,FALSE))^2)))</f>
        <v>1000</v>
      </c>
      <c r="BP50" s="10">
        <f>IF($G50=BP$5,1000,IF(BP$4=0,1000,SQRT((VLOOKUP($G50,Coords[],3,FALSE)-VLOOKUP(BP$5,Coords[],3,FALSE))^2+(VLOOKUP($G50,Coords[],4,FALSE)-VLOOKUP(BP$5,Coords[],4,FALSE))^2)))</f>
        <v>1000</v>
      </c>
      <c r="BQ50" s="10">
        <f>IF($G50=BQ$5,1000,IF(BQ$4=0,1000,SQRT((VLOOKUP($G50,Coords[],3,FALSE)-VLOOKUP(BQ$5,Coords[],3,FALSE))^2+(VLOOKUP($G50,Coords[],4,FALSE)-VLOOKUP(BQ$5,Coords[],4,FALSE))^2)))</f>
        <v>1000</v>
      </c>
      <c r="BR50" s="10">
        <f>IF($G50=BR$5,1000,IF(BR$4=0,1000,SQRT((VLOOKUP($G50,Coords[],3,FALSE)-VLOOKUP(BR$5,Coords[],3,FALSE))^2+(VLOOKUP($G50,Coords[],4,FALSE)-VLOOKUP(BR$5,Coords[],4,FALSE))^2)))</f>
        <v>1000</v>
      </c>
      <c r="BS50" s="10">
        <f>IF($G50=BS$5,1000,IF(BS$4=0,1000,SQRT((VLOOKUP($G50,Coords[],3,FALSE)-VLOOKUP(BS$5,Coords[],3,FALSE))^2+(VLOOKUP($G50,Coords[],4,FALSE)-VLOOKUP(BS$5,Coords[],4,FALSE))^2)))</f>
        <v>1000</v>
      </c>
      <c r="BT50" s="10">
        <f>IF($G50=BT$5,1000,IF(BT$4=0,1000,SQRT((VLOOKUP($G50,Coords[],3,FALSE)-VLOOKUP(BT$5,Coords[],3,FALSE))^2+(VLOOKUP($G50,Coords[],4,FALSE)-VLOOKUP(BT$5,Coords[],4,FALSE))^2)))</f>
        <v>1000</v>
      </c>
      <c r="BU50" s="10">
        <f>IF($G50=BU$5,1000,IF(BU$4=0,1000,SQRT((VLOOKUP($G50,Coords[],3,FALSE)-VLOOKUP(BU$5,Coords[],3,FALSE))^2+(VLOOKUP($G50,Coords[],4,FALSE)-VLOOKUP(BU$5,Coords[],4,FALSE))^2)))</f>
        <v>1000</v>
      </c>
      <c r="BV50" s="10">
        <f>IF($G50=BV$5,1000,IF(BV$4=0,1000,SQRT((VLOOKUP($G50,Coords[],3,FALSE)-VLOOKUP(BV$5,Coords[],3,FALSE))^2+(VLOOKUP($G50,Coords[],4,FALSE)-VLOOKUP(BV$5,Coords[],4,FALSE))^2)))</f>
        <v>1000</v>
      </c>
      <c r="BW50" s="10">
        <f>IF($G50=BW$5,1000,IF(BW$4=0,1000,SQRT((VLOOKUP($G50,Coords[],3,FALSE)-VLOOKUP(BW$5,Coords[],3,FALSE))^2+(VLOOKUP($G50,Coords[],4,FALSE)-VLOOKUP(BW$5,Coords[],4,FALSE))^2)))</f>
        <v>1000</v>
      </c>
      <c r="BX50" s="10">
        <f>IF($G50=BX$5,1000,IF(BX$4=0,1000,SQRT((VLOOKUP($G50,Coords[],3,FALSE)-VLOOKUP(BX$5,Coords[],3,FALSE))^2+(VLOOKUP($G50,Coords[],4,FALSE)-VLOOKUP(BX$5,Coords[],4,FALSE))^2)))</f>
        <v>1000</v>
      </c>
      <c r="BY50" s="10">
        <f>IF($G50=BY$5,1000,IF(BY$4=0,1000,SQRT((VLOOKUP($G50,Coords[],3,FALSE)-VLOOKUP(BY$5,Coords[],3,FALSE))^2+(VLOOKUP($G50,Coords[],4,FALSE)-VLOOKUP(BY$5,Coords[],4,FALSE))^2)))</f>
        <v>1000</v>
      </c>
      <c r="BZ50" s="10">
        <f>IF($G50=BZ$5,1000,IF(BZ$4=0,1000,SQRT((VLOOKUP($G50,Coords[],3,FALSE)-VLOOKUP(BZ$5,Coords[],3,FALSE))^2+(VLOOKUP($G50,Coords[],4,FALSE)-VLOOKUP(BZ$5,Coords[],4,FALSE))^2)))</f>
        <v>1000</v>
      </c>
      <c r="CA50" s="10">
        <f>IF($G50=CA$5,1000,IF(CA$4=0,1000,SQRT((VLOOKUP($G50,Coords[],3,FALSE)-VLOOKUP(CA$5,Coords[],3,FALSE))^2+(VLOOKUP($G50,Coords[],4,FALSE)-VLOOKUP(CA$5,Coords[],4,FALSE))^2)))</f>
        <v>1000</v>
      </c>
      <c r="CB50" s="10">
        <f>IF($G50=CB$5,1000,IF(CB$4=0,1000,SQRT((VLOOKUP($G50,Coords[],3,FALSE)-VLOOKUP(CB$5,Coords[],3,FALSE))^2+(VLOOKUP($G50,Coords[],4,FALSE)-VLOOKUP(CB$5,Coords[],4,FALSE))^2)))</f>
        <v>1000</v>
      </c>
      <c r="CC50" s="10">
        <f>IF($G50=CC$5,1000,IF(CC$4=0,1000,SQRT((VLOOKUP($G50,Coords[],3,FALSE)-VLOOKUP(CC$5,Coords[],3,FALSE))^2+(VLOOKUP($G50,Coords[],4,FALSE)-VLOOKUP(CC$5,Coords[],4,FALSE))^2)))</f>
        <v>1000</v>
      </c>
      <c r="CD50" s="10">
        <f>IF($G50=CD$5,1000,IF(CD$4=0,1000,SQRT((VLOOKUP($G50,Coords[],3,FALSE)-VLOOKUP(CD$5,Coords[],3,FALSE))^2+(VLOOKUP($G50,Coords[],4,FALSE)-VLOOKUP(CD$5,Coords[],4,FALSE))^2)))</f>
        <v>1000</v>
      </c>
      <c r="CE50" s="10">
        <f>IF($G50=CE$5,1000,IF(CE$4=0,1000,SQRT((VLOOKUP($G50,Coords[],3,FALSE)-VLOOKUP(CE$5,Coords[],3,FALSE))^2+(VLOOKUP($G50,Coords[],4,FALSE)-VLOOKUP(CE$5,Coords[],4,FALSE))^2)))</f>
        <v>1000</v>
      </c>
      <c r="CF50" s="4">
        <v>45</v>
      </c>
      <c r="CH50" s="5">
        <f>IF(E50=1,0,VLOOKUP($G50,$G$6:$CE$82,HLOOKUP(MIN(H50:CE50),$H50:$CE$82,((COUNT($G$6:$G$81)+2)-$G50),FALSE)+1,FALSE)*B50)</f>
        <v>0</v>
      </c>
      <c r="CI50" s="9">
        <f>VLOOKUP($G50,$G$6:$CE$82,HLOOKUP(MIN(H50:CE50),$H50:$CE$82,((COUNT($G$6:$G$81)+2)-$G50),FALSE)+1,FALSE)</f>
        <v>1000</v>
      </c>
      <c r="CJ50" s="7">
        <f>HLOOKUP(MIN(H50:CE50),$H50:$CE$82,((COUNT($G$6:$G$81)+2)-$G50),FALSE)</f>
        <v>1</v>
      </c>
      <c r="CK50">
        <f>CI50*Coords[[#This Row],[Demand]]</f>
        <v>0</v>
      </c>
    </row>
    <row r="51" spans="1:89" x14ac:dyDescent="0.25">
      <c r="A51" s="8">
        <v>46</v>
      </c>
      <c r="B51" s="3"/>
      <c r="C51" s="3"/>
      <c r="D51" s="3"/>
      <c r="E51" s="3"/>
      <c r="G51" s="4">
        <v>46</v>
      </c>
      <c r="H51" s="10">
        <f>IF($G51=H$5,1000,IF(H$4=0,1000,SQRT((VLOOKUP($G51,Coords[],3,FALSE)-VLOOKUP(H$5,Coords[],3,FALSE))^2+(VLOOKUP($G51,Coords[],4,FALSE)-VLOOKUP(H$5,Coords[],4,FALSE))^2)))</f>
        <v>1000</v>
      </c>
      <c r="I51" s="10">
        <f>IF($G51=I$5,1000,IF(I$4=0,1000,SQRT((VLOOKUP($G51,Coords[],3,FALSE)-VLOOKUP(I$5,Coords[],3,FALSE))^2+(VLOOKUP($G51,Coords[],4,FALSE)-VLOOKUP(I$5,Coords[],4,FALSE))^2)))</f>
        <v>1000</v>
      </c>
      <c r="J51" s="10">
        <f>IF($G51=J$5,1000,IF(J$4=0,1000,SQRT((VLOOKUP($G51,Coords[],3,FALSE)-VLOOKUP(J$5,Coords[],3,FALSE))^2+(VLOOKUP($G51,Coords[],4,FALSE)-VLOOKUP(J$5,Coords[],4,FALSE))^2)))</f>
        <v>1000</v>
      </c>
      <c r="K51" s="10">
        <f>IF($G51=K$5,1000,IF(K$4=0,1000,SQRT((VLOOKUP($G51,Coords[],3,FALSE)-VLOOKUP(K$5,Coords[],3,FALSE))^2+(VLOOKUP($G51,Coords[],4,FALSE)-VLOOKUP(K$5,Coords[],4,FALSE))^2)))</f>
        <v>1000</v>
      </c>
      <c r="L51" s="10">
        <f>IF($G51=L$5,1000,IF(L$4=0,1000,SQRT((VLOOKUP($G51,Coords[],3,FALSE)-VLOOKUP(L$5,Coords[],3,FALSE))^2+(VLOOKUP($G51,Coords[],4,FALSE)-VLOOKUP(L$5,Coords[],4,FALSE))^2)))</f>
        <v>1000</v>
      </c>
      <c r="M51" s="10">
        <f>IF($G51=M$5,1000,IF(M$4=0,1000,SQRT((VLOOKUP($G51,Coords[],3,FALSE)-VLOOKUP(M$5,Coords[],3,FALSE))^2+(VLOOKUP($G51,Coords[],4,FALSE)-VLOOKUP(M$5,Coords[],4,FALSE))^2)))</f>
        <v>1000</v>
      </c>
      <c r="N51" s="10">
        <f>IF($G51=N$5,1000,IF(N$4=0,1000,SQRT((VLOOKUP($G51,Coords[],3,FALSE)-VLOOKUP(N$5,Coords[],3,FALSE))^2+(VLOOKUP($G51,Coords[],4,FALSE)-VLOOKUP(N$5,Coords[],4,FALSE))^2)))</f>
        <v>1000</v>
      </c>
      <c r="O51" s="10">
        <f>IF($G51=O$5,1000,IF(O$4=0,1000,SQRT((VLOOKUP($G51,Coords[],3,FALSE)-VLOOKUP(O$5,Coords[],3,FALSE))^2+(VLOOKUP($G51,Coords[],4,FALSE)-VLOOKUP(O$5,Coords[],4,FALSE))^2)))</f>
        <v>1000</v>
      </c>
      <c r="P51" s="10">
        <f>IF($G51=P$5,1000,IF(P$4=0,1000,SQRT((VLOOKUP($G51,Coords[],3,FALSE)-VLOOKUP(P$5,Coords[],3,FALSE))^2+(VLOOKUP($G51,Coords[],4,FALSE)-VLOOKUP(P$5,Coords[],4,FALSE))^2)))</f>
        <v>1000</v>
      </c>
      <c r="Q51" s="10">
        <f>IF($G51=Q$5,1000,IF(Q$4=0,1000,SQRT((VLOOKUP($G51,Coords[],3,FALSE)-VLOOKUP(Q$5,Coords[],3,FALSE))^2+(VLOOKUP($G51,Coords[],4,FALSE)-VLOOKUP(Q$5,Coords[],4,FALSE))^2)))</f>
        <v>1000</v>
      </c>
      <c r="R51" s="10">
        <f>IF($G51=R$5,1000,IF(R$4=0,1000,SQRT((VLOOKUP($G51,Coords[],3,FALSE)-VLOOKUP(R$5,Coords[],3,FALSE))^2+(VLOOKUP($G51,Coords[],4,FALSE)-VLOOKUP(R$5,Coords[],4,FALSE))^2)))</f>
        <v>1000</v>
      </c>
      <c r="S51" s="10">
        <f>IF($G51=S$5,1000,IF(S$4=0,1000,SQRT((VLOOKUP($G51,Coords[],3,FALSE)-VLOOKUP(S$5,Coords[],3,FALSE))^2+(VLOOKUP($G51,Coords[],4,FALSE)-VLOOKUP(S$5,Coords[],4,FALSE))^2)))</f>
        <v>1000</v>
      </c>
      <c r="T51" s="10">
        <f>IF($G51=T$5,1000,IF(T$4=0,1000,SQRT((VLOOKUP($G51,Coords[],3,FALSE)-VLOOKUP(T$5,Coords[],3,FALSE))^2+(VLOOKUP($G51,Coords[],4,FALSE)-VLOOKUP(T$5,Coords[],4,FALSE))^2)))</f>
        <v>1000</v>
      </c>
      <c r="U51" s="10">
        <f>IF($G51=U$5,1000,IF(U$4=0,1000,SQRT((VLOOKUP($G51,Coords[],3,FALSE)-VLOOKUP(U$5,Coords[],3,FALSE))^2+(VLOOKUP($G51,Coords[],4,FALSE)-VLOOKUP(U$5,Coords[],4,FALSE))^2)))</f>
        <v>1000</v>
      </c>
      <c r="V51" s="10">
        <f>IF($G51=V$5,1000,IF(V$4=0,1000,SQRT((VLOOKUP($G51,Coords[],3,FALSE)-VLOOKUP(V$5,Coords[],3,FALSE))^2+(VLOOKUP($G51,Coords[],4,FALSE)-VLOOKUP(V$5,Coords[],4,FALSE))^2)))</f>
        <v>1000</v>
      </c>
      <c r="W51" s="10">
        <f>IF($G51=W$5,1000,IF(W$4=0,1000,SQRT((VLOOKUP($G51,Coords[],3,FALSE)-VLOOKUP(W$5,Coords[],3,FALSE))^2+(VLOOKUP($G51,Coords[],4,FALSE)-VLOOKUP(W$5,Coords[],4,FALSE))^2)))</f>
        <v>1000</v>
      </c>
      <c r="X51" s="10">
        <f>IF($G51=X$5,1000,IF(X$4=0,1000,SQRT((VLOOKUP($G51,Coords[],3,FALSE)-VLOOKUP(X$5,Coords[],3,FALSE))^2+(VLOOKUP($G51,Coords[],4,FALSE)-VLOOKUP(X$5,Coords[],4,FALSE))^2)))</f>
        <v>1000</v>
      </c>
      <c r="Y51" s="10">
        <f>IF($G51=Y$5,1000,IF(Y$4=0,1000,SQRT((VLOOKUP($G51,Coords[],3,FALSE)-VLOOKUP(Y$5,Coords[],3,FALSE))^2+(VLOOKUP($G51,Coords[],4,FALSE)-VLOOKUP(Y$5,Coords[],4,FALSE))^2)))</f>
        <v>1000</v>
      </c>
      <c r="Z51" s="10">
        <f>IF($G51=Z$5,1000,IF(Z$4=0,1000,SQRT((VLOOKUP($G51,Coords[],3,FALSE)-VLOOKUP(Z$5,Coords[],3,FALSE))^2+(VLOOKUP($G51,Coords[],4,FALSE)-VLOOKUP(Z$5,Coords[],4,FALSE))^2)))</f>
        <v>1000</v>
      </c>
      <c r="AA51" s="10">
        <f>IF($G51=AA$5,1000,IF(AA$4=0,1000,SQRT((VLOOKUP($G51,Coords[],3,FALSE)-VLOOKUP(AA$5,Coords[],3,FALSE))^2+(VLOOKUP($G51,Coords[],4,FALSE)-VLOOKUP(AA$5,Coords[],4,FALSE))^2)))</f>
        <v>1000</v>
      </c>
      <c r="AB51" s="10">
        <f>IF($G51=AB$5,1000,IF(AB$4=0,1000,SQRT((VLOOKUP($G51,Coords[],3,FALSE)-VLOOKUP(AB$5,Coords[],3,FALSE))^2+(VLOOKUP($G51,Coords[],4,FALSE)-VLOOKUP(AB$5,Coords[],4,FALSE))^2)))</f>
        <v>1000</v>
      </c>
      <c r="AC51" s="10">
        <f>IF($G51=AC$5,1000,IF(AC$4=0,1000,SQRT((VLOOKUP($G51,Coords[],3,FALSE)-VLOOKUP(AC$5,Coords[],3,FALSE))^2+(VLOOKUP($G51,Coords[],4,FALSE)-VLOOKUP(AC$5,Coords[],4,FALSE))^2)))</f>
        <v>1000</v>
      </c>
      <c r="AD51" s="10">
        <f>IF($G51=AD$5,1000,IF(AD$4=0,1000,SQRT((VLOOKUP($G51,Coords[],3,FALSE)-VLOOKUP(AD$5,Coords[],3,FALSE))^2+(VLOOKUP($G51,Coords[],4,FALSE)-VLOOKUP(AD$5,Coords[],4,FALSE))^2)))</f>
        <v>1000</v>
      </c>
      <c r="AE51" s="10">
        <f>IF($G51=AE$5,1000,IF(AE$4=0,1000,SQRT((VLOOKUP($G51,Coords[],3,FALSE)-VLOOKUP(AE$5,Coords[],3,FALSE))^2+(VLOOKUP($G51,Coords[],4,FALSE)-VLOOKUP(AE$5,Coords[],4,FALSE))^2)))</f>
        <v>1000</v>
      </c>
      <c r="AF51" s="10">
        <f>IF($G51=AF$5,1000,IF(AF$4=0,1000,SQRT((VLOOKUP($G51,Coords[],3,FALSE)-VLOOKUP(AF$5,Coords[],3,FALSE))^2+(VLOOKUP($G51,Coords[],4,FALSE)-VLOOKUP(AF$5,Coords[],4,FALSE))^2)))</f>
        <v>1000</v>
      </c>
      <c r="AG51" s="10">
        <f>IF($G51=AG$5,1000,IF(AG$4=0,1000,SQRT((VLOOKUP($G51,Coords[],3,FALSE)-VLOOKUP(AG$5,Coords[],3,FALSE))^2+(VLOOKUP($G51,Coords[],4,FALSE)-VLOOKUP(AG$5,Coords[],4,FALSE))^2)))</f>
        <v>1000</v>
      </c>
      <c r="AH51" s="10">
        <f>IF($G51=AH$5,1000,IF(AH$4=0,1000,SQRT((VLOOKUP($G51,Coords[],3,FALSE)-VLOOKUP(AH$5,Coords[],3,FALSE))^2+(VLOOKUP($G51,Coords[],4,FALSE)-VLOOKUP(AH$5,Coords[],4,FALSE))^2)))</f>
        <v>1000</v>
      </c>
      <c r="AI51" s="10">
        <f>IF($G51=AI$5,1000,IF(AI$4=0,1000,SQRT((VLOOKUP($G51,Coords[],3,FALSE)-VLOOKUP(AI$5,Coords[],3,FALSE))^2+(VLOOKUP($G51,Coords[],4,FALSE)-VLOOKUP(AI$5,Coords[],4,FALSE))^2)))</f>
        <v>1000</v>
      </c>
      <c r="AJ51" s="10">
        <f>IF($G51=AJ$5,1000,IF(AJ$4=0,1000,SQRT((VLOOKUP($G51,Coords[],3,FALSE)-VLOOKUP(AJ$5,Coords[],3,FALSE))^2+(VLOOKUP($G51,Coords[],4,FALSE)-VLOOKUP(AJ$5,Coords[],4,FALSE))^2)))</f>
        <v>1000</v>
      </c>
      <c r="AK51" s="10">
        <f>IF($G51=AK$5,1000,IF(AK$4=0,1000,SQRT((VLOOKUP($G51,Coords[],3,FALSE)-VLOOKUP(AK$5,Coords[],3,FALSE))^2+(VLOOKUP($G51,Coords[],4,FALSE)-VLOOKUP(AK$5,Coords[],4,FALSE))^2)))</f>
        <v>1000</v>
      </c>
      <c r="AL51" s="10">
        <f>IF($G51=AL$5,1000,IF(AL$4=0,1000,SQRT((VLOOKUP($G51,Coords[],3,FALSE)-VLOOKUP(AL$5,Coords[],3,FALSE))^2+(VLOOKUP($G51,Coords[],4,FALSE)-VLOOKUP(AL$5,Coords[],4,FALSE))^2)))</f>
        <v>1000</v>
      </c>
      <c r="AM51" s="10">
        <f>IF($G51=AM$5,1000,IF(AM$4=0,1000,SQRT((VLOOKUP($G51,Coords[],3,FALSE)-VLOOKUP(AM$5,Coords[],3,FALSE))^2+(VLOOKUP($G51,Coords[],4,FALSE)-VLOOKUP(AM$5,Coords[],4,FALSE))^2)))</f>
        <v>1000</v>
      </c>
      <c r="AN51" s="10">
        <f>IF($G51=AN$5,1000,IF(AN$4=0,1000,SQRT((VLOOKUP($G51,Coords[],3,FALSE)-VLOOKUP(AN$5,Coords[],3,FALSE))^2+(VLOOKUP($G51,Coords[],4,FALSE)-VLOOKUP(AN$5,Coords[],4,FALSE))^2)))</f>
        <v>1000</v>
      </c>
      <c r="AO51" s="10">
        <f>IF($G51=AO$5,1000,IF(AO$4=0,1000,SQRT((VLOOKUP($G51,Coords[],3,FALSE)-VLOOKUP(AO$5,Coords[],3,FALSE))^2+(VLOOKUP($G51,Coords[],4,FALSE)-VLOOKUP(AO$5,Coords[],4,FALSE))^2)))</f>
        <v>1000</v>
      </c>
      <c r="AP51" s="10">
        <f>IF($G51=AP$5,1000,IF(AP$4=0,1000,SQRT((VLOOKUP($G51,Coords[],3,FALSE)-VLOOKUP(AP$5,Coords[],3,FALSE))^2+(VLOOKUP($G51,Coords[],4,FALSE)-VLOOKUP(AP$5,Coords[],4,FALSE))^2)))</f>
        <v>1000</v>
      </c>
      <c r="AQ51" s="10">
        <f>IF($G51=AQ$5,1000,IF(AQ$4=0,1000,SQRT((VLOOKUP($G51,Coords[],3,FALSE)-VLOOKUP(AQ$5,Coords[],3,FALSE))^2+(VLOOKUP($G51,Coords[],4,FALSE)-VLOOKUP(AQ$5,Coords[],4,FALSE))^2)))</f>
        <v>1000</v>
      </c>
      <c r="AR51" s="10">
        <f>IF($G51=AR$5,1000,IF(AR$4=0,1000,SQRT((VLOOKUP($G51,Coords[],3,FALSE)-VLOOKUP(AR$5,Coords[],3,FALSE))^2+(VLOOKUP($G51,Coords[],4,FALSE)-VLOOKUP(AR$5,Coords[],4,FALSE))^2)))</f>
        <v>1000</v>
      </c>
      <c r="AS51" s="10">
        <f>IF($G51=AS$5,1000,IF(AS$4=0,1000,SQRT((VLOOKUP($G51,Coords[],3,FALSE)-VLOOKUP(AS$5,Coords[],3,FALSE))^2+(VLOOKUP($G51,Coords[],4,FALSE)-VLOOKUP(AS$5,Coords[],4,FALSE))^2)))</f>
        <v>1000</v>
      </c>
      <c r="AT51" s="10">
        <f>IF($G51=AT$5,1000,IF(AT$4=0,1000,SQRT((VLOOKUP($G51,Coords[],3,FALSE)-VLOOKUP(AT$5,Coords[],3,FALSE))^2+(VLOOKUP($G51,Coords[],4,FALSE)-VLOOKUP(AT$5,Coords[],4,FALSE))^2)))</f>
        <v>1000</v>
      </c>
      <c r="AU51" s="10">
        <f>IF($G51=AU$5,1000,IF(AU$4=0,1000,SQRT((VLOOKUP($G51,Coords[],3,FALSE)-VLOOKUP(AU$5,Coords[],3,FALSE))^2+(VLOOKUP($G51,Coords[],4,FALSE)-VLOOKUP(AU$5,Coords[],4,FALSE))^2)))</f>
        <v>1000</v>
      </c>
      <c r="AV51" s="10">
        <f>IF($G51=AV$5,1000,IF(AV$4=0,1000,SQRT((VLOOKUP($G51,Coords[],3,FALSE)-VLOOKUP(AV$5,Coords[],3,FALSE))^2+(VLOOKUP($G51,Coords[],4,FALSE)-VLOOKUP(AV$5,Coords[],4,FALSE))^2)))</f>
        <v>1000</v>
      </c>
      <c r="AW51" s="10">
        <f>IF($G51=AW$5,1000,IF(AW$4=0,1000,SQRT((VLOOKUP($G51,Coords[],3,FALSE)-VLOOKUP(AW$5,Coords[],3,FALSE))^2+(VLOOKUP($G51,Coords[],4,FALSE)-VLOOKUP(AW$5,Coords[],4,FALSE))^2)))</f>
        <v>1000</v>
      </c>
      <c r="AX51" s="10">
        <f>IF($G51=AX$5,1000,IF(AX$4=0,1000,SQRT((VLOOKUP($G51,Coords[],3,FALSE)-VLOOKUP(AX$5,Coords[],3,FALSE))^2+(VLOOKUP($G51,Coords[],4,FALSE)-VLOOKUP(AX$5,Coords[],4,FALSE))^2)))</f>
        <v>1000</v>
      </c>
      <c r="AY51" s="10">
        <f>IF($G51=AY$5,1000,IF(AY$4=0,1000,SQRT((VLOOKUP($G51,Coords[],3,FALSE)-VLOOKUP(AY$5,Coords[],3,FALSE))^2+(VLOOKUP($G51,Coords[],4,FALSE)-VLOOKUP(AY$5,Coords[],4,FALSE))^2)))</f>
        <v>1000</v>
      </c>
      <c r="AZ51" s="10">
        <f>IF($G51=AZ$5,1000,IF(AZ$4=0,1000,SQRT((VLOOKUP($G51,Coords[],3,FALSE)-VLOOKUP(AZ$5,Coords[],3,FALSE))^2+(VLOOKUP($G51,Coords[],4,FALSE)-VLOOKUP(AZ$5,Coords[],4,FALSE))^2)))</f>
        <v>1000</v>
      </c>
      <c r="BA51" s="10">
        <f>IF($G51=BA$5,1000,IF(BA$4=0,1000,SQRT((VLOOKUP($G51,Coords[],3,FALSE)-VLOOKUP(BA$5,Coords[],3,FALSE))^2+(VLOOKUP($G51,Coords[],4,FALSE)-VLOOKUP(BA$5,Coords[],4,FALSE))^2)))</f>
        <v>1000</v>
      </c>
      <c r="BB51" s="10">
        <f>IF($G51=BB$5,1000,IF(BB$4=0,1000,SQRT((VLOOKUP($G51,Coords[],3,FALSE)-VLOOKUP(BB$5,Coords[],3,FALSE))^2+(VLOOKUP($G51,Coords[],4,FALSE)-VLOOKUP(BB$5,Coords[],4,FALSE))^2)))</f>
        <v>1000</v>
      </c>
      <c r="BC51" s="10">
        <f>IF($G51=BC$5,1000,IF(BC$4=0,1000,SQRT((VLOOKUP($G51,Coords[],3,FALSE)-VLOOKUP(BC$5,Coords[],3,FALSE))^2+(VLOOKUP($G51,Coords[],4,FALSE)-VLOOKUP(BC$5,Coords[],4,FALSE))^2)))</f>
        <v>1000</v>
      </c>
      <c r="BD51" s="10">
        <f>IF($G51=BD$5,1000,IF(BD$4=0,1000,SQRT((VLOOKUP($G51,Coords[],3,FALSE)-VLOOKUP(BD$5,Coords[],3,FALSE))^2+(VLOOKUP($G51,Coords[],4,FALSE)-VLOOKUP(BD$5,Coords[],4,FALSE))^2)))</f>
        <v>1000</v>
      </c>
      <c r="BE51" s="10">
        <f>IF($G51=BE$5,1000,IF(BE$4=0,1000,SQRT((VLOOKUP($G51,Coords[],3,FALSE)-VLOOKUP(BE$5,Coords[],3,FALSE))^2+(VLOOKUP($G51,Coords[],4,FALSE)-VLOOKUP(BE$5,Coords[],4,FALSE))^2)))</f>
        <v>1000</v>
      </c>
      <c r="BF51" s="10">
        <f>IF($G51=BF$5,1000,IF(BF$4=0,1000,SQRT((VLOOKUP($G51,Coords[],3,FALSE)-VLOOKUP(BF$5,Coords[],3,FALSE))^2+(VLOOKUP($G51,Coords[],4,FALSE)-VLOOKUP(BF$5,Coords[],4,FALSE))^2)))</f>
        <v>1000</v>
      </c>
      <c r="BG51" s="10">
        <f>IF($G51=BG$5,1000,IF(BG$4=0,1000,SQRT((VLOOKUP($G51,Coords[],3,FALSE)-VLOOKUP(BG$5,Coords[],3,FALSE))^2+(VLOOKUP($G51,Coords[],4,FALSE)-VLOOKUP(BG$5,Coords[],4,FALSE))^2)))</f>
        <v>1000</v>
      </c>
      <c r="BH51" s="10">
        <f>IF($G51=BH$5,1000,IF(BH$4=0,1000,SQRT((VLOOKUP($G51,Coords[],3,FALSE)-VLOOKUP(BH$5,Coords[],3,FALSE))^2+(VLOOKUP($G51,Coords[],4,FALSE)-VLOOKUP(BH$5,Coords[],4,FALSE))^2)))</f>
        <v>1000</v>
      </c>
      <c r="BI51" s="10">
        <f>IF($G51=BI$5,1000,IF(BI$4=0,1000,SQRT((VLOOKUP($G51,Coords[],3,FALSE)-VLOOKUP(BI$5,Coords[],3,FALSE))^2+(VLOOKUP($G51,Coords[],4,FALSE)-VLOOKUP(BI$5,Coords[],4,FALSE))^2)))</f>
        <v>1000</v>
      </c>
      <c r="BJ51" s="10">
        <f>IF($G51=BJ$5,1000,IF(BJ$4=0,1000,SQRT((VLOOKUP($G51,Coords[],3,FALSE)-VLOOKUP(BJ$5,Coords[],3,FALSE))^2+(VLOOKUP($G51,Coords[],4,FALSE)-VLOOKUP(BJ$5,Coords[],4,FALSE))^2)))</f>
        <v>1000</v>
      </c>
      <c r="BK51" s="10">
        <f>IF($G51=BK$5,1000,IF(BK$4=0,1000,SQRT((VLOOKUP($G51,Coords[],3,FALSE)-VLOOKUP(BK$5,Coords[],3,FALSE))^2+(VLOOKUP($G51,Coords[],4,FALSE)-VLOOKUP(BK$5,Coords[],4,FALSE))^2)))</f>
        <v>1000</v>
      </c>
      <c r="BL51" s="10">
        <f>IF($G51=BL$5,1000,IF(BL$4=0,1000,SQRT((VLOOKUP($G51,Coords[],3,FALSE)-VLOOKUP(BL$5,Coords[],3,FALSE))^2+(VLOOKUP($G51,Coords[],4,FALSE)-VLOOKUP(BL$5,Coords[],4,FALSE))^2)))</f>
        <v>1000</v>
      </c>
      <c r="BM51" s="10">
        <f>IF($G51=BM$5,1000,IF(BM$4=0,1000,SQRT((VLOOKUP($G51,Coords[],3,FALSE)-VLOOKUP(BM$5,Coords[],3,FALSE))^2+(VLOOKUP($G51,Coords[],4,FALSE)-VLOOKUP(BM$5,Coords[],4,FALSE))^2)))</f>
        <v>1000</v>
      </c>
      <c r="BN51" s="10">
        <f>IF($G51=BN$5,1000,IF(BN$4=0,1000,SQRT((VLOOKUP($G51,Coords[],3,FALSE)-VLOOKUP(BN$5,Coords[],3,FALSE))^2+(VLOOKUP($G51,Coords[],4,FALSE)-VLOOKUP(BN$5,Coords[],4,FALSE))^2)))</f>
        <v>1000</v>
      </c>
      <c r="BO51" s="10">
        <f>IF($G51=BO$5,1000,IF(BO$4=0,1000,SQRT((VLOOKUP($G51,Coords[],3,FALSE)-VLOOKUP(BO$5,Coords[],3,FALSE))^2+(VLOOKUP($G51,Coords[],4,FALSE)-VLOOKUP(BO$5,Coords[],4,FALSE))^2)))</f>
        <v>1000</v>
      </c>
      <c r="BP51" s="10">
        <f>IF($G51=BP$5,1000,IF(BP$4=0,1000,SQRT((VLOOKUP($G51,Coords[],3,FALSE)-VLOOKUP(BP$5,Coords[],3,FALSE))^2+(VLOOKUP($G51,Coords[],4,FALSE)-VLOOKUP(BP$5,Coords[],4,FALSE))^2)))</f>
        <v>1000</v>
      </c>
      <c r="BQ51" s="10">
        <f>IF($G51=BQ$5,1000,IF(BQ$4=0,1000,SQRT((VLOOKUP($G51,Coords[],3,FALSE)-VLOOKUP(BQ$5,Coords[],3,FALSE))^2+(VLOOKUP($G51,Coords[],4,FALSE)-VLOOKUP(BQ$5,Coords[],4,FALSE))^2)))</f>
        <v>1000</v>
      </c>
      <c r="BR51" s="10">
        <f>IF($G51=BR$5,1000,IF(BR$4=0,1000,SQRT((VLOOKUP($G51,Coords[],3,FALSE)-VLOOKUP(BR$5,Coords[],3,FALSE))^2+(VLOOKUP($G51,Coords[],4,FALSE)-VLOOKUP(BR$5,Coords[],4,FALSE))^2)))</f>
        <v>1000</v>
      </c>
      <c r="BS51" s="10">
        <f>IF($G51=BS$5,1000,IF(BS$4=0,1000,SQRT((VLOOKUP($G51,Coords[],3,FALSE)-VLOOKUP(BS$5,Coords[],3,FALSE))^2+(VLOOKUP($G51,Coords[],4,FALSE)-VLOOKUP(BS$5,Coords[],4,FALSE))^2)))</f>
        <v>1000</v>
      </c>
      <c r="BT51" s="10">
        <f>IF($G51=BT$5,1000,IF(BT$4=0,1000,SQRT((VLOOKUP($G51,Coords[],3,FALSE)-VLOOKUP(BT$5,Coords[],3,FALSE))^2+(VLOOKUP($G51,Coords[],4,FALSE)-VLOOKUP(BT$5,Coords[],4,FALSE))^2)))</f>
        <v>1000</v>
      </c>
      <c r="BU51" s="10">
        <f>IF($G51=BU$5,1000,IF(BU$4=0,1000,SQRT((VLOOKUP($G51,Coords[],3,FALSE)-VLOOKUP(BU$5,Coords[],3,FALSE))^2+(VLOOKUP($G51,Coords[],4,FALSE)-VLOOKUP(BU$5,Coords[],4,FALSE))^2)))</f>
        <v>1000</v>
      </c>
      <c r="BV51" s="10">
        <f>IF($G51=BV$5,1000,IF(BV$4=0,1000,SQRT((VLOOKUP($G51,Coords[],3,FALSE)-VLOOKUP(BV$5,Coords[],3,FALSE))^2+(VLOOKUP($G51,Coords[],4,FALSE)-VLOOKUP(BV$5,Coords[],4,FALSE))^2)))</f>
        <v>1000</v>
      </c>
      <c r="BW51" s="10">
        <f>IF($G51=BW$5,1000,IF(BW$4=0,1000,SQRT((VLOOKUP($G51,Coords[],3,FALSE)-VLOOKUP(BW$5,Coords[],3,FALSE))^2+(VLOOKUP($G51,Coords[],4,FALSE)-VLOOKUP(BW$5,Coords[],4,FALSE))^2)))</f>
        <v>1000</v>
      </c>
      <c r="BX51" s="10">
        <f>IF($G51=BX$5,1000,IF(BX$4=0,1000,SQRT((VLOOKUP($G51,Coords[],3,FALSE)-VLOOKUP(BX$5,Coords[],3,FALSE))^2+(VLOOKUP($G51,Coords[],4,FALSE)-VLOOKUP(BX$5,Coords[],4,FALSE))^2)))</f>
        <v>1000</v>
      </c>
      <c r="BY51" s="10">
        <f>IF($G51=BY$5,1000,IF(BY$4=0,1000,SQRT((VLOOKUP($G51,Coords[],3,FALSE)-VLOOKUP(BY$5,Coords[],3,FALSE))^2+(VLOOKUP($G51,Coords[],4,FALSE)-VLOOKUP(BY$5,Coords[],4,FALSE))^2)))</f>
        <v>1000</v>
      </c>
      <c r="BZ51" s="10">
        <f>IF($G51=BZ$5,1000,IF(BZ$4=0,1000,SQRT((VLOOKUP($G51,Coords[],3,FALSE)-VLOOKUP(BZ$5,Coords[],3,FALSE))^2+(VLOOKUP($G51,Coords[],4,FALSE)-VLOOKUP(BZ$5,Coords[],4,FALSE))^2)))</f>
        <v>1000</v>
      </c>
      <c r="CA51" s="10">
        <f>IF($G51=CA$5,1000,IF(CA$4=0,1000,SQRT((VLOOKUP($G51,Coords[],3,FALSE)-VLOOKUP(CA$5,Coords[],3,FALSE))^2+(VLOOKUP($G51,Coords[],4,FALSE)-VLOOKUP(CA$5,Coords[],4,FALSE))^2)))</f>
        <v>1000</v>
      </c>
      <c r="CB51" s="10">
        <f>IF($G51=CB$5,1000,IF(CB$4=0,1000,SQRT((VLOOKUP($G51,Coords[],3,FALSE)-VLOOKUP(CB$5,Coords[],3,FALSE))^2+(VLOOKUP($G51,Coords[],4,FALSE)-VLOOKUP(CB$5,Coords[],4,FALSE))^2)))</f>
        <v>1000</v>
      </c>
      <c r="CC51" s="10">
        <f>IF($G51=CC$5,1000,IF(CC$4=0,1000,SQRT((VLOOKUP($G51,Coords[],3,FALSE)-VLOOKUP(CC$5,Coords[],3,FALSE))^2+(VLOOKUP($G51,Coords[],4,FALSE)-VLOOKUP(CC$5,Coords[],4,FALSE))^2)))</f>
        <v>1000</v>
      </c>
      <c r="CD51" s="10">
        <f>IF($G51=CD$5,1000,IF(CD$4=0,1000,SQRT((VLOOKUP($G51,Coords[],3,FALSE)-VLOOKUP(CD$5,Coords[],3,FALSE))^2+(VLOOKUP($G51,Coords[],4,FALSE)-VLOOKUP(CD$5,Coords[],4,FALSE))^2)))</f>
        <v>1000</v>
      </c>
      <c r="CE51" s="10">
        <f>IF($G51=CE$5,1000,IF(CE$4=0,1000,SQRT((VLOOKUP($G51,Coords[],3,FALSE)-VLOOKUP(CE$5,Coords[],3,FALSE))^2+(VLOOKUP($G51,Coords[],4,FALSE)-VLOOKUP(CE$5,Coords[],4,FALSE))^2)))</f>
        <v>1000</v>
      </c>
      <c r="CF51" s="4">
        <v>46</v>
      </c>
      <c r="CH51" s="5">
        <f>IF(E51=1,0,VLOOKUP($G51,$G$6:$CE$82,HLOOKUP(MIN(H51:CE51),$H51:$CE$82,((COUNT($G$6:$G$81)+2)-$G51),FALSE)+1,FALSE)*B51)</f>
        <v>0</v>
      </c>
      <c r="CI51" s="9">
        <f>VLOOKUP($G51,$G$6:$CE$82,HLOOKUP(MIN(H51:CE51),$H51:$CE$82,((COUNT($G$6:$G$81)+2)-$G51),FALSE)+1,FALSE)</f>
        <v>1000</v>
      </c>
      <c r="CJ51" s="7">
        <f>HLOOKUP(MIN(H51:CE51),$H51:$CE$82,((COUNT($G$6:$G$81)+2)-$G51),FALSE)</f>
        <v>1</v>
      </c>
      <c r="CK51">
        <f>CI51*Coords[[#This Row],[Demand]]</f>
        <v>0</v>
      </c>
    </row>
    <row r="52" spans="1:89" x14ac:dyDescent="0.25">
      <c r="A52" s="8">
        <v>47</v>
      </c>
      <c r="B52" s="3"/>
      <c r="C52" s="3"/>
      <c r="D52" s="3"/>
      <c r="E52" s="3"/>
      <c r="G52" s="4">
        <v>47</v>
      </c>
      <c r="H52" s="10">
        <f>IF($G52=H$5,1000,IF(H$4=0,1000,SQRT((VLOOKUP($G52,Coords[],3,FALSE)-VLOOKUP(H$5,Coords[],3,FALSE))^2+(VLOOKUP($G52,Coords[],4,FALSE)-VLOOKUP(H$5,Coords[],4,FALSE))^2)))</f>
        <v>1000</v>
      </c>
      <c r="I52" s="10">
        <f>IF($G52=I$5,1000,IF(I$4=0,1000,SQRT((VLOOKUP($G52,Coords[],3,FALSE)-VLOOKUP(I$5,Coords[],3,FALSE))^2+(VLOOKUP($G52,Coords[],4,FALSE)-VLOOKUP(I$5,Coords[],4,FALSE))^2)))</f>
        <v>1000</v>
      </c>
      <c r="J52" s="10">
        <f>IF($G52=J$5,1000,IF(J$4=0,1000,SQRT((VLOOKUP($G52,Coords[],3,FALSE)-VLOOKUP(J$5,Coords[],3,FALSE))^2+(VLOOKUP($G52,Coords[],4,FALSE)-VLOOKUP(J$5,Coords[],4,FALSE))^2)))</f>
        <v>1000</v>
      </c>
      <c r="K52" s="10">
        <f>IF($G52=K$5,1000,IF(K$4=0,1000,SQRT((VLOOKUP($G52,Coords[],3,FALSE)-VLOOKUP(K$5,Coords[],3,FALSE))^2+(VLOOKUP($G52,Coords[],4,FALSE)-VLOOKUP(K$5,Coords[],4,FALSE))^2)))</f>
        <v>1000</v>
      </c>
      <c r="L52" s="10">
        <f>IF($G52=L$5,1000,IF(L$4=0,1000,SQRT((VLOOKUP($G52,Coords[],3,FALSE)-VLOOKUP(L$5,Coords[],3,FALSE))^2+(VLOOKUP($G52,Coords[],4,FALSE)-VLOOKUP(L$5,Coords[],4,FALSE))^2)))</f>
        <v>1000</v>
      </c>
      <c r="M52" s="10">
        <f>IF($G52=M$5,1000,IF(M$4=0,1000,SQRT((VLOOKUP($G52,Coords[],3,FALSE)-VLOOKUP(M$5,Coords[],3,FALSE))^2+(VLOOKUP($G52,Coords[],4,FALSE)-VLOOKUP(M$5,Coords[],4,FALSE))^2)))</f>
        <v>1000</v>
      </c>
      <c r="N52" s="10">
        <f>IF($G52=N$5,1000,IF(N$4=0,1000,SQRT((VLOOKUP($G52,Coords[],3,FALSE)-VLOOKUP(N$5,Coords[],3,FALSE))^2+(VLOOKUP($G52,Coords[],4,FALSE)-VLOOKUP(N$5,Coords[],4,FALSE))^2)))</f>
        <v>1000</v>
      </c>
      <c r="O52" s="10">
        <f>IF($G52=O$5,1000,IF(O$4=0,1000,SQRT((VLOOKUP($G52,Coords[],3,FALSE)-VLOOKUP(O$5,Coords[],3,FALSE))^2+(VLOOKUP($G52,Coords[],4,FALSE)-VLOOKUP(O$5,Coords[],4,FALSE))^2)))</f>
        <v>1000</v>
      </c>
      <c r="P52" s="10">
        <f>IF($G52=P$5,1000,IF(P$4=0,1000,SQRT((VLOOKUP($G52,Coords[],3,FALSE)-VLOOKUP(P$5,Coords[],3,FALSE))^2+(VLOOKUP($G52,Coords[],4,FALSE)-VLOOKUP(P$5,Coords[],4,FALSE))^2)))</f>
        <v>1000</v>
      </c>
      <c r="Q52" s="10">
        <f>IF($G52=Q$5,1000,IF(Q$4=0,1000,SQRT((VLOOKUP($G52,Coords[],3,FALSE)-VLOOKUP(Q$5,Coords[],3,FALSE))^2+(VLOOKUP($G52,Coords[],4,FALSE)-VLOOKUP(Q$5,Coords[],4,FALSE))^2)))</f>
        <v>1000</v>
      </c>
      <c r="R52" s="10">
        <f>IF($G52=R$5,1000,IF(R$4=0,1000,SQRT((VLOOKUP($G52,Coords[],3,FALSE)-VLOOKUP(R$5,Coords[],3,FALSE))^2+(VLOOKUP($G52,Coords[],4,FALSE)-VLOOKUP(R$5,Coords[],4,FALSE))^2)))</f>
        <v>1000</v>
      </c>
      <c r="S52" s="10">
        <f>IF($G52=S$5,1000,IF(S$4=0,1000,SQRT((VLOOKUP($G52,Coords[],3,FALSE)-VLOOKUP(S$5,Coords[],3,FALSE))^2+(VLOOKUP($G52,Coords[],4,FALSE)-VLOOKUP(S$5,Coords[],4,FALSE))^2)))</f>
        <v>1000</v>
      </c>
      <c r="T52" s="10">
        <f>IF($G52=T$5,1000,IF(T$4=0,1000,SQRT((VLOOKUP($G52,Coords[],3,FALSE)-VLOOKUP(T$5,Coords[],3,FALSE))^2+(VLOOKUP($G52,Coords[],4,FALSE)-VLOOKUP(T$5,Coords[],4,FALSE))^2)))</f>
        <v>1000</v>
      </c>
      <c r="U52" s="10">
        <f>IF($G52=U$5,1000,IF(U$4=0,1000,SQRT((VLOOKUP($G52,Coords[],3,FALSE)-VLOOKUP(U$5,Coords[],3,FALSE))^2+(VLOOKUP($G52,Coords[],4,FALSE)-VLOOKUP(U$5,Coords[],4,FALSE))^2)))</f>
        <v>1000</v>
      </c>
      <c r="V52" s="10">
        <f>IF($G52=V$5,1000,IF(V$4=0,1000,SQRT((VLOOKUP($G52,Coords[],3,FALSE)-VLOOKUP(V$5,Coords[],3,FALSE))^2+(VLOOKUP($G52,Coords[],4,FALSE)-VLOOKUP(V$5,Coords[],4,FALSE))^2)))</f>
        <v>1000</v>
      </c>
      <c r="W52" s="10">
        <f>IF($G52=W$5,1000,IF(W$4=0,1000,SQRT((VLOOKUP($G52,Coords[],3,FALSE)-VLOOKUP(W$5,Coords[],3,FALSE))^2+(VLOOKUP($G52,Coords[],4,FALSE)-VLOOKUP(W$5,Coords[],4,FALSE))^2)))</f>
        <v>1000</v>
      </c>
      <c r="X52" s="10">
        <f>IF($G52=X$5,1000,IF(X$4=0,1000,SQRT((VLOOKUP($G52,Coords[],3,FALSE)-VLOOKUP(X$5,Coords[],3,FALSE))^2+(VLOOKUP($G52,Coords[],4,FALSE)-VLOOKUP(X$5,Coords[],4,FALSE))^2)))</f>
        <v>1000</v>
      </c>
      <c r="Y52" s="10">
        <f>IF($G52=Y$5,1000,IF(Y$4=0,1000,SQRT((VLOOKUP($G52,Coords[],3,FALSE)-VLOOKUP(Y$5,Coords[],3,FALSE))^2+(VLOOKUP($G52,Coords[],4,FALSE)-VLOOKUP(Y$5,Coords[],4,FALSE))^2)))</f>
        <v>1000</v>
      </c>
      <c r="Z52" s="10">
        <f>IF($G52=Z$5,1000,IF(Z$4=0,1000,SQRT((VLOOKUP($G52,Coords[],3,FALSE)-VLOOKUP(Z$5,Coords[],3,FALSE))^2+(VLOOKUP($G52,Coords[],4,FALSE)-VLOOKUP(Z$5,Coords[],4,FALSE))^2)))</f>
        <v>1000</v>
      </c>
      <c r="AA52" s="10">
        <f>IF($G52=AA$5,1000,IF(AA$4=0,1000,SQRT((VLOOKUP($G52,Coords[],3,FALSE)-VLOOKUP(AA$5,Coords[],3,FALSE))^2+(VLOOKUP($G52,Coords[],4,FALSE)-VLOOKUP(AA$5,Coords[],4,FALSE))^2)))</f>
        <v>1000</v>
      </c>
      <c r="AB52" s="10">
        <f>IF($G52=AB$5,1000,IF(AB$4=0,1000,SQRT((VLOOKUP($G52,Coords[],3,FALSE)-VLOOKUP(AB$5,Coords[],3,FALSE))^2+(VLOOKUP($G52,Coords[],4,FALSE)-VLOOKUP(AB$5,Coords[],4,FALSE))^2)))</f>
        <v>1000</v>
      </c>
      <c r="AC52" s="10">
        <f>IF($G52=AC$5,1000,IF(AC$4=0,1000,SQRT((VLOOKUP($G52,Coords[],3,FALSE)-VLOOKUP(AC$5,Coords[],3,FALSE))^2+(VLOOKUP($G52,Coords[],4,FALSE)-VLOOKUP(AC$5,Coords[],4,FALSE))^2)))</f>
        <v>1000</v>
      </c>
      <c r="AD52" s="10">
        <f>IF($G52=AD$5,1000,IF(AD$4=0,1000,SQRT((VLOOKUP($G52,Coords[],3,FALSE)-VLOOKUP(AD$5,Coords[],3,FALSE))^2+(VLOOKUP($G52,Coords[],4,FALSE)-VLOOKUP(AD$5,Coords[],4,FALSE))^2)))</f>
        <v>1000</v>
      </c>
      <c r="AE52" s="10">
        <f>IF($G52=AE$5,1000,IF(AE$4=0,1000,SQRT((VLOOKUP($G52,Coords[],3,FALSE)-VLOOKUP(AE$5,Coords[],3,FALSE))^2+(VLOOKUP($G52,Coords[],4,FALSE)-VLOOKUP(AE$5,Coords[],4,FALSE))^2)))</f>
        <v>1000</v>
      </c>
      <c r="AF52" s="10">
        <f>IF($G52=AF$5,1000,IF(AF$4=0,1000,SQRT((VLOOKUP($G52,Coords[],3,FALSE)-VLOOKUP(AF$5,Coords[],3,FALSE))^2+(VLOOKUP($G52,Coords[],4,FALSE)-VLOOKUP(AF$5,Coords[],4,FALSE))^2)))</f>
        <v>1000</v>
      </c>
      <c r="AG52" s="10">
        <f>IF($G52=AG$5,1000,IF(AG$4=0,1000,SQRT((VLOOKUP($G52,Coords[],3,FALSE)-VLOOKUP(AG$5,Coords[],3,FALSE))^2+(VLOOKUP($G52,Coords[],4,FALSE)-VLOOKUP(AG$5,Coords[],4,FALSE))^2)))</f>
        <v>1000</v>
      </c>
      <c r="AH52" s="10">
        <f>IF($G52=AH$5,1000,IF(AH$4=0,1000,SQRT((VLOOKUP($G52,Coords[],3,FALSE)-VLOOKUP(AH$5,Coords[],3,FALSE))^2+(VLOOKUP($G52,Coords[],4,FALSE)-VLOOKUP(AH$5,Coords[],4,FALSE))^2)))</f>
        <v>1000</v>
      </c>
      <c r="AI52" s="10">
        <f>IF($G52=AI$5,1000,IF(AI$4=0,1000,SQRT((VLOOKUP($G52,Coords[],3,FALSE)-VLOOKUP(AI$5,Coords[],3,FALSE))^2+(VLOOKUP($G52,Coords[],4,FALSE)-VLOOKUP(AI$5,Coords[],4,FALSE))^2)))</f>
        <v>1000</v>
      </c>
      <c r="AJ52" s="10">
        <f>IF($G52=AJ$5,1000,IF(AJ$4=0,1000,SQRT((VLOOKUP($G52,Coords[],3,FALSE)-VLOOKUP(AJ$5,Coords[],3,FALSE))^2+(VLOOKUP($G52,Coords[],4,FALSE)-VLOOKUP(AJ$5,Coords[],4,FALSE))^2)))</f>
        <v>1000</v>
      </c>
      <c r="AK52" s="10">
        <f>IF($G52=AK$5,1000,IF(AK$4=0,1000,SQRT((VLOOKUP($G52,Coords[],3,FALSE)-VLOOKUP(AK$5,Coords[],3,FALSE))^2+(VLOOKUP($G52,Coords[],4,FALSE)-VLOOKUP(AK$5,Coords[],4,FALSE))^2)))</f>
        <v>1000</v>
      </c>
      <c r="AL52" s="10">
        <f>IF($G52=AL$5,1000,IF(AL$4=0,1000,SQRT((VLOOKUP($G52,Coords[],3,FALSE)-VLOOKUP(AL$5,Coords[],3,FALSE))^2+(VLOOKUP($G52,Coords[],4,FALSE)-VLOOKUP(AL$5,Coords[],4,FALSE))^2)))</f>
        <v>1000</v>
      </c>
      <c r="AM52" s="10">
        <f>IF($G52=AM$5,1000,IF(AM$4=0,1000,SQRT((VLOOKUP($G52,Coords[],3,FALSE)-VLOOKUP(AM$5,Coords[],3,FALSE))^2+(VLOOKUP($G52,Coords[],4,FALSE)-VLOOKUP(AM$5,Coords[],4,FALSE))^2)))</f>
        <v>1000</v>
      </c>
      <c r="AN52" s="10">
        <f>IF($G52=AN$5,1000,IF(AN$4=0,1000,SQRT((VLOOKUP($G52,Coords[],3,FALSE)-VLOOKUP(AN$5,Coords[],3,FALSE))^2+(VLOOKUP($G52,Coords[],4,FALSE)-VLOOKUP(AN$5,Coords[],4,FALSE))^2)))</f>
        <v>1000</v>
      </c>
      <c r="AO52" s="10">
        <f>IF($G52=AO$5,1000,IF(AO$4=0,1000,SQRT((VLOOKUP($G52,Coords[],3,FALSE)-VLOOKUP(AO$5,Coords[],3,FALSE))^2+(VLOOKUP($G52,Coords[],4,FALSE)-VLOOKUP(AO$5,Coords[],4,FALSE))^2)))</f>
        <v>1000</v>
      </c>
      <c r="AP52" s="10">
        <f>IF($G52=AP$5,1000,IF(AP$4=0,1000,SQRT((VLOOKUP($G52,Coords[],3,FALSE)-VLOOKUP(AP$5,Coords[],3,FALSE))^2+(VLOOKUP($G52,Coords[],4,FALSE)-VLOOKUP(AP$5,Coords[],4,FALSE))^2)))</f>
        <v>1000</v>
      </c>
      <c r="AQ52" s="10">
        <f>IF($G52=AQ$5,1000,IF(AQ$4=0,1000,SQRT((VLOOKUP($G52,Coords[],3,FALSE)-VLOOKUP(AQ$5,Coords[],3,FALSE))^2+(VLOOKUP($G52,Coords[],4,FALSE)-VLOOKUP(AQ$5,Coords[],4,FALSE))^2)))</f>
        <v>1000</v>
      </c>
      <c r="AR52" s="10">
        <f>IF($G52=AR$5,1000,IF(AR$4=0,1000,SQRT((VLOOKUP($G52,Coords[],3,FALSE)-VLOOKUP(AR$5,Coords[],3,FALSE))^2+(VLOOKUP($G52,Coords[],4,FALSE)-VLOOKUP(AR$5,Coords[],4,FALSE))^2)))</f>
        <v>1000</v>
      </c>
      <c r="AS52" s="10">
        <f>IF($G52=AS$5,1000,IF(AS$4=0,1000,SQRT((VLOOKUP($G52,Coords[],3,FALSE)-VLOOKUP(AS$5,Coords[],3,FALSE))^2+(VLOOKUP($G52,Coords[],4,FALSE)-VLOOKUP(AS$5,Coords[],4,FALSE))^2)))</f>
        <v>1000</v>
      </c>
      <c r="AT52" s="10">
        <f>IF($G52=AT$5,1000,IF(AT$4=0,1000,SQRT((VLOOKUP($G52,Coords[],3,FALSE)-VLOOKUP(AT$5,Coords[],3,FALSE))^2+(VLOOKUP($G52,Coords[],4,FALSE)-VLOOKUP(AT$5,Coords[],4,FALSE))^2)))</f>
        <v>1000</v>
      </c>
      <c r="AU52" s="10">
        <f>IF($G52=AU$5,1000,IF(AU$4=0,1000,SQRT((VLOOKUP($G52,Coords[],3,FALSE)-VLOOKUP(AU$5,Coords[],3,FALSE))^2+(VLOOKUP($G52,Coords[],4,FALSE)-VLOOKUP(AU$5,Coords[],4,FALSE))^2)))</f>
        <v>1000</v>
      </c>
      <c r="AV52" s="10">
        <f>IF($G52=AV$5,1000,IF(AV$4=0,1000,SQRT((VLOOKUP($G52,Coords[],3,FALSE)-VLOOKUP(AV$5,Coords[],3,FALSE))^2+(VLOOKUP($G52,Coords[],4,FALSE)-VLOOKUP(AV$5,Coords[],4,FALSE))^2)))</f>
        <v>1000</v>
      </c>
      <c r="AW52" s="10">
        <f>IF($G52=AW$5,1000,IF(AW$4=0,1000,SQRT((VLOOKUP($G52,Coords[],3,FALSE)-VLOOKUP(AW$5,Coords[],3,FALSE))^2+(VLOOKUP($G52,Coords[],4,FALSE)-VLOOKUP(AW$5,Coords[],4,FALSE))^2)))</f>
        <v>1000</v>
      </c>
      <c r="AX52" s="10">
        <f>IF($G52=AX$5,1000,IF(AX$4=0,1000,SQRT((VLOOKUP($G52,Coords[],3,FALSE)-VLOOKUP(AX$5,Coords[],3,FALSE))^2+(VLOOKUP($G52,Coords[],4,FALSE)-VLOOKUP(AX$5,Coords[],4,FALSE))^2)))</f>
        <v>1000</v>
      </c>
      <c r="AY52" s="10">
        <f>IF($G52=AY$5,1000,IF(AY$4=0,1000,SQRT((VLOOKUP($G52,Coords[],3,FALSE)-VLOOKUP(AY$5,Coords[],3,FALSE))^2+(VLOOKUP($G52,Coords[],4,FALSE)-VLOOKUP(AY$5,Coords[],4,FALSE))^2)))</f>
        <v>1000</v>
      </c>
      <c r="AZ52" s="10">
        <f>IF($G52=AZ$5,1000,IF(AZ$4=0,1000,SQRT((VLOOKUP($G52,Coords[],3,FALSE)-VLOOKUP(AZ$5,Coords[],3,FALSE))^2+(VLOOKUP($G52,Coords[],4,FALSE)-VLOOKUP(AZ$5,Coords[],4,FALSE))^2)))</f>
        <v>1000</v>
      </c>
      <c r="BA52" s="10">
        <f>IF($G52=BA$5,1000,IF(BA$4=0,1000,SQRT((VLOOKUP($G52,Coords[],3,FALSE)-VLOOKUP(BA$5,Coords[],3,FALSE))^2+(VLOOKUP($G52,Coords[],4,FALSE)-VLOOKUP(BA$5,Coords[],4,FALSE))^2)))</f>
        <v>1000</v>
      </c>
      <c r="BB52" s="10">
        <f>IF($G52=BB$5,1000,IF(BB$4=0,1000,SQRT((VLOOKUP($G52,Coords[],3,FALSE)-VLOOKUP(BB$5,Coords[],3,FALSE))^2+(VLOOKUP($G52,Coords[],4,FALSE)-VLOOKUP(BB$5,Coords[],4,FALSE))^2)))</f>
        <v>1000</v>
      </c>
      <c r="BC52" s="10">
        <f>IF($G52=BC$5,1000,IF(BC$4=0,1000,SQRT((VLOOKUP($G52,Coords[],3,FALSE)-VLOOKUP(BC$5,Coords[],3,FALSE))^2+(VLOOKUP($G52,Coords[],4,FALSE)-VLOOKUP(BC$5,Coords[],4,FALSE))^2)))</f>
        <v>1000</v>
      </c>
      <c r="BD52" s="10">
        <f>IF($G52=BD$5,1000,IF(BD$4=0,1000,SQRT((VLOOKUP($G52,Coords[],3,FALSE)-VLOOKUP(BD$5,Coords[],3,FALSE))^2+(VLOOKUP($G52,Coords[],4,FALSE)-VLOOKUP(BD$5,Coords[],4,FALSE))^2)))</f>
        <v>1000</v>
      </c>
      <c r="BE52" s="10">
        <f>IF($G52=BE$5,1000,IF(BE$4=0,1000,SQRT((VLOOKUP($G52,Coords[],3,FALSE)-VLOOKUP(BE$5,Coords[],3,FALSE))^2+(VLOOKUP($G52,Coords[],4,FALSE)-VLOOKUP(BE$5,Coords[],4,FALSE))^2)))</f>
        <v>1000</v>
      </c>
      <c r="BF52" s="10">
        <f>IF($G52=BF$5,1000,IF(BF$4=0,1000,SQRT((VLOOKUP($G52,Coords[],3,FALSE)-VLOOKUP(BF$5,Coords[],3,FALSE))^2+(VLOOKUP($G52,Coords[],4,FALSE)-VLOOKUP(BF$5,Coords[],4,FALSE))^2)))</f>
        <v>1000</v>
      </c>
      <c r="BG52" s="10">
        <f>IF($G52=BG$5,1000,IF(BG$4=0,1000,SQRT((VLOOKUP($G52,Coords[],3,FALSE)-VLOOKUP(BG$5,Coords[],3,FALSE))^2+(VLOOKUP($G52,Coords[],4,FALSE)-VLOOKUP(BG$5,Coords[],4,FALSE))^2)))</f>
        <v>1000</v>
      </c>
      <c r="BH52" s="10">
        <f>IF($G52=BH$5,1000,IF(BH$4=0,1000,SQRT((VLOOKUP($G52,Coords[],3,FALSE)-VLOOKUP(BH$5,Coords[],3,FALSE))^2+(VLOOKUP($G52,Coords[],4,FALSE)-VLOOKUP(BH$5,Coords[],4,FALSE))^2)))</f>
        <v>1000</v>
      </c>
      <c r="BI52" s="10">
        <f>IF($G52=BI$5,1000,IF(BI$4=0,1000,SQRT((VLOOKUP($G52,Coords[],3,FALSE)-VLOOKUP(BI$5,Coords[],3,FALSE))^2+(VLOOKUP($G52,Coords[],4,FALSE)-VLOOKUP(BI$5,Coords[],4,FALSE))^2)))</f>
        <v>1000</v>
      </c>
      <c r="BJ52" s="10">
        <f>IF($G52=BJ$5,1000,IF(BJ$4=0,1000,SQRT((VLOOKUP($G52,Coords[],3,FALSE)-VLOOKUP(BJ$5,Coords[],3,FALSE))^2+(VLOOKUP($G52,Coords[],4,FALSE)-VLOOKUP(BJ$5,Coords[],4,FALSE))^2)))</f>
        <v>1000</v>
      </c>
      <c r="BK52" s="10">
        <f>IF($G52=BK$5,1000,IF(BK$4=0,1000,SQRT((VLOOKUP($G52,Coords[],3,FALSE)-VLOOKUP(BK$5,Coords[],3,FALSE))^2+(VLOOKUP($G52,Coords[],4,FALSE)-VLOOKUP(BK$5,Coords[],4,FALSE))^2)))</f>
        <v>1000</v>
      </c>
      <c r="BL52" s="10">
        <f>IF($G52=BL$5,1000,IF(BL$4=0,1000,SQRT((VLOOKUP($G52,Coords[],3,FALSE)-VLOOKUP(BL$5,Coords[],3,FALSE))^2+(VLOOKUP($G52,Coords[],4,FALSE)-VLOOKUP(BL$5,Coords[],4,FALSE))^2)))</f>
        <v>1000</v>
      </c>
      <c r="BM52" s="10">
        <f>IF($G52=BM$5,1000,IF(BM$4=0,1000,SQRT((VLOOKUP($G52,Coords[],3,FALSE)-VLOOKUP(BM$5,Coords[],3,FALSE))^2+(VLOOKUP($G52,Coords[],4,FALSE)-VLOOKUP(BM$5,Coords[],4,FALSE))^2)))</f>
        <v>1000</v>
      </c>
      <c r="BN52" s="10">
        <f>IF($G52=BN$5,1000,IF(BN$4=0,1000,SQRT((VLOOKUP($G52,Coords[],3,FALSE)-VLOOKUP(BN$5,Coords[],3,FALSE))^2+(VLOOKUP($G52,Coords[],4,FALSE)-VLOOKUP(BN$5,Coords[],4,FALSE))^2)))</f>
        <v>1000</v>
      </c>
      <c r="BO52" s="10">
        <f>IF($G52=BO$5,1000,IF(BO$4=0,1000,SQRT((VLOOKUP($G52,Coords[],3,FALSE)-VLOOKUP(BO$5,Coords[],3,FALSE))^2+(VLOOKUP($G52,Coords[],4,FALSE)-VLOOKUP(BO$5,Coords[],4,FALSE))^2)))</f>
        <v>1000</v>
      </c>
      <c r="BP52" s="10">
        <f>IF($G52=BP$5,1000,IF(BP$4=0,1000,SQRT((VLOOKUP($G52,Coords[],3,FALSE)-VLOOKUP(BP$5,Coords[],3,FALSE))^2+(VLOOKUP($G52,Coords[],4,FALSE)-VLOOKUP(BP$5,Coords[],4,FALSE))^2)))</f>
        <v>1000</v>
      </c>
      <c r="BQ52" s="10">
        <f>IF($G52=BQ$5,1000,IF(BQ$4=0,1000,SQRT((VLOOKUP($G52,Coords[],3,FALSE)-VLOOKUP(BQ$5,Coords[],3,FALSE))^2+(VLOOKUP($G52,Coords[],4,FALSE)-VLOOKUP(BQ$5,Coords[],4,FALSE))^2)))</f>
        <v>1000</v>
      </c>
      <c r="BR52" s="10">
        <f>IF($G52=BR$5,1000,IF(BR$4=0,1000,SQRT((VLOOKUP($G52,Coords[],3,FALSE)-VLOOKUP(BR$5,Coords[],3,FALSE))^2+(VLOOKUP($G52,Coords[],4,FALSE)-VLOOKUP(BR$5,Coords[],4,FALSE))^2)))</f>
        <v>1000</v>
      </c>
      <c r="BS52" s="10">
        <f>IF($G52=BS$5,1000,IF(BS$4=0,1000,SQRT((VLOOKUP($G52,Coords[],3,FALSE)-VLOOKUP(BS$5,Coords[],3,FALSE))^2+(VLOOKUP($G52,Coords[],4,FALSE)-VLOOKUP(BS$5,Coords[],4,FALSE))^2)))</f>
        <v>1000</v>
      </c>
      <c r="BT52" s="10">
        <f>IF($G52=BT$5,1000,IF(BT$4=0,1000,SQRT((VLOOKUP($G52,Coords[],3,FALSE)-VLOOKUP(BT$5,Coords[],3,FALSE))^2+(VLOOKUP($G52,Coords[],4,FALSE)-VLOOKUP(BT$5,Coords[],4,FALSE))^2)))</f>
        <v>1000</v>
      </c>
      <c r="BU52" s="10">
        <f>IF($G52=BU$5,1000,IF(BU$4=0,1000,SQRT((VLOOKUP($G52,Coords[],3,FALSE)-VLOOKUP(BU$5,Coords[],3,FALSE))^2+(VLOOKUP($G52,Coords[],4,FALSE)-VLOOKUP(BU$5,Coords[],4,FALSE))^2)))</f>
        <v>1000</v>
      </c>
      <c r="BV52" s="10">
        <f>IF($G52=BV$5,1000,IF(BV$4=0,1000,SQRT((VLOOKUP($G52,Coords[],3,FALSE)-VLOOKUP(BV$5,Coords[],3,FALSE))^2+(VLOOKUP($G52,Coords[],4,FALSE)-VLOOKUP(BV$5,Coords[],4,FALSE))^2)))</f>
        <v>1000</v>
      </c>
      <c r="BW52" s="10">
        <f>IF($G52=BW$5,1000,IF(BW$4=0,1000,SQRT((VLOOKUP($G52,Coords[],3,FALSE)-VLOOKUP(BW$5,Coords[],3,FALSE))^2+(VLOOKUP($G52,Coords[],4,FALSE)-VLOOKUP(BW$5,Coords[],4,FALSE))^2)))</f>
        <v>1000</v>
      </c>
      <c r="BX52" s="10">
        <f>IF($G52=BX$5,1000,IF(BX$4=0,1000,SQRT((VLOOKUP($G52,Coords[],3,FALSE)-VLOOKUP(BX$5,Coords[],3,FALSE))^2+(VLOOKUP($G52,Coords[],4,FALSE)-VLOOKUP(BX$5,Coords[],4,FALSE))^2)))</f>
        <v>1000</v>
      </c>
      <c r="BY52" s="10">
        <f>IF($G52=BY$5,1000,IF(BY$4=0,1000,SQRT((VLOOKUP($G52,Coords[],3,FALSE)-VLOOKUP(BY$5,Coords[],3,FALSE))^2+(VLOOKUP($G52,Coords[],4,FALSE)-VLOOKUP(BY$5,Coords[],4,FALSE))^2)))</f>
        <v>1000</v>
      </c>
      <c r="BZ52" s="10">
        <f>IF($G52=BZ$5,1000,IF(BZ$4=0,1000,SQRT((VLOOKUP($G52,Coords[],3,FALSE)-VLOOKUP(BZ$5,Coords[],3,FALSE))^2+(VLOOKUP($G52,Coords[],4,FALSE)-VLOOKUP(BZ$5,Coords[],4,FALSE))^2)))</f>
        <v>1000</v>
      </c>
      <c r="CA52" s="10">
        <f>IF($G52=CA$5,1000,IF(CA$4=0,1000,SQRT((VLOOKUP($G52,Coords[],3,FALSE)-VLOOKUP(CA$5,Coords[],3,FALSE))^2+(VLOOKUP($G52,Coords[],4,FALSE)-VLOOKUP(CA$5,Coords[],4,FALSE))^2)))</f>
        <v>1000</v>
      </c>
      <c r="CB52" s="10">
        <f>IF($G52=CB$5,1000,IF(CB$4=0,1000,SQRT((VLOOKUP($G52,Coords[],3,FALSE)-VLOOKUP(CB$5,Coords[],3,FALSE))^2+(VLOOKUP($G52,Coords[],4,FALSE)-VLOOKUP(CB$5,Coords[],4,FALSE))^2)))</f>
        <v>1000</v>
      </c>
      <c r="CC52" s="10">
        <f>IF($G52=CC$5,1000,IF(CC$4=0,1000,SQRT((VLOOKUP($G52,Coords[],3,FALSE)-VLOOKUP(CC$5,Coords[],3,FALSE))^2+(VLOOKUP($G52,Coords[],4,FALSE)-VLOOKUP(CC$5,Coords[],4,FALSE))^2)))</f>
        <v>1000</v>
      </c>
      <c r="CD52" s="10">
        <f>IF($G52=CD$5,1000,IF(CD$4=0,1000,SQRT((VLOOKUP($G52,Coords[],3,FALSE)-VLOOKUP(CD$5,Coords[],3,FALSE))^2+(VLOOKUP($G52,Coords[],4,FALSE)-VLOOKUP(CD$5,Coords[],4,FALSE))^2)))</f>
        <v>1000</v>
      </c>
      <c r="CE52" s="10">
        <f>IF($G52=CE$5,1000,IF(CE$4=0,1000,SQRT((VLOOKUP($G52,Coords[],3,FALSE)-VLOOKUP(CE$5,Coords[],3,FALSE))^2+(VLOOKUP($G52,Coords[],4,FALSE)-VLOOKUP(CE$5,Coords[],4,FALSE))^2)))</f>
        <v>1000</v>
      </c>
      <c r="CF52" s="4">
        <v>47</v>
      </c>
      <c r="CH52" s="5">
        <f>IF(E52=1,0,VLOOKUP($G52,$G$6:$CE$82,HLOOKUP(MIN(H52:CE52),$H52:$CE$82,((COUNT($G$6:$G$81)+2)-$G52),FALSE)+1,FALSE)*B52)</f>
        <v>0</v>
      </c>
      <c r="CI52" s="9">
        <f>VLOOKUP($G52,$G$6:$CE$82,HLOOKUP(MIN(H52:CE52),$H52:$CE$82,((COUNT($G$6:$G$81)+2)-$G52),FALSE)+1,FALSE)</f>
        <v>1000</v>
      </c>
      <c r="CJ52" s="7">
        <f>HLOOKUP(MIN(H52:CE52),$H52:$CE$82,((COUNT($G$6:$G$81)+2)-$G52),FALSE)</f>
        <v>1</v>
      </c>
      <c r="CK52">
        <f>CI52*Coords[[#This Row],[Demand]]</f>
        <v>0</v>
      </c>
    </row>
    <row r="53" spans="1:89" x14ac:dyDescent="0.25">
      <c r="A53" s="8">
        <v>48</v>
      </c>
      <c r="B53" s="3"/>
      <c r="C53" s="3"/>
      <c r="D53" s="3"/>
      <c r="E53" s="3"/>
      <c r="G53" s="4">
        <v>48</v>
      </c>
      <c r="H53" s="10">
        <f>IF($G53=H$5,1000,IF(H$4=0,1000,SQRT((VLOOKUP($G53,Coords[],3,FALSE)-VLOOKUP(H$5,Coords[],3,FALSE))^2+(VLOOKUP($G53,Coords[],4,FALSE)-VLOOKUP(H$5,Coords[],4,FALSE))^2)))</f>
        <v>1000</v>
      </c>
      <c r="I53" s="10">
        <f>IF($G53=I$5,1000,IF(I$4=0,1000,SQRT((VLOOKUP($G53,Coords[],3,FALSE)-VLOOKUP(I$5,Coords[],3,FALSE))^2+(VLOOKUP($G53,Coords[],4,FALSE)-VLOOKUP(I$5,Coords[],4,FALSE))^2)))</f>
        <v>1000</v>
      </c>
      <c r="J53" s="10">
        <f>IF($G53=J$5,1000,IF(J$4=0,1000,SQRT((VLOOKUP($G53,Coords[],3,FALSE)-VLOOKUP(J$5,Coords[],3,FALSE))^2+(VLOOKUP($G53,Coords[],4,FALSE)-VLOOKUP(J$5,Coords[],4,FALSE))^2)))</f>
        <v>1000</v>
      </c>
      <c r="K53" s="10">
        <f>IF($G53=K$5,1000,IF(K$4=0,1000,SQRT((VLOOKUP($G53,Coords[],3,FALSE)-VLOOKUP(K$5,Coords[],3,FALSE))^2+(VLOOKUP($G53,Coords[],4,FALSE)-VLOOKUP(K$5,Coords[],4,FALSE))^2)))</f>
        <v>1000</v>
      </c>
      <c r="L53" s="10">
        <f>IF($G53=L$5,1000,IF(L$4=0,1000,SQRT((VLOOKUP($G53,Coords[],3,FALSE)-VLOOKUP(L$5,Coords[],3,FALSE))^2+(VLOOKUP($G53,Coords[],4,FALSE)-VLOOKUP(L$5,Coords[],4,FALSE))^2)))</f>
        <v>1000</v>
      </c>
      <c r="M53" s="10">
        <f>IF($G53=M$5,1000,IF(M$4=0,1000,SQRT((VLOOKUP($G53,Coords[],3,FALSE)-VLOOKUP(M$5,Coords[],3,FALSE))^2+(VLOOKUP($G53,Coords[],4,FALSE)-VLOOKUP(M$5,Coords[],4,FALSE))^2)))</f>
        <v>1000</v>
      </c>
      <c r="N53" s="10">
        <f>IF($G53=N$5,1000,IF(N$4=0,1000,SQRT((VLOOKUP($G53,Coords[],3,FALSE)-VLOOKUP(N$5,Coords[],3,FALSE))^2+(VLOOKUP($G53,Coords[],4,FALSE)-VLOOKUP(N$5,Coords[],4,FALSE))^2)))</f>
        <v>1000</v>
      </c>
      <c r="O53" s="10">
        <f>IF($G53=O$5,1000,IF(O$4=0,1000,SQRT((VLOOKUP($G53,Coords[],3,FALSE)-VLOOKUP(O$5,Coords[],3,FALSE))^2+(VLOOKUP($G53,Coords[],4,FALSE)-VLOOKUP(O$5,Coords[],4,FALSE))^2)))</f>
        <v>1000</v>
      </c>
      <c r="P53" s="10">
        <f>IF($G53=P$5,1000,IF(P$4=0,1000,SQRT((VLOOKUP($G53,Coords[],3,FALSE)-VLOOKUP(P$5,Coords[],3,FALSE))^2+(VLOOKUP($G53,Coords[],4,FALSE)-VLOOKUP(P$5,Coords[],4,FALSE))^2)))</f>
        <v>1000</v>
      </c>
      <c r="Q53" s="10">
        <f>IF($G53=Q$5,1000,IF(Q$4=0,1000,SQRT((VLOOKUP($G53,Coords[],3,FALSE)-VLOOKUP(Q$5,Coords[],3,FALSE))^2+(VLOOKUP($G53,Coords[],4,FALSE)-VLOOKUP(Q$5,Coords[],4,FALSE))^2)))</f>
        <v>1000</v>
      </c>
      <c r="R53" s="10">
        <f>IF($G53=R$5,1000,IF(R$4=0,1000,SQRT((VLOOKUP($G53,Coords[],3,FALSE)-VLOOKUP(R$5,Coords[],3,FALSE))^2+(VLOOKUP($G53,Coords[],4,FALSE)-VLOOKUP(R$5,Coords[],4,FALSE))^2)))</f>
        <v>1000</v>
      </c>
      <c r="S53" s="10">
        <f>IF($G53=S$5,1000,IF(S$4=0,1000,SQRT((VLOOKUP($G53,Coords[],3,FALSE)-VLOOKUP(S$5,Coords[],3,FALSE))^2+(VLOOKUP($G53,Coords[],4,FALSE)-VLOOKUP(S$5,Coords[],4,FALSE))^2)))</f>
        <v>1000</v>
      </c>
      <c r="T53" s="10">
        <f>IF($G53=T$5,1000,IF(T$4=0,1000,SQRT((VLOOKUP($G53,Coords[],3,FALSE)-VLOOKUP(T$5,Coords[],3,FALSE))^2+(VLOOKUP($G53,Coords[],4,FALSE)-VLOOKUP(T$5,Coords[],4,FALSE))^2)))</f>
        <v>1000</v>
      </c>
      <c r="U53" s="10">
        <f>IF($G53=U$5,1000,IF(U$4=0,1000,SQRT((VLOOKUP($G53,Coords[],3,FALSE)-VLOOKUP(U$5,Coords[],3,FALSE))^2+(VLOOKUP($G53,Coords[],4,FALSE)-VLOOKUP(U$5,Coords[],4,FALSE))^2)))</f>
        <v>1000</v>
      </c>
      <c r="V53" s="10">
        <f>IF($G53=V$5,1000,IF(V$4=0,1000,SQRT((VLOOKUP($G53,Coords[],3,FALSE)-VLOOKUP(V$5,Coords[],3,FALSE))^2+(VLOOKUP($G53,Coords[],4,FALSE)-VLOOKUP(V$5,Coords[],4,FALSE))^2)))</f>
        <v>1000</v>
      </c>
      <c r="W53" s="10">
        <f>IF($G53=W$5,1000,IF(W$4=0,1000,SQRT((VLOOKUP($G53,Coords[],3,FALSE)-VLOOKUP(W$5,Coords[],3,FALSE))^2+(VLOOKUP($G53,Coords[],4,FALSE)-VLOOKUP(W$5,Coords[],4,FALSE))^2)))</f>
        <v>1000</v>
      </c>
      <c r="X53" s="10">
        <f>IF($G53=X$5,1000,IF(X$4=0,1000,SQRT((VLOOKUP($G53,Coords[],3,FALSE)-VLOOKUP(X$5,Coords[],3,FALSE))^2+(VLOOKUP($G53,Coords[],4,FALSE)-VLOOKUP(X$5,Coords[],4,FALSE))^2)))</f>
        <v>1000</v>
      </c>
      <c r="Y53" s="10">
        <f>IF($G53=Y$5,1000,IF(Y$4=0,1000,SQRT((VLOOKUP($G53,Coords[],3,FALSE)-VLOOKUP(Y$5,Coords[],3,FALSE))^2+(VLOOKUP($G53,Coords[],4,FALSE)-VLOOKUP(Y$5,Coords[],4,FALSE))^2)))</f>
        <v>1000</v>
      </c>
      <c r="Z53" s="10">
        <f>IF($G53=Z$5,1000,IF(Z$4=0,1000,SQRT((VLOOKUP($G53,Coords[],3,FALSE)-VLOOKUP(Z$5,Coords[],3,FALSE))^2+(VLOOKUP($G53,Coords[],4,FALSE)-VLOOKUP(Z$5,Coords[],4,FALSE))^2)))</f>
        <v>1000</v>
      </c>
      <c r="AA53" s="10">
        <f>IF($G53=AA$5,1000,IF(AA$4=0,1000,SQRT((VLOOKUP($G53,Coords[],3,FALSE)-VLOOKUP(AA$5,Coords[],3,FALSE))^2+(VLOOKUP($G53,Coords[],4,FALSE)-VLOOKUP(AA$5,Coords[],4,FALSE))^2)))</f>
        <v>1000</v>
      </c>
      <c r="AB53" s="10">
        <f>IF($G53=AB$5,1000,IF(AB$4=0,1000,SQRT((VLOOKUP($G53,Coords[],3,FALSE)-VLOOKUP(AB$5,Coords[],3,FALSE))^2+(VLOOKUP($G53,Coords[],4,FALSE)-VLOOKUP(AB$5,Coords[],4,FALSE))^2)))</f>
        <v>1000</v>
      </c>
      <c r="AC53" s="10">
        <f>IF($G53=AC$5,1000,IF(AC$4=0,1000,SQRT((VLOOKUP($G53,Coords[],3,FALSE)-VLOOKUP(AC$5,Coords[],3,FALSE))^2+(VLOOKUP($G53,Coords[],4,FALSE)-VLOOKUP(AC$5,Coords[],4,FALSE))^2)))</f>
        <v>1000</v>
      </c>
      <c r="AD53" s="10">
        <f>IF($G53=AD$5,1000,IF(AD$4=0,1000,SQRT((VLOOKUP($G53,Coords[],3,FALSE)-VLOOKUP(AD$5,Coords[],3,FALSE))^2+(VLOOKUP($G53,Coords[],4,FALSE)-VLOOKUP(AD$5,Coords[],4,FALSE))^2)))</f>
        <v>1000</v>
      </c>
      <c r="AE53" s="10">
        <f>IF($G53=AE$5,1000,IF(AE$4=0,1000,SQRT((VLOOKUP($G53,Coords[],3,FALSE)-VLOOKUP(AE$5,Coords[],3,FALSE))^2+(VLOOKUP($G53,Coords[],4,FALSE)-VLOOKUP(AE$5,Coords[],4,FALSE))^2)))</f>
        <v>1000</v>
      </c>
      <c r="AF53" s="10">
        <f>IF($G53=AF$5,1000,IF(AF$4=0,1000,SQRT((VLOOKUP($G53,Coords[],3,FALSE)-VLOOKUP(AF$5,Coords[],3,FALSE))^2+(VLOOKUP($G53,Coords[],4,FALSE)-VLOOKUP(AF$5,Coords[],4,FALSE))^2)))</f>
        <v>1000</v>
      </c>
      <c r="AG53" s="10">
        <f>IF($G53=AG$5,1000,IF(AG$4=0,1000,SQRT((VLOOKUP($G53,Coords[],3,FALSE)-VLOOKUP(AG$5,Coords[],3,FALSE))^2+(VLOOKUP($G53,Coords[],4,FALSE)-VLOOKUP(AG$5,Coords[],4,FALSE))^2)))</f>
        <v>1000</v>
      </c>
      <c r="AH53" s="10">
        <f>IF($G53=AH$5,1000,IF(AH$4=0,1000,SQRT((VLOOKUP($G53,Coords[],3,FALSE)-VLOOKUP(AH$5,Coords[],3,FALSE))^2+(VLOOKUP($G53,Coords[],4,FALSE)-VLOOKUP(AH$5,Coords[],4,FALSE))^2)))</f>
        <v>1000</v>
      </c>
      <c r="AI53" s="10">
        <f>IF($G53=AI$5,1000,IF(AI$4=0,1000,SQRT((VLOOKUP($G53,Coords[],3,FALSE)-VLOOKUP(AI$5,Coords[],3,FALSE))^2+(VLOOKUP($G53,Coords[],4,FALSE)-VLOOKUP(AI$5,Coords[],4,FALSE))^2)))</f>
        <v>1000</v>
      </c>
      <c r="AJ53" s="10">
        <f>IF($G53=AJ$5,1000,IF(AJ$4=0,1000,SQRT((VLOOKUP($G53,Coords[],3,FALSE)-VLOOKUP(AJ$5,Coords[],3,FALSE))^2+(VLOOKUP($G53,Coords[],4,FALSE)-VLOOKUP(AJ$5,Coords[],4,FALSE))^2)))</f>
        <v>1000</v>
      </c>
      <c r="AK53" s="10">
        <f>IF($G53=AK$5,1000,IF(AK$4=0,1000,SQRT((VLOOKUP($G53,Coords[],3,FALSE)-VLOOKUP(AK$5,Coords[],3,FALSE))^2+(VLOOKUP($G53,Coords[],4,FALSE)-VLOOKUP(AK$5,Coords[],4,FALSE))^2)))</f>
        <v>1000</v>
      </c>
      <c r="AL53" s="10">
        <f>IF($G53=AL$5,1000,IF(AL$4=0,1000,SQRT((VLOOKUP($G53,Coords[],3,FALSE)-VLOOKUP(AL$5,Coords[],3,FALSE))^2+(VLOOKUP($G53,Coords[],4,FALSE)-VLOOKUP(AL$5,Coords[],4,FALSE))^2)))</f>
        <v>1000</v>
      </c>
      <c r="AM53" s="10">
        <f>IF($G53=AM$5,1000,IF(AM$4=0,1000,SQRT((VLOOKUP($G53,Coords[],3,FALSE)-VLOOKUP(AM$5,Coords[],3,FALSE))^2+(VLOOKUP($G53,Coords[],4,FALSE)-VLOOKUP(AM$5,Coords[],4,FALSE))^2)))</f>
        <v>1000</v>
      </c>
      <c r="AN53" s="10">
        <f>IF($G53=AN$5,1000,IF(AN$4=0,1000,SQRT((VLOOKUP($G53,Coords[],3,FALSE)-VLOOKUP(AN$5,Coords[],3,FALSE))^2+(VLOOKUP($G53,Coords[],4,FALSE)-VLOOKUP(AN$5,Coords[],4,FALSE))^2)))</f>
        <v>1000</v>
      </c>
      <c r="AO53" s="10">
        <f>IF($G53=AO$5,1000,IF(AO$4=0,1000,SQRT((VLOOKUP($G53,Coords[],3,FALSE)-VLOOKUP(AO$5,Coords[],3,FALSE))^2+(VLOOKUP($G53,Coords[],4,FALSE)-VLOOKUP(AO$5,Coords[],4,FALSE))^2)))</f>
        <v>1000</v>
      </c>
      <c r="AP53" s="10">
        <f>IF($G53=AP$5,1000,IF(AP$4=0,1000,SQRT((VLOOKUP($G53,Coords[],3,FALSE)-VLOOKUP(AP$5,Coords[],3,FALSE))^2+(VLOOKUP($G53,Coords[],4,FALSE)-VLOOKUP(AP$5,Coords[],4,FALSE))^2)))</f>
        <v>1000</v>
      </c>
      <c r="AQ53" s="10">
        <f>IF($G53=AQ$5,1000,IF(AQ$4=0,1000,SQRT((VLOOKUP($G53,Coords[],3,FALSE)-VLOOKUP(AQ$5,Coords[],3,FALSE))^2+(VLOOKUP($G53,Coords[],4,FALSE)-VLOOKUP(AQ$5,Coords[],4,FALSE))^2)))</f>
        <v>1000</v>
      </c>
      <c r="AR53" s="10">
        <f>IF($G53=AR$5,1000,IF(AR$4=0,1000,SQRT((VLOOKUP($G53,Coords[],3,FALSE)-VLOOKUP(AR$5,Coords[],3,FALSE))^2+(VLOOKUP($G53,Coords[],4,FALSE)-VLOOKUP(AR$5,Coords[],4,FALSE))^2)))</f>
        <v>1000</v>
      </c>
      <c r="AS53" s="10">
        <f>IF($G53=AS$5,1000,IF(AS$4=0,1000,SQRT((VLOOKUP($G53,Coords[],3,FALSE)-VLOOKUP(AS$5,Coords[],3,FALSE))^2+(VLOOKUP($G53,Coords[],4,FALSE)-VLOOKUP(AS$5,Coords[],4,FALSE))^2)))</f>
        <v>1000</v>
      </c>
      <c r="AT53" s="10">
        <f>IF($G53=AT$5,1000,IF(AT$4=0,1000,SQRT((VLOOKUP($G53,Coords[],3,FALSE)-VLOOKUP(AT$5,Coords[],3,FALSE))^2+(VLOOKUP($G53,Coords[],4,FALSE)-VLOOKUP(AT$5,Coords[],4,FALSE))^2)))</f>
        <v>1000</v>
      </c>
      <c r="AU53" s="10">
        <f>IF($G53=AU$5,1000,IF(AU$4=0,1000,SQRT((VLOOKUP($G53,Coords[],3,FALSE)-VLOOKUP(AU$5,Coords[],3,FALSE))^2+(VLOOKUP($G53,Coords[],4,FALSE)-VLOOKUP(AU$5,Coords[],4,FALSE))^2)))</f>
        <v>1000</v>
      </c>
      <c r="AV53" s="10">
        <f>IF($G53=AV$5,1000,IF(AV$4=0,1000,SQRT((VLOOKUP($G53,Coords[],3,FALSE)-VLOOKUP(AV$5,Coords[],3,FALSE))^2+(VLOOKUP($G53,Coords[],4,FALSE)-VLOOKUP(AV$5,Coords[],4,FALSE))^2)))</f>
        <v>1000</v>
      </c>
      <c r="AW53" s="10">
        <f>IF($G53=AW$5,1000,IF(AW$4=0,1000,SQRT((VLOOKUP($G53,Coords[],3,FALSE)-VLOOKUP(AW$5,Coords[],3,FALSE))^2+(VLOOKUP($G53,Coords[],4,FALSE)-VLOOKUP(AW$5,Coords[],4,FALSE))^2)))</f>
        <v>1000</v>
      </c>
      <c r="AX53" s="10">
        <f>IF($G53=AX$5,1000,IF(AX$4=0,1000,SQRT((VLOOKUP($G53,Coords[],3,FALSE)-VLOOKUP(AX$5,Coords[],3,FALSE))^2+(VLOOKUP($G53,Coords[],4,FALSE)-VLOOKUP(AX$5,Coords[],4,FALSE))^2)))</f>
        <v>1000</v>
      </c>
      <c r="AY53" s="10">
        <f>IF($G53=AY$5,1000,IF(AY$4=0,1000,SQRT((VLOOKUP($G53,Coords[],3,FALSE)-VLOOKUP(AY$5,Coords[],3,FALSE))^2+(VLOOKUP($G53,Coords[],4,FALSE)-VLOOKUP(AY$5,Coords[],4,FALSE))^2)))</f>
        <v>1000</v>
      </c>
      <c r="AZ53" s="10">
        <f>IF($G53=AZ$5,1000,IF(AZ$4=0,1000,SQRT((VLOOKUP($G53,Coords[],3,FALSE)-VLOOKUP(AZ$5,Coords[],3,FALSE))^2+(VLOOKUP($G53,Coords[],4,FALSE)-VLOOKUP(AZ$5,Coords[],4,FALSE))^2)))</f>
        <v>1000</v>
      </c>
      <c r="BA53" s="10">
        <f>IF($G53=BA$5,1000,IF(BA$4=0,1000,SQRT((VLOOKUP($G53,Coords[],3,FALSE)-VLOOKUP(BA$5,Coords[],3,FALSE))^2+(VLOOKUP($G53,Coords[],4,FALSE)-VLOOKUP(BA$5,Coords[],4,FALSE))^2)))</f>
        <v>1000</v>
      </c>
      <c r="BB53" s="10">
        <f>IF($G53=BB$5,1000,IF(BB$4=0,1000,SQRT((VLOOKUP($G53,Coords[],3,FALSE)-VLOOKUP(BB$5,Coords[],3,FALSE))^2+(VLOOKUP($G53,Coords[],4,FALSE)-VLOOKUP(BB$5,Coords[],4,FALSE))^2)))</f>
        <v>1000</v>
      </c>
      <c r="BC53" s="10">
        <f>IF($G53=BC$5,1000,IF(BC$4=0,1000,SQRT((VLOOKUP($G53,Coords[],3,FALSE)-VLOOKUP(BC$5,Coords[],3,FALSE))^2+(VLOOKUP($G53,Coords[],4,FALSE)-VLOOKUP(BC$5,Coords[],4,FALSE))^2)))</f>
        <v>1000</v>
      </c>
      <c r="BD53" s="10">
        <f>IF($G53=BD$5,1000,IF(BD$4=0,1000,SQRT((VLOOKUP($G53,Coords[],3,FALSE)-VLOOKUP(BD$5,Coords[],3,FALSE))^2+(VLOOKUP($G53,Coords[],4,FALSE)-VLOOKUP(BD$5,Coords[],4,FALSE))^2)))</f>
        <v>1000</v>
      </c>
      <c r="BE53" s="10">
        <f>IF($G53=BE$5,1000,IF(BE$4=0,1000,SQRT((VLOOKUP($G53,Coords[],3,FALSE)-VLOOKUP(BE$5,Coords[],3,FALSE))^2+(VLOOKUP($G53,Coords[],4,FALSE)-VLOOKUP(BE$5,Coords[],4,FALSE))^2)))</f>
        <v>1000</v>
      </c>
      <c r="BF53" s="10">
        <f>IF($G53=BF$5,1000,IF(BF$4=0,1000,SQRT((VLOOKUP($G53,Coords[],3,FALSE)-VLOOKUP(BF$5,Coords[],3,FALSE))^2+(VLOOKUP($G53,Coords[],4,FALSE)-VLOOKUP(BF$5,Coords[],4,FALSE))^2)))</f>
        <v>1000</v>
      </c>
      <c r="BG53" s="10">
        <f>IF($G53=BG$5,1000,IF(BG$4=0,1000,SQRT((VLOOKUP($G53,Coords[],3,FALSE)-VLOOKUP(BG$5,Coords[],3,FALSE))^2+(VLOOKUP($G53,Coords[],4,FALSE)-VLOOKUP(BG$5,Coords[],4,FALSE))^2)))</f>
        <v>1000</v>
      </c>
      <c r="BH53" s="10">
        <f>IF($G53=BH$5,1000,IF(BH$4=0,1000,SQRT((VLOOKUP($G53,Coords[],3,FALSE)-VLOOKUP(BH$5,Coords[],3,FALSE))^2+(VLOOKUP($G53,Coords[],4,FALSE)-VLOOKUP(BH$5,Coords[],4,FALSE))^2)))</f>
        <v>1000</v>
      </c>
      <c r="BI53" s="10">
        <f>IF($G53=BI$5,1000,IF(BI$4=0,1000,SQRT((VLOOKUP($G53,Coords[],3,FALSE)-VLOOKUP(BI$5,Coords[],3,FALSE))^2+(VLOOKUP($G53,Coords[],4,FALSE)-VLOOKUP(BI$5,Coords[],4,FALSE))^2)))</f>
        <v>1000</v>
      </c>
      <c r="BJ53" s="10">
        <f>IF($G53=BJ$5,1000,IF(BJ$4=0,1000,SQRT((VLOOKUP($G53,Coords[],3,FALSE)-VLOOKUP(BJ$5,Coords[],3,FALSE))^2+(VLOOKUP($G53,Coords[],4,FALSE)-VLOOKUP(BJ$5,Coords[],4,FALSE))^2)))</f>
        <v>1000</v>
      </c>
      <c r="BK53" s="10">
        <f>IF($G53=BK$5,1000,IF(BK$4=0,1000,SQRT((VLOOKUP($G53,Coords[],3,FALSE)-VLOOKUP(BK$5,Coords[],3,FALSE))^2+(VLOOKUP($G53,Coords[],4,FALSE)-VLOOKUP(BK$5,Coords[],4,FALSE))^2)))</f>
        <v>1000</v>
      </c>
      <c r="BL53" s="10">
        <f>IF($G53=BL$5,1000,IF(BL$4=0,1000,SQRT((VLOOKUP($G53,Coords[],3,FALSE)-VLOOKUP(BL$5,Coords[],3,FALSE))^2+(VLOOKUP($G53,Coords[],4,FALSE)-VLOOKUP(BL$5,Coords[],4,FALSE))^2)))</f>
        <v>1000</v>
      </c>
      <c r="BM53" s="10">
        <f>IF($G53=BM$5,1000,IF(BM$4=0,1000,SQRT((VLOOKUP($G53,Coords[],3,FALSE)-VLOOKUP(BM$5,Coords[],3,FALSE))^2+(VLOOKUP($G53,Coords[],4,FALSE)-VLOOKUP(BM$5,Coords[],4,FALSE))^2)))</f>
        <v>1000</v>
      </c>
      <c r="BN53" s="10">
        <f>IF($G53=BN$5,1000,IF(BN$4=0,1000,SQRT((VLOOKUP($G53,Coords[],3,FALSE)-VLOOKUP(BN$5,Coords[],3,FALSE))^2+(VLOOKUP($G53,Coords[],4,FALSE)-VLOOKUP(BN$5,Coords[],4,FALSE))^2)))</f>
        <v>1000</v>
      </c>
      <c r="BO53" s="10">
        <f>IF($G53=BO$5,1000,IF(BO$4=0,1000,SQRT((VLOOKUP($G53,Coords[],3,FALSE)-VLOOKUP(BO$5,Coords[],3,FALSE))^2+(VLOOKUP($G53,Coords[],4,FALSE)-VLOOKUP(BO$5,Coords[],4,FALSE))^2)))</f>
        <v>1000</v>
      </c>
      <c r="BP53" s="10">
        <f>IF($G53=BP$5,1000,IF(BP$4=0,1000,SQRT((VLOOKUP($G53,Coords[],3,FALSE)-VLOOKUP(BP$5,Coords[],3,FALSE))^2+(VLOOKUP($G53,Coords[],4,FALSE)-VLOOKUP(BP$5,Coords[],4,FALSE))^2)))</f>
        <v>1000</v>
      </c>
      <c r="BQ53" s="10">
        <f>IF($G53=BQ$5,1000,IF(BQ$4=0,1000,SQRT((VLOOKUP($G53,Coords[],3,FALSE)-VLOOKUP(BQ$5,Coords[],3,FALSE))^2+(VLOOKUP($G53,Coords[],4,FALSE)-VLOOKUP(BQ$5,Coords[],4,FALSE))^2)))</f>
        <v>1000</v>
      </c>
      <c r="BR53" s="10">
        <f>IF($G53=BR$5,1000,IF(BR$4=0,1000,SQRT((VLOOKUP($G53,Coords[],3,FALSE)-VLOOKUP(BR$5,Coords[],3,FALSE))^2+(VLOOKUP($G53,Coords[],4,FALSE)-VLOOKUP(BR$5,Coords[],4,FALSE))^2)))</f>
        <v>1000</v>
      </c>
      <c r="BS53" s="10">
        <f>IF($G53=BS$5,1000,IF(BS$4=0,1000,SQRT((VLOOKUP($G53,Coords[],3,FALSE)-VLOOKUP(BS$5,Coords[],3,FALSE))^2+(VLOOKUP($G53,Coords[],4,FALSE)-VLOOKUP(BS$5,Coords[],4,FALSE))^2)))</f>
        <v>1000</v>
      </c>
      <c r="BT53" s="10">
        <f>IF($G53=BT$5,1000,IF(BT$4=0,1000,SQRT((VLOOKUP($G53,Coords[],3,FALSE)-VLOOKUP(BT$5,Coords[],3,FALSE))^2+(VLOOKUP($G53,Coords[],4,FALSE)-VLOOKUP(BT$5,Coords[],4,FALSE))^2)))</f>
        <v>1000</v>
      </c>
      <c r="BU53" s="10">
        <f>IF($G53=BU$5,1000,IF(BU$4=0,1000,SQRT((VLOOKUP($G53,Coords[],3,FALSE)-VLOOKUP(BU$5,Coords[],3,FALSE))^2+(VLOOKUP($G53,Coords[],4,FALSE)-VLOOKUP(BU$5,Coords[],4,FALSE))^2)))</f>
        <v>1000</v>
      </c>
      <c r="BV53" s="10">
        <f>IF($G53=BV$5,1000,IF(BV$4=0,1000,SQRT((VLOOKUP($G53,Coords[],3,FALSE)-VLOOKUP(BV$5,Coords[],3,FALSE))^2+(VLOOKUP($G53,Coords[],4,FALSE)-VLOOKUP(BV$5,Coords[],4,FALSE))^2)))</f>
        <v>1000</v>
      </c>
      <c r="BW53" s="10">
        <f>IF($G53=BW$5,1000,IF(BW$4=0,1000,SQRT((VLOOKUP($G53,Coords[],3,FALSE)-VLOOKUP(BW$5,Coords[],3,FALSE))^2+(VLOOKUP($G53,Coords[],4,FALSE)-VLOOKUP(BW$5,Coords[],4,FALSE))^2)))</f>
        <v>1000</v>
      </c>
      <c r="BX53" s="10">
        <f>IF($G53=BX$5,1000,IF(BX$4=0,1000,SQRT((VLOOKUP($G53,Coords[],3,FALSE)-VLOOKUP(BX$5,Coords[],3,FALSE))^2+(VLOOKUP($G53,Coords[],4,FALSE)-VLOOKUP(BX$5,Coords[],4,FALSE))^2)))</f>
        <v>1000</v>
      </c>
      <c r="BY53" s="10">
        <f>IF($G53=BY$5,1000,IF(BY$4=0,1000,SQRT((VLOOKUP($G53,Coords[],3,FALSE)-VLOOKUP(BY$5,Coords[],3,FALSE))^2+(VLOOKUP($G53,Coords[],4,FALSE)-VLOOKUP(BY$5,Coords[],4,FALSE))^2)))</f>
        <v>1000</v>
      </c>
      <c r="BZ53" s="10">
        <f>IF($G53=BZ$5,1000,IF(BZ$4=0,1000,SQRT((VLOOKUP($G53,Coords[],3,FALSE)-VLOOKUP(BZ$5,Coords[],3,FALSE))^2+(VLOOKUP($G53,Coords[],4,FALSE)-VLOOKUP(BZ$5,Coords[],4,FALSE))^2)))</f>
        <v>1000</v>
      </c>
      <c r="CA53" s="10">
        <f>IF($G53=CA$5,1000,IF(CA$4=0,1000,SQRT((VLOOKUP($G53,Coords[],3,FALSE)-VLOOKUP(CA$5,Coords[],3,FALSE))^2+(VLOOKUP($G53,Coords[],4,FALSE)-VLOOKUP(CA$5,Coords[],4,FALSE))^2)))</f>
        <v>1000</v>
      </c>
      <c r="CB53" s="10">
        <f>IF($G53=CB$5,1000,IF(CB$4=0,1000,SQRT((VLOOKUP($G53,Coords[],3,FALSE)-VLOOKUP(CB$5,Coords[],3,FALSE))^2+(VLOOKUP($G53,Coords[],4,FALSE)-VLOOKUP(CB$5,Coords[],4,FALSE))^2)))</f>
        <v>1000</v>
      </c>
      <c r="CC53" s="10">
        <f>IF($G53=CC$5,1000,IF(CC$4=0,1000,SQRT((VLOOKUP($G53,Coords[],3,FALSE)-VLOOKUP(CC$5,Coords[],3,FALSE))^2+(VLOOKUP($G53,Coords[],4,FALSE)-VLOOKUP(CC$5,Coords[],4,FALSE))^2)))</f>
        <v>1000</v>
      </c>
      <c r="CD53" s="10">
        <f>IF($G53=CD$5,1000,IF(CD$4=0,1000,SQRT((VLOOKUP($G53,Coords[],3,FALSE)-VLOOKUP(CD$5,Coords[],3,FALSE))^2+(VLOOKUP($G53,Coords[],4,FALSE)-VLOOKUP(CD$5,Coords[],4,FALSE))^2)))</f>
        <v>1000</v>
      </c>
      <c r="CE53" s="10">
        <f>IF($G53=CE$5,1000,IF(CE$4=0,1000,SQRT((VLOOKUP($G53,Coords[],3,FALSE)-VLOOKUP(CE$5,Coords[],3,FALSE))^2+(VLOOKUP($G53,Coords[],4,FALSE)-VLOOKUP(CE$5,Coords[],4,FALSE))^2)))</f>
        <v>1000</v>
      </c>
      <c r="CF53" s="4">
        <v>48</v>
      </c>
      <c r="CH53" s="5">
        <f>IF(E53=1,0,VLOOKUP($G53,$G$6:$CE$82,HLOOKUP(MIN(H53:CE53),$H53:$CE$82,((COUNT($G$6:$G$81)+2)-$G53),FALSE)+1,FALSE)*B53)</f>
        <v>0</v>
      </c>
      <c r="CI53" s="9">
        <f>VLOOKUP($G53,$G$6:$CE$82,HLOOKUP(MIN(H53:CE53),$H53:$CE$82,((COUNT($G$6:$G$81)+2)-$G53),FALSE)+1,FALSE)</f>
        <v>1000</v>
      </c>
      <c r="CJ53" s="7">
        <f>HLOOKUP(MIN(H53:CE53),$H53:$CE$82,((COUNT($G$6:$G$81)+2)-$G53),FALSE)</f>
        <v>1</v>
      </c>
      <c r="CK53">
        <f>CI53*Coords[[#This Row],[Demand]]</f>
        <v>0</v>
      </c>
    </row>
    <row r="54" spans="1:89" x14ac:dyDescent="0.25">
      <c r="A54" s="8">
        <v>49</v>
      </c>
      <c r="B54" s="3"/>
      <c r="C54" s="3"/>
      <c r="D54" s="3"/>
      <c r="E54" s="3"/>
      <c r="G54" s="4">
        <v>49</v>
      </c>
      <c r="H54" s="10">
        <f>IF($G54=H$5,1000,IF(H$4=0,1000,SQRT((VLOOKUP($G54,Coords[],3,FALSE)-VLOOKUP(H$5,Coords[],3,FALSE))^2+(VLOOKUP($G54,Coords[],4,FALSE)-VLOOKUP(H$5,Coords[],4,FALSE))^2)))</f>
        <v>1000</v>
      </c>
      <c r="I54" s="10">
        <f>IF($G54=I$5,1000,IF(I$4=0,1000,SQRT((VLOOKUP($G54,Coords[],3,FALSE)-VLOOKUP(I$5,Coords[],3,FALSE))^2+(VLOOKUP($G54,Coords[],4,FALSE)-VLOOKUP(I$5,Coords[],4,FALSE))^2)))</f>
        <v>1000</v>
      </c>
      <c r="J54" s="10">
        <f>IF($G54=J$5,1000,IF(J$4=0,1000,SQRT((VLOOKUP($G54,Coords[],3,FALSE)-VLOOKUP(J$5,Coords[],3,FALSE))^2+(VLOOKUP($G54,Coords[],4,FALSE)-VLOOKUP(J$5,Coords[],4,FALSE))^2)))</f>
        <v>1000</v>
      </c>
      <c r="K54" s="10">
        <f>IF($G54=K$5,1000,IF(K$4=0,1000,SQRT((VLOOKUP($G54,Coords[],3,FALSE)-VLOOKUP(K$5,Coords[],3,FALSE))^2+(VLOOKUP($G54,Coords[],4,FALSE)-VLOOKUP(K$5,Coords[],4,FALSE))^2)))</f>
        <v>1000</v>
      </c>
      <c r="L54" s="10">
        <f>IF($G54=L$5,1000,IF(L$4=0,1000,SQRT((VLOOKUP($G54,Coords[],3,FALSE)-VLOOKUP(L$5,Coords[],3,FALSE))^2+(VLOOKUP($G54,Coords[],4,FALSE)-VLOOKUP(L$5,Coords[],4,FALSE))^2)))</f>
        <v>1000</v>
      </c>
      <c r="M54" s="10">
        <f>IF($G54=M$5,1000,IF(M$4=0,1000,SQRT((VLOOKUP($G54,Coords[],3,FALSE)-VLOOKUP(M$5,Coords[],3,FALSE))^2+(VLOOKUP($G54,Coords[],4,FALSE)-VLOOKUP(M$5,Coords[],4,FALSE))^2)))</f>
        <v>1000</v>
      </c>
      <c r="N54" s="10">
        <f>IF($G54=N$5,1000,IF(N$4=0,1000,SQRT((VLOOKUP($G54,Coords[],3,FALSE)-VLOOKUP(N$5,Coords[],3,FALSE))^2+(VLOOKUP($G54,Coords[],4,FALSE)-VLOOKUP(N$5,Coords[],4,FALSE))^2)))</f>
        <v>1000</v>
      </c>
      <c r="O54" s="10">
        <f>IF($G54=O$5,1000,IF(O$4=0,1000,SQRT((VLOOKUP($G54,Coords[],3,FALSE)-VLOOKUP(O$5,Coords[],3,FALSE))^2+(VLOOKUP($G54,Coords[],4,FALSE)-VLOOKUP(O$5,Coords[],4,FALSE))^2)))</f>
        <v>1000</v>
      </c>
      <c r="P54" s="10">
        <f>IF($G54=P$5,1000,IF(P$4=0,1000,SQRT((VLOOKUP($G54,Coords[],3,FALSE)-VLOOKUP(P$5,Coords[],3,FALSE))^2+(VLOOKUP($G54,Coords[],4,FALSE)-VLOOKUP(P$5,Coords[],4,FALSE))^2)))</f>
        <v>1000</v>
      </c>
      <c r="Q54" s="10">
        <f>IF($G54=Q$5,1000,IF(Q$4=0,1000,SQRT((VLOOKUP($G54,Coords[],3,FALSE)-VLOOKUP(Q$5,Coords[],3,FALSE))^2+(VLOOKUP($G54,Coords[],4,FALSE)-VLOOKUP(Q$5,Coords[],4,FALSE))^2)))</f>
        <v>1000</v>
      </c>
      <c r="R54" s="10">
        <f>IF($G54=R$5,1000,IF(R$4=0,1000,SQRT((VLOOKUP($G54,Coords[],3,FALSE)-VLOOKUP(R$5,Coords[],3,FALSE))^2+(VLOOKUP($G54,Coords[],4,FALSE)-VLOOKUP(R$5,Coords[],4,FALSE))^2)))</f>
        <v>1000</v>
      </c>
      <c r="S54" s="10">
        <f>IF($G54=S$5,1000,IF(S$4=0,1000,SQRT((VLOOKUP($G54,Coords[],3,FALSE)-VLOOKUP(S$5,Coords[],3,FALSE))^2+(VLOOKUP($G54,Coords[],4,FALSE)-VLOOKUP(S$5,Coords[],4,FALSE))^2)))</f>
        <v>1000</v>
      </c>
      <c r="T54" s="10">
        <f>IF($G54=T$5,1000,IF(T$4=0,1000,SQRT((VLOOKUP($G54,Coords[],3,FALSE)-VLOOKUP(T$5,Coords[],3,FALSE))^2+(VLOOKUP($G54,Coords[],4,FALSE)-VLOOKUP(T$5,Coords[],4,FALSE))^2)))</f>
        <v>1000</v>
      </c>
      <c r="U54" s="10">
        <f>IF($G54=U$5,1000,IF(U$4=0,1000,SQRT((VLOOKUP($G54,Coords[],3,FALSE)-VLOOKUP(U$5,Coords[],3,FALSE))^2+(VLOOKUP($G54,Coords[],4,FALSE)-VLOOKUP(U$5,Coords[],4,FALSE))^2)))</f>
        <v>1000</v>
      </c>
      <c r="V54" s="10">
        <f>IF($G54=V$5,1000,IF(V$4=0,1000,SQRT((VLOOKUP($G54,Coords[],3,FALSE)-VLOOKUP(V$5,Coords[],3,FALSE))^2+(VLOOKUP($G54,Coords[],4,FALSE)-VLOOKUP(V$5,Coords[],4,FALSE))^2)))</f>
        <v>1000</v>
      </c>
      <c r="W54" s="10">
        <f>IF($G54=W$5,1000,IF(W$4=0,1000,SQRT((VLOOKUP($G54,Coords[],3,FALSE)-VLOOKUP(W$5,Coords[],3,FALSE))^2+(VLOOKUP($G54,Coords[],4,FALSE)-VLOOKUP(W$5,Coords[],4,FALSE))^2)))</f>
        <v>1000</v>
      </c>
      <c r="X54" s="10">
        <f>IF($G54=X$5,1000,IF(X$4=0,1000,SQRT((VLOOKUP($G54,Coords[],3,FALSE)-VLOOKUP(X$5,Coords[],3,FALSE))^2+(VLOOKUP($G54,Coords[],4,FALSE)-VLOOKUP(X$5,Coords[],4,FALSE))^2)))</f>
        <v>1000</v>
      </c>
      <c r="Y54" s="10">
        <f>IF($G54=Y$5,1000,IF(Y$4=0,1000,SQRT((VLOOKUP($G54,Coords[],3,FALSE)-VLOOKUP(Y$5,Coords[],3,FALSE))^2+(VLOOKUP($G54,Coords[],4,FALSE)-VLOOKUP(Y$5,Coords[],4,FALSE))^2)))</f>
        <v>1000</v>
      </c>
      <c r="Z54" s="10">
        <f>IF($G54=Z$5,1000,IF(Z$4=0,1000,SQRT((VLOOKUP($G54,Coords[],3,FALSE)-VLOOKUP(Z$5,Coords[],3,FALSE))^2+(VLOOKUP($G54,Coords[],4,FALSE)-VLOOKUP(Z$5,Coords[],4,FALSE))^2)))</f>
        <v>1000</v>
      </c>
      <c r="AA54" s="10">
        <f>IF($G54=AA$5,1000,IF(AA$4=0,1000,SQRT((VLOOKUP($G54,Coords[],3,FALSE)-VLOOKUP(AA$5,Coords[],3,FALSE))^2+(VLOOKUP($G54,Coords[],4,FALSE)-VLOOKUP(AA$5,Coords[],4,FALSE))^2)))</f>
        <v>1000</v>
      </c>
      <c r="AB54" s="10">
        <f>IF($G54=AB$5,1000,IF(AB$4=0,1000,SQRT((VLOOKUP($G54,Coords[],3,FALSE)-VLOOKUP(AB$5,Coords[],3,FALSE))^2+(VLOOKUP($G54,Coords[],4,FALSE)-VLOOKUP(AB$5,Coords[],4,FALSE))^2)))</f>
        <v>1000</v>
      </c>
      <c r="AC54" s="10">
        <f>IF($G54=AC$5,1000,IF(AC$4=0,1000,SQRT((VLOOKUP($G54,Coords[],3,FALSE)-VLOOKUP(AC$5,Coords[],3,FALSE))^2+(VLOOKUP($G54,Coords[],4,FALSE)-VLOOKUP(AC$5,Coords[],4,FALSE))^2)))</f>
        <v>1000</v>
      </c>
      <c r="AD54" s="10">
        <f>IF($G54=AD$5,1000,IF(AD$4=0,1000,SQRT((VLOOKUP($G54,Coords[],3,FALSE)-VLOOKUP(AD$5,Coords[],3,FALSE))^2+(VLOOKUP($G54,Coords[],4,FALSE)-VLOOKUP(AD$5,Coords[],4,FALSE))^2)))</f>
        <v>1000</v>
      </c>
      <c r="AE54" s="10">
        <f>IF($G54=AE$5,1000,IF(AE$4=0,1000,SQRT((VLOOKUP($G54,Coords[],3,FALSE)-VLOOKUP(AE$5,Coords[],3,FALSE))^2+(VLOOKUP($G54,Coords[],4,FALSE)-VLOOKUP(AE$5,Coords[],4,FALSE))^2)))</f>
        <v>1000</v>
      </c>
      <c r="AF54" s="10">
        <f>IF($G54=AF$5,1000,IF(AF$4=0,1000,SQRT((VLOOKUP($G54,Coords[],3,FALSE)-VLOOKUP(AF$5,Coords[],3,FALSE))^2+(VLOOKUP($G54,Coords[],4,FALSE)-VLOOKUP(AF$5,Coords[],4,FALSE))^2)))</f>
        <v>1000</v>
      </c>
      <c r="AG54" s="10">
        <f>IF($G54=AG$5,1000,IF(AG$4=0,1000,SQRT((VLOOKUP($G54,Coords[],3,FALSE)-VLOOKUP(AG$5,Coords[],3,FALSE))^2+(VLOOKUP($G54,Coords[],4,FALSE)-VLOOKUP(AG$5,Coords[],4,FALSE))^2)))</f>
        <v>1000</v>
      </c>
      <c r="AH54" s="10">
        <f>IF($G54=AH$5,1000,IF(AH$4=0,1000,SQRT((VLOOKUP($G54,Coords[],3,FALSE)-VLOOKUP(AH$5,Coords[],3,FALSE))^2+(VLOOKUP($G54,Coords[],4,FALSE)-VLOOKUP(AH$5,Coords[],4,FALSE))^2)))</f>
        <v>1000</v>
      </c>
      <c r="AI54" s="10">
        <f>IF($G54=AI$5,1000,IF(AI$4=0,1000,SQRT((VLOOKUP($G54,Coords[],3,FALSE)-VLOOKUP(AI$5,Coords[],3,FALSE))^2+(VLOOKUP($G54,Coords[],4,FALSE)-VLOOKUP(AI$5,Coords[],4,FALSE))^2)))</f>
        <v>1000</v>
      </c>
      <c r="AJ54" s="10">
        <f>IF($G54=AJ$5,1000,IF(AJ$4=0,1000,SQRT((VLOOKUP($G54,Coords[],3,FALSE)-VLOOKUP(AJ$5,Coords[],3,FALSE))^2+(VLOOKUP($G54,Coords[],4,FALSE)-VLOOKUP(AJ$5,Coords[],4,FALSE))^2)))</f>
        <v>1000</v>
      </c>
      <c r="AK54" s="10">
        <f>IF($G54=AK$5,1000,IF(AK$4=0,1000,SQRT((VLOOKUP($G54,Coords[],3,FALSE)-VLOOKUP(AK$5,Coords[],3,FALSE))^2+(VLOOKUP($G54,Coords[],4,FALSE)-VLOOKUP(AK$5,Coords[],4,FALSE))^2)))</f>
        <v>1000</v>
      </c>
      <c r="AL54" s="10">
        <f>IF($G54=AL$5,1000,IF(AL$4=0,1000,SQRT((VLOOKUP($G54,Coords[],3,FALSE)-VLOOKUP(AL$5,Coords[],3,FALSE))^2+(VLOOKUP($G54,Coords[],4,FALSE)-VLOOKUP(AL$5,Coords[],4,FALSE))^2)))</f>
        <v>1000</v>
      </c>
      <c r="AM54" s="10">
        <f>IF($G54=AM$5,1000,IF(AM$4=0,1000,SQRT((VLOOKUP($G54,Coords[],3,FALSE)-VLOOKUP(AM$5,Coords[],3,FALSE))^2+(VLOOKUP($G54,Coords[],4,FALSE)-VLOOKUP(AM$5,Coords[],4,FALSE))^2)))</f>
        <v>1000</v>
      </c>
      <c r="AN54" s="10">
        <f>IF($G54=AN$5,1000,IF(AN$4=0,1000,SQRT((VLOOKUP($G54,Coords[],3,FALSE)-VLOOKUP(AN$5,Coords[],3,FALSE))^2+(VLOOKUP($G54,Coords[],4,FALSE)-VLOOKUP(AN$5,Coords[],4,FALSE))^2)))</f>
        <v>1000</v>
      </c>
      <c r="AO54" s="10">
        <f>IF($G54=AO$5,1000,IF(AO$4=0,1000,SQRT((VLOOKUP($G54,Coords[],3,FALSE)-VLOOKUP(AO$5,Coords[],3,FALSE))^2+(VLOOKUP($G54,Coords[],4,FALSE)-VLOOKUP(AO$5,Coords[],4,FALSE))^2)))</f>
        <v>1000</v>
      </c>
      <c r="AP54" s="10">
        <f>IF($G54=AP$5,1000,IF(AP$4=0,1000,SQRT((VLOOKUP($G54,Coords[],3,FALSE)-VLOOKUP(AP$5,Coords[],3,FALSE))^2+(VLOOKUP($G54,Coords[],4,FALSE)-VLOOKUP(AP$5,Coords[],4,FALSE))^2)))</f>
        <v>1000</v>
      </c>
      <c r="AQ54" s="10">
        <f>IF($G54=AQ$5,1000,IF(AQ$4=0,1000,SQRT((VLOOKUP($G54,Coords[],3,FALSE)-VLOOKUP(AQ$5,Coords[],3,FALSE))^2+(VLOOKUP($G54,Coords[],4,FALSE)-VLOOKUP(AQ$5,Coords[],4,FALSE))^2)))</f>
        <v>1000</v>
      </c>
      <c r="AR54" s="10">
        <f>IF($G54=AR$5,1000,IF(AR$4=0,1000,SQRT((VLOOKUP($G54,Coords[],3,FALSE)-VLOOKUP(AR$5,Coords[],3,FALSE))^2+(VLOOKUP($G54,Coords[],4,FALSE)-VLOOKUP(AR$5,Coords[],4,FALSE))^2)))</f>
        <v>1000</v>
      </c>
      <c r="AS54" s="10">
        <f>IF($G54=AS$5,1000,IF(AS$4=0,1000,SQRT((VLOOKUP($G54,Coords[],3,FALSE)-VLOOKUP(AS$5,Coords[],3,FALSE))^2+(VLOOKUP($G54,Coords[],4,FALSE)-VLOOKUP(AS$5,Coords[],4,FALSE))^2)))</f>
        <v>1000</v>
      </c>
      <c r="AT54" s="10">
        <f>IF($G54=AT$5,1000,IF(AT$4=0,1000,SQRT((VLOOKUP($G54,Coords[],3,FALSE)-VLOOKUP(AT$5,Coords[],3,FALSE))^2+(VLOOKUP($G54,Coords[],4,FALSE)-VLOOKUP(AT$5,Coords[],4,FALSE))^2)))</f>
        <v>1000</v>
      </c>
      <c r="AU54" s="10">
        <f>IF($G54=AU$5,1000,IF(AU$4=0,1000,SQRT((VLOOKUP($G54,Coords[],3,FALSE)-VLOOKUP(AU$5,Coords[],3,FALSE))^2+(VLOOKUP($G54,Coords[],4,FALSE)-VLOOKUP(AU$5,Coords[],4,FALSE))^2)))</f>
        <v>1000</v>
      </c>
      <c r="AV54" s="10">
        <f>IF($G54=AV$5,1000,IF(AV$4=0,1000,SQRT((VLOOKUP($G54,Coords[],3,FALSE)-VLOOKUP(AV$5,Coords[],3,FALSE))^2+(VLOOKUP($G54,Coords[],4,FALSE)-VLOOKUP(AV$5,Coords[],4,FALSE))^2)))</f>
        <v>1000</v>
      </c>
      <c r="AW54" s="10">
        <f>IF($G54=AW$5,1000,IF(AW$4=0,1000,SQRT((VLOOKUP($G54,Coords[],3,FALSE)-VLOOKUP(AW$5,Coords[],3,FALSE))^2+(VLOOKUP($G54,Coords[],4,FALSE)-VLOOKUP(AW$5,Coords[],4,FALSE))^2)))</f>
        <v>1000</v>
      </c>
      <c r="AX54" s="10">
        <f>IF($G54=AX$5,1000,IF(AX$4=0,1000,SQRT((VLOOKUP($G54,Coords[],3,FALSE)-VLOOKUP(AX$5,Coords[],3,FALSE))^2+(VLOOKUP($G54,Coords[],4,FALSE)-VLOOKUP(AX$5,Coords[],4,FALSE))^2)))</f>
        <v>1000</v>
      </c>
      <c r="AY54" s="10">
        <f>IF($G54=AY$5,1000,IF(AY$4=0,1000,SQRT((VLOOKUP($G54,Coords[],3,FALSE)-VLOOKUP(AY$5,Coords[],3,FALSE))^2+(VLOOKUP($G54,Coords[],4,FALSE)-VLOOKUP(AY$5,Coords[],4,FALSE))^2)))</f>
        <v>1000</v>
      </c>
      <c r="AZ54" s="10">
        <f>IF($G54=AZ$5,1000,IF(AZ$4=0,1000,SQRT((VLOOKUP($G54,Coords[],3,FALSE)-VLOOKUP(AZ$5,Coords[],3,FALSE))^2+(VLOOKUP($G54,Coords[],4,FALSE)-VLOOKUP(AZ$5,Coords[],4,FALSE))^2)))</f>
        <v>1000</v>
      </c>
      <c r="BA54" s="10">
        <f>IF($G54=BA$5,1000,IF(BA$4=0,1000,SQRT((VLOOKUP($G54,Coords[],3,FALSE)-VLOOKUP(BA$5,Coords[],3,FALSE))^2+(VLOOKUP($G54,Coords[],4,FALSE)-VLOOKUP(BA$5,Coords[],4,FALSE))^2)))</f>
        <v>1000</v>
      </c>
      <c r="BB54" s="10">
        <f>IF($G54=BB$5,1000,IF(BB$4=0,1000,SQRT((VLOOKUP($G54,Coords[],3,FALSE)-VLOOKUP(BB$5,Coords[],3,FALSE))^2+(VLOOKUP($G54,Coords[],4,FALSE)-VLOOKUP(BB$5,Coords[],4,FALSE))^2)))</f>
        <v>1000</v>
      </c>
      <c r="BC54" s="10">
        <f>IF($G54=BC$5,1000,IF(BC$4=0,1000,SQRT((VLOOKUP($G54,Coords[],3,FALSE)-VLOOKUP(BC$5,Coords[],3,FALSE))^2+(VLOOKUP($G54,Coords[],4,FALSE)-VLOOKUP(BC$5,Coords[],4,FALSE))^2)))</f>
        <v>1000</v>
      </c>
      <c r="BD54" s="10">
        <f>IF($G54=BD$5,1000,IF(BD$4=0,1000,SQRT((VLOOKUP($G54,Coords[],3,FALSE)-VLOOKUP(BD$5,Coords[],3,FALSE))^2+(VLOOKUP($G54,Coords[],4,FALSE)-VLOOKUP(BD$5,Coords[],4,FALSE))^2)))</f>
        <v>1000</v>
      </c>
      <c r="BE54" s="10">
        <f>IF($G54=BE$5,1000,IF(BE$4=0,1000,SQRT((VLOOKUP($G54,Coords[],3,FALSE)-VLOOKUP(BE$5,Coords[],3,FALSE))^2+(VLOOKUP($G54,Coords[],4,FALSE)-VLOOKUP(BE$5,Coords[],4,FALSE))^2)))</f>
        <v>1000</v>
      </c>
      <c r="BF54" s="10">
        <f>IF($G54=BF$5,1000,IF(BF$4=0,1000,SQRT((VLOOKUP($G54,Coords[],3,FALSE)-VLOOKUP(BF$5,Coords[],3,FALSE))^2+(VLOOKUP($G54,Coords[],4,FALSE)-VLOOKUP(BF$5,Coords[],4,FALSE))^2)))</f>
        <v>1000</v>
      </c>
      <c r="BG54" s="10">
        <f>IF($G54=BG$5,1000,IF(BG$4=0,1000,SQRT((VLOOKUP($G54,Coords[],3,FALSE)-VLOOKUP(BG$5,Coords[],3,FALSE))^2+(VLOOKUP($G54,Coords[],4,FALSE)-VLOOKUP(BG$5,Coords[],4,FALSE))^2)))</f>
        <v>1000</v>
      </c>
      <c r="BH54" s="10">
        <f>IF($G54=BH$5,1000,IF(BH$4=0,1000,SQRT((VLOOKUP($G54,Coords[],3,FALSE)-VLOOKUP(BH$5,Coords[],3,FALSE))^2+(VLOOKUP($G54,Coords[],4,FALSE)-VLOOKUP(BH$5,Coords[],4,FALSE))^2)))</f>
        <v>1000</v>
      </c>
      <c r="BI54" s="10">
        <f>IF($G54=BI$5,1000,IF(BI$4=0,1000,SQRT((VLOOKUP($G54,Coords[],3,FALSE)-VLOOKUP(BI$5,Coords[],3,FALSE))^2+(VLOOKUP($G54,Coords[],4,FALSE)-VLOOKUP(BI$5,Coords[],4,FALSE))^2)))</f>
        <v>1000</v>
      </c>
      <c r="BJ54" s="10">
        <f>IF($G54=BJ$5,1000,IF(BJ$4=0,1000,SQRT((VLOOKUP($G54,Coords[],3,FALSE)-VLOOKUP(BJ$5,Coords[],3,FALSE))^2+(VLOOKUP($G54,Coords[],4,FALSE)-VLOOKUP(BJ$5,Coords[],4,FALSE))^2)))</f>
        <v>1000</v>
      </c>
      <c r="BK54" s="10">
        <f>IF($G54=BK$5,1000,IF(BK$4=0,1000,SQRT((VLOOKUP($G54,Coords[],3,FALSE)-VLOOKUP(BK$5,Coords[],3,FALSE))^2+(VLOOKUP($G54,Coords[],4,FALSE)-VLOOKUP(BK$5,Coords[],4,FALSE))^2)))</f>
        <v>1000</v>
      </c>
      <c r="BL54" s="10">
        <f>IF($G54=BL$5,1000,IF(BL$4=0,1000,SQRT((VLOOKUP($G54,Coords[],3,FALSE)-VLOOKUP(BL$5,Coords[],3,FALSE))^2+(VLOOKUP($G54,Coords[],4,FALSE)-VLOOKUP(BL$5,Coords[],4,FALSE))^2)))</f>
        <v>1000</v>
      </c>
      <c r="BM54" s="10">
        <f>IF($G54=BM$5,1000,IF(BM$4=0,1000,SQRT((VLOOKUP($G54,Coords[],3,FALSE)-VLOOKUP(BM$5,Coords[],3,FALSE))^2+(VLOOKUP($G54,Coords[],4,FALSE)-VLOOKUP(BM$5,Coords[],4,FALSE))^2)))</f>
        <v>1000</v>
      </c>
      <c r="BN54" s="10">
        <f>IF($G54=BN$5,1000,IF(BN$4=0,1000,SQRT((VLOOKUP($G54,Coords[],3,FALSE)-VLOOKUP(BN$5,Coords[],3,FALSE))^2+(VLOOKUP($G54,Coords[],4,FALSE)-VLOOKUP(BN$5,Coords[],4,FALSE))^2)))</f>
        <v>1000</v>
      </c>
      <c r="BO54" s="10">
        <f>IF($G54=BO$5,1000,IF(BO$4=0,1000,SQRT((VLOOKUP($G54,Coords[],3,FALSE)-VLOOKUP(BO$5,Coords[],3,FALSE))^2+(VLOOKUP($G54,Coords[],4,FALSE)-VLOOKUP(BO$5,Coords[],4,FALSE))^2)))</f>
        <v>1000</v>
      </c>
      <c r="BP54" s="10">
        <f>IF($G54=BP$5,1000,IF(BP$4=0,1000,SQRT((VLOOKUP($G54,Coords[],3,FALSE)-VLOOKUP(BP$5,Coords[],3,FALSE))^2+(VLOOKUP($G54,Coords[],4,FALSE)-VLOOKUP(BP$5,Coords[],4,FALSE))^2)))</f>
        <v>1000</v>
      </c>
      <c r="BQ54" s="10">
        <f>IF($G54=BQ$5,1000,IF(BQ$4=0,1000,SQRT((VLOOKUP($G54,Coords[],3,FALSE)-VLOOKUP(BQ$5,Coords[],3,FALSE))^2+(VLOOKUP($G54,Coords[],4,FALSE)-VLOOKUP(BQ$5,Coords[],4,FALSE))^2)))</f>
        <v>1000</v>
      </c>
      <c r="BR54" s="10">
        <f>IF($G54=BR$5,1000,IF(BR$4=0,1000,SQRT((VLOOKUP($G54,Coords[],3,FALSE)-VLOOKUP(BR$5,Coords[],3,FALSE))^2+(VLOOKUP($G54,Coords[],4,FALSE)-VLOOKUP(BR$5,Coords[],4,FALSE))^2)))</f>
        <v>1000</v>
      </c>
      <c r="BS54" s="10">
        <f>IF($G54=BS$5,1000,IF(BS$4=0,1000,SQRT((VLOOKUP($G54,Coords[],3,FALSE)-VLOOKUP(BS$5,Coords[],3,FALSE))^2+(VLOOKUP($G54,Coords[],4,FALSE)-VLOOKUP(BS$5,Coords[],4,FALSE))^2)))</f>
        <v>1000</v>
      </c>
      <c r="BT54" s="10">
        <f>IF($G54=BT$5,1000,IF(BT$4=0,1000,SQRT((VLOOKUP($G54,Coords[],3,FALSE)-VLOOKUP(BT$5,Coords[],3,FALSE))^2+(VLOOKUP($G54,Coords[],4,FALSE)-VLOOKUP(BT$5,Coords[],4,FALSE))^2)))</f>
        <v>1000</v>
      </c>
      <c r="BU54" s="10">
        <f>IF($G54=BU$5,1000,IF(BU$4=0,1000,SQRT((VLOOKUP($G54,Coords[],3,FALSE)-VLOOKUP(BU$5,Coords[],3,FALSE))^2+(VLOOKUP($G54,Coords[],4,FALSE)-VLOOKUP(BU$5,Coords[],4,FALSE))^2)))</f>
        <v>1000</v>
      </c>
      <c r="BV54" s="10">
        <f>IF($G54=BV$5,1000,IF(BV$4=0,1000,SQRT((VLOOKUP($G54,Coords[],3,FALSE)-VLOOKUP(BV$5,Coords[],3,FALSE))^2+(VLOOKUP($G54,Coords[],4,FALSE)-VLOOKUP(BV$5,Coords[],4,FALSE))^2)))</f>
        <v>1000</v>
      </c>
      <c r="BW54" s="10">
        <f>IF($G54=BW$5,1000,IF(BW$4=0,1000,SQRT((VLOOKUP($G54,Coords[],3,FALSE)-VLOOKUP(BW$5,Coords[],3,FALSE))^2+(VLOOKUP($G54,Coords[],4,FALSE)-VLOOKUP(BW$5,Coords[],4,FALSE))^2)))</f>
        <v>1000</v>
      </c>
      <c r="BX54" s="10">
        <f>IF($G54=BX$5,1000,IF(BX$4=0,1000,SQRT((VLOOKUP($G54,Coords[],3,FALSE)-VLOOKUP(BX$5,Coords[],3,FALSE))^2+(VLOOKUP($G54,Coords[],4,FALSE)-VLOOKUP(BX$5,Coords[],4,FALSE))^2)))</f>
        <v>1000</v>
      </c>
      <c r="BY54" s="10">
        <f>IF($G54=BY$5,1000,IF(BY$4=0,1000,SQRT((VLOOKUP($G54,Coords[],3,FALSE)-VLOOKUP(BY$5,Coords[],3,FALSE))^2+(VLOOKUP($G54,Coords[],4,FALSE)-VLOOKUP(BY$5,Coords[],4,FALSE))^2)))</f>
        <v>1000</v>
      </c>
      <c r="BZ54" s="10">
        <f>IF($G54=BZ$5,1000,IF(BZ$4=0,1000,SQRT((VLOOKUP($G54,Coords[],3,FALSE)-VLOOKUP(BZ$5,Coords[],3,FALSE))^2+(VLOOKUP($G54,Coords[],4,FALSE)-VLOOKUP(BZ$5,Coords[],4,FALSE))^2)))</f>
        <v>1000</v>
      </c>
      <c r="CA54" s="10">
        <f>IF($G54=CA$5,1000,IF(CA$4=0,1000,SQRT((VLOOKUP($G54,Coords[],3,FALSE)-VLOOKUP(CA$5,Coords[],3,FALSE))^2+(VLOOKUP($G54,Coords[],4,FALSE)-VLOOKUP(CA$5,Coords[],4,FALSE))^2)))</f>
        <v>1000</v>
      </c>
      <c r="CB54" s="10">
        <f>IF($G54=CB$5,1000,IF(CB$4=0,1000,SQRT((VLOOKUP($G54,Coords[],3,FALSE)-VLOOKUP(CB$5,Coords[],3,FALSE))^2+(VLOOKUP($G54,Coords[],4,FALSE)-VLOOKUP(CB$5,Coords[],4,FALSE))^2)))</f>
        <v>1000</v>
      </c>
      <c r="CC54" s="10">
        <f>IF($G54=CC$5,1000,IF(CC$4=0,1000,SQRT((VLOOKUP($G54,Coords[],3,FALSE)-VLOOKUP(CC$5,Coords[],3,FALSE))^2+(VLOOKUP($G54,Coords[],4,FALSE)-VLOOKUP(CC$5,Coords[],4,FALSE))^2)))</f>
        <v>1000</v>
      </c>
      <c r="CD54" s="10">
        <f>IF($G54=CD$5,1000,IF(CD$4=0,1000,SQRT((VLOOKUP($G54,Coords[],3,FALSE)-VLOOKUP(CD$5,Coords[],3,FALSE))^2+(VLOOKUP($G54,Coords[],4,FALSE)-VLOOKUP(CD$5,Coords[],4,FALSE))^2)))</f>
        <v>1000</v>
      </c>
      <c r="CE54" s="10">
        <f>IF($G54=CE$5,1000,IF(CE$4=0,1000,SQRT((VLOOKUP($G54,Coords[],3,FALSE)-VLOOKUP(CE$5,Coords[],3,FALSE))^2+(VLOOKUP($G54,Coords[],4,FALSE)-VLOOKUP(CE$5,Coords[],4,FALSE))^2)))</f>
        <v>1000</v>
      </c>
      <c r="CF54" s="4">
        <v>49</v>
      </c>
      <c r="CH54" s="5">
        <f>IF(E54=1,0,VLOOKUP($G54,$G$6:$CE$82,HLOOKUP(MIN(H54:CE54),$H54:$CE$82,((COUNT($G$6:$G$81)+2)-$G54),FALSE)+1,FALSE)*B54)</f>
        <v>0</v>
      </c>
      <c r="CI54" s="9">
        <f>VLOOKUP($G54,$G$6:$CE$82,HLOOKUP(MIN(H54:CE54),$H54:$CE$82,((COUNT($G$6:$G$81)+2)-$G54),FALSE)+1,FALSE)</f>
        <v>1000</v>
      </c>
      <c r="CJ54" s="7">
        <f>HLOOKUP(MIN(H54:CE54),$H54:$CE$82,((COUNT($G$6:$G$81)+2)-$G54),FALSE)</f>
        <v>1</v>
      </c>
      <c r="CK54">
        <f>CI54*Coords[[#This Row],[Demand]]</f>
        <v>0</v>
      </c>
    </row>
    <row r="55" spans="1:89" x14ac:dyDescent="0.25">
      <c r="A55" s="8">
        <v>50</v>
      </c>
      <c r="B55" s="3"/>
      <c r="C55" s="3"/>
      <c r="D55" s="3"/>
      <c r="E55" s="3"/>
      <c r="G55" s="4">
        <v>50</v>
      </c>
      <c r="H55" s="10">
        <f>IF($G55=H$5,1000,IF(H$4=0,1000,SQRT((VLOOKUP($G55,Coords[],3,FALSE)-VLOOKUP(H$5,Coords[],3,FALSE))^2+(VLOOKUP($G55,Coords[],4,FALSE)-VLOOKUP(H$5,Coords[],4,FALSE))^2)))</f>
        <v>1000</v>
      </c>
      <c r="I55" s="10">
        <f>IF($G55=I$5,1000,IF(I$4=0,1000,SQRT((VLOOKUP($G55,Coords[],3,FALSE)-VLOOKUP(I$5,Coords[],3,FALSE))^2+(VLOOKUP($G55,Coords[],4,FALSE)-VLOOKUP(I$5,Coords[],4,FALSE))^2)))</f>
        <v>1000</v>
      </c>
      <c r="J55" s="10">
        <f>IF($G55=J$5,1000,IF(J$4=0,1000,SQRT((VLOOKUP($G55,Coords[],3,FALSE)-VLOOKUP(J$5,Coords[],3,FALSE))^2+(VLOOKUP($G55,Coords[],4,FALSE)-VLOOKUP(J$5,Coords[],4,FALSE))^2)))</f>
        <v>1000</v>
      </c>
      <c r="K55" s="10">
        <f>IF($G55=K$5,1000,IF(K$4=0,1000,SQRT((VLOOKUP($G55,Coords[],3,FALSE)-VLOOKUP(K$5,Coords[],3,FALSE))^2+(VLOOKUP($G55,Coords[],4,FALSE)-VLOOKUP(K$5,Coords[],4,FALSE))^2)))</f>
        <v>1000</v>
      </c>
      <c r="L55" s="10">
        <f>IF($G55=L$5,1000,IF(L$4=0,1000,SQRT((VLOOKUP($G55,Coords[],3,FALSE)-VLOOKUP(L$5,Coords[],3,FALSE))^2+(VLOOKUP($G55,Coords[],4,FALSE)-VLOOKUP(L$5,Coords[],4,FALSE))^2)))</f>
        <v>1000</v>
      </c>
      <c r="M55" s="10">
        <f>IF($G55=M$5,1000,IF(M$4=0,1000,SQRT((VLOOKUP($G55,Coords[],3,FALSE)-VLOOKUP(M$5,Coords[],3,FALSE))^2+(VLOOKUP($G55,Coords[],4,FALSE)-VLOOKUP(M$5,Coords[],4,FALSE))^2)))</f>
        <v>1000</v>
      </c>
      <c r="N55" s="10">
        <f>IF($G55=N$5,1000,IF(N$4=0,1000,SQRT((VLOOKUP($G55,Coords[],3,FALSE)-VLOOKUP(N$5,Coords[],3,FALSE))^2+(VLOOKUP($G55,Coords[],4,FALSE)-VLOOKUP(N$5,Coords[],4,FALSE))^2)))</f>
        <v>1000</v>
      </c>
      <c r="O55" s="10">
        <f>IF($G55=O$5,1000,IF(O$4=0,1000,SQRT((VLOOKUP($G55,Coords[],3,FALSE)-VLOOKUP(O$5,Coords[],3,FALSE))^2+(VLOOKUP($G55,Coords[],4,FALSE)-VLOOKUP(O$5,Coords[],4,FALSE))^2)))</f>
        <v>1000</v>
      </c>
      <c r="P55" s="10">
        <f>IF($G55=P$5,1000,IF(P$4=0,1000,SQRT((VLOOKUP($G55,Coords[],3,FALSE)-VLOOKUP(P$5,Coords[],3,FALSE))^2+(VLOOKUP($G55,Coords[],4,FALSE)-VLOOKUP(P$5,Coords[],4,FALSE))^2)))</f>
        <v>1000</v>
      </c>
      <c r="Q55" s="10">
        <f>IF($G55=Q$5,1000,IF(Q$4=0,1000,SQRT((VLOOKUP($G55,Coords[],3,FALSE)-VLOOKUP(Q$5,Coords[],3,FALSE))^2+(VLOOKUP($G55,Coords[],4,FALSE)-VLOOKUP(Q$5,Coords[],4,FALSE))^2)))</f>
        <v>1000</v>
      </c>
      <c r="R55" s="10">
        <f>IF($G55=R$5,1000,IF(R$4=0,1000,SQRT((VLOOKUP($G55,Coords[],3,FALSE)-VLOOKUP(R$5,Coords[],3,FALSE))^2+(VLOOKUP($G55,Coords[],4,FALSE)-VLOOKUP(R$5,Coords[],4,FALSE))^2)))</f>
        <v>1000</v>
      </c>
      <c r="S55" s="10">
        <f>IF($G55=S$5,1000,IF(S$4=0,1000,SQRT((VLOOKUP($G55,Coords[],3,FALSE)-VLOOKUP(S$5,Coords[],3,FALSE))^2+(VLOOKUP($G55,Coords[],4,FALSE)-VLOOKUP(S$5,Coords[],4,FALSE))^2)))</f>
        <v>1000</v>
      </c>
      <c r="T55" s="10">
        <f>IF($G55=T$5,1000,IF(T$4=0,1000,SQRT((VLOOKUP($G55,Coords[],3,FALSE)-VLOOKUP(T$5,Coords[],3,FALSE))^2+(VLOOKUP($G55,Coords[],4,FALSE)-VLOOKUP(T$5,Coords[],4,FALSE))^2)))</f>
        <v>1000</v>
      </c>
      <c r="U55" s="10">
        <f>IF($G55=U$5,1000,IF(U$4=0,1000,SQRT((VLOOKUP($G55,Coords[],3,FALSE)-VLOOKUP(U$5,Coords[],3,FALSE))^2+(VLOOKUP($G55,Coords[],4,FALSE)-VLOOKUP(U$5,Coords[],4,FALSE))^2)))</f>
        <v>1000</v>
      </c>
      <c r="V55" s="10">
        <f>IF($G55=V$5,1000,IF(V$4=0,1000,SQRT((VLOOKUP($G55,Coords[],3,FALSE)-VLOOKUP(V$5,Coords[],3,FALSE))^2+(VLOOKUP($G55,Coords[],4,FALSE)-VLOOKUP(V$5,Coords[],4,FALSE))^2)))</f>
        <v>1000</v>
      </c>
      <c r="W55" s="10">
        <f>IF($G55=W$5,1000,IF(W$4=0,1000,SQRT((VLOOKUP($G55,Coords[],3,FALSE)-VLOOKUP(W$5,Coords[],3,FALSE))^2+(VLOOKUP($G55,Coords[],4,FALSE)-VLOOKUP(W$5,Coords[],4,FALSE))^2)))</f>
        <v>1000</v>
      </c>
      <c r="X55" s="10">
        <f>IF($G55=X$5,1000,IF(X$4=0,1000,SQRT((VLOOKUP($G55,Coords[],3,FALSE)-VLOOKUP(X$5,Coords[],3,FALSE))^2+(VLOOKUP($G55,Coords[],4,FALSE)-VLOOKUP(X$5,Coords[],4,FALSE))^2)))</f>
        <v>1000</v>
      </c>
      <c r="Y55" s="10">
        <f>IF($G55=Y$5,1000,IF(Y$4=0,1000,SQRT((VLOOKUP($G55,Coords[],3,FALSE)-VLOOKUP(Y$5,Coords[],3,FALSE))^2+(VLOOKUP($G55,Coords[],4,FALSE)-VLOOKUP(Y$5,Coords[],4,FALSE))^2)))</f>
        <v>1000</v>
      </c>
      <c r="Z55" s="10">
        <f>IF($G55=Z$5,1000,IF(Z$4=0,1000,SQRT((VLOOKUP($G55,Coords[],3,FALSE)-VLOOKUP(Z$5,Coords[],3,FALSE))^2+(VLOOKUP($G55,Coords[],4,FALSE)-VLOOKUP(Z$5,Coords[],4,FALSE))^2)))</f>
        <v>1000</v>
      </c>
      <c r="AA55" s="10">
        <f>IF($G55=AA$5,1000,IF(AA$4=0,1000,SQRT((VLOOKUP($G55,Coords[],3,FALSE)-VLOOKUP(AA$5,Coords[],3,FALSE))^2+(VLOOKUP($G55,Coords[],4,FALSE)-VLOOKUP(AA$5,Coords[],4,FALSE))^2)))</f>
        <v>1000</v>
      </c>
      <c r="AB55" s="10">
        <f>IF($G55=AB$5,1000,IF(AB$4=0,1000,SQRT((VLOOKUP($G55,Coords[],3,FALSE)-VLOOKUP(AB$5,Coords[],3,FALSE))^2+(VLOOKUP($G55,Coords[],4,FALSE)-VLOOKUP(AB$5,Coords[],4,FALSE))^2)))</f>
        <v>1000</v>
      </c>
      <c r="AC55" s="10">
        <f>IF($G55=AC$5,1000,IF(AC$4=0,1000,SQRT((VLOOKUP($G55,Coords[],3,FALSE)-VLOOKUP(AC$5,Coords[],3,FALSE))^2+(VLOOKUP($G55,Coords[],4,FALSE)-VLOOKUP(AC$5,Coords[],4,FALSE))^2)))</f>
        <v>1000</v>
      </c>
      <c r="AD55" s="10">
        <f>IF($G55=AD$5,1000,IF(AD$4=0,1000,SQRT((VLOOKUP($G55,Coords[],3,FALSE)-VLOOKUP(AD$5,Coords[],3,FALSE))^2+(VLOOKUP($G55,Coords[],4,FALSE)-VLOOKUP(AD$5,Coords[],4,FALSE))^2)))</f>
        <v>1000</v>
      </c>
      <c r="AE55" s="10">
        <f>IF($G55=AE$5,1000,IF(AE$4=0,1000,SQRT((VLOOKUP($G55,Coords[],3,FALSE)-VLOOKUP(AE$5,Coords[],3,FALSE))^2+(VLOOKUP($G55,Coords[],4,FALSE)-VLOOKUP(AE$5,Coords[],4,FALSE))^2)))</f>
        <v>1000</v>
      </c>
      <c r="AF55" s="10">
        <f>IF($G55=AF$5,1000,IF(AF$4=0,1000,SQRT((VLOOKUP($G55,Coords[],3,FALSE)-VLOOKUP(AF$5,Coords[],3,FALSE))^2+(VLOOKUP($G55,Coords[],4,FALSE)-VLOOKUP(AF$5,Coords[],4,FALSE))^2)))</f>
        <v>1000</v>
      </c>
      <c r="AG55" s="10">
        <f>IF($G55=AG$5,1000,IF(AG$4=0,1000,SQRT((VLOOKUP($G55,Coords[],3,FALSE)-VLOOKUP(AG$5,Coords[],3,FALSE))^2+(VLOOKUP($G55,Coords[],4,FALSE)-VLOOKUP(AG$5,Coords[],4,FALSE))^2)))</f>
        <v>1000</v>
      </c>
      <c r="AH55" s="10">
        <f>IF($G55=AH$5,1000,IF(AH$4=0,1000,SQRT((VLOOKUP($G55,Coords[],3,FALSE)-VLOOKUP(AH$5,Coords[],3,FALSE))^2+(VLOOKUP($G55,Coords[],4,FALSE)-VLOOKUP(AH$5,Coords[],4,FALSE))^2)))</f>
        <v>1000</v>
      </c>
      <c r="AI55" s="10">
        <f>IF($G55=AI$5,1000,IF(AI$4=0,1000,SQRT((VLOOKUP($G55,Coords[],3,FALSE)-VLOOKUP(AI$5,Coords[],3,FALSE))^2+(VLOOKUP($G55,Coords[],4,FALSE)-VLOOKUP(AI$5,Coords[],4,FALSE))^2)))</f>
        <v>1000</v>
      </c>
      <c r="AJ55" s="10">
        <f>IF($G55=AJ$5,1000,IF(AJ$4=0,1000,SQRT((VLOOKUP($G55,Coords[],3,FALSE)-VLOOKUP(AJ$5,Coords[],3,FALSE))^2+(VLOOKUP($G55,Coords[],4,FALSE)-VLOOKUP(AJ$5,Coords[],4,FALSE))^2)))</f>
        <v>1000</v>
      </c>
      <c r="AK55" s="10">
        <f>IF($G55=AK$5,1000,IF(AK$4=0,1000,SQRT((VLOOKUP($G55,Coords[],3,FALSE)-VLOOKUP(AK$5,Coords[],3,FALSE))^2+(VLOOKUP($G55,Coords[],4,FALSE)-VLOOKUP(AK$5,Coords[],4,FALSE))^2)))</f>
        <v>1000</v>
      </c>
      <c r="AL55" s="10">
        <f>IF($G55=AL$5,1000,IF(AL$4=0,1000,SQRT((VLOOKUP($G55,Coords[],3,FALSE)-VLOOKUP(AL$5,Coords[],3,FALSE))^2+(VLOOKUP($G55,Coords[],4,FALSE)-VLOOKUP(AL$5,Coords[],4,FALSE))^2)))</f>
        <v>1000</v>
      </c>
      <c r="AM55" s="10">
        <f>IF($G55=AM$5,1000,IF(AM$4=0,1000,SQRT((VLOOKUP($G55,Coords[],3,FALSE)-VLOOKUP(AM$5,Coords[],3,FALSE))^2+(VLOOKUP($G55,Coords[],4,FALSE)-VLOOKUP(AM$5,Coords[],4,FALSE))^2)))</f>
        <v>1000</v>
      </c>
      <c r="AN55" s="10">
        <f>IF($G55=AN$5,1000,IF(AN$4=0,1000,SQRT((VLOOKUP($G55,Coords[],3,FALSE)-VLOOKUP(AN$5,Coords[],3,FALSE))^2+(VLOOKUP($G55,Coords[],4,FALSE)-VLOOKUP(AN$5,Coords[],4,FALSE))^2)))</f>
        <v>1000</v>
      </c>
      <c r="AO55" s="10">
        <f>IF($G55=AO$5,1000,IF(AO$4=0,1000,SQRT((VLOOKUP($G55,Coords[],3,FALSE)-VLOOKUP(AO$5,Coords[],3,FALSE))^2+(VLOOKUP($G55,Coords[],4,FALSE)-VLOOKUP(AO$5,Coords[],4,FALSE))^2)))</f>
        <v>1000</v>
      </c>
      <c r="AP55" s="10">
        <f>IF($G55=AP$5,1000,IF(AP$4=0,1000,SQRT((VLOOKUP($G55,Coords[],3,FALSE)-VLOOKUP(AP$5,Coords[],3,FALSE))^2+(VLOOKUP($G55,Coords[],4,FALSE)-VLOOKUP(AP$5,Coords[],4,FALSE))^2)))</f>
        <v>1000</v>
      </c>
      <c r="AQ55" s="10">
        <f>IF($G55=AQ$5,1000,IF(AQ$4=0,1000,SQRT((VLOOKUP($G55,Coords[],3,FALSE)-VLOOKUP(AQ$5,Coords[],3,FALSE))^2+(VLOOKUP($G55,Coords[],4,FALSE)-VLOOKUP(AQ$5,Coords[],4,FALSE))^2)))</f>
        <v>1000</v>
      </c>
      <c r="AR55" s="10">
        <f>IF($G55=AR$5,1000,IF(AR$4=0,1000,SQRT((VLOOKUP($G55,Coords[],3,FALSE)-VLOOKUP(AR$5,Coords[],3,FALSE))^2+(VLOOKUP($G55,Coords[],4,FALSE)-VLOOKUP(AR$5,Coords[],4,FALSE))^2)))</f>
        <v>1000</v>
      </c>
      <c r="AS55" s="10">
        <f>IF($G55=AS$5,1000,IF(AS$4=0,1000,SQRT((VLOOKUP($G55,Coords[],3,FALSE)-VLOOKUP(AS$5,Coords[],3,FALSE))^2+(VLOOKUP($G55,Coords[],4,FALSE)-VLOOKUP(AS$5,Coords[],4,FALSE))^2)))</f>
        <v>1000</v>
      </c>
      <c r="AT55" s="10">
        <f>IF($G55=AT$5,1000,IF(AT$4=0,1000,SQRT((VLOOKUP($G55,Coords[],3,FALSE)-VLOOKUP(AT$5,Coords[],3,FALSE))^2+(VLOOKUP($G55,Coords[],4,FALSE)-VLOOKUP(AT$5,Coords[],4,FALSE))^2)))</f>
        <v>1000</v>
      </c>
      <c r="AU55" s="10">
        <f>IF($G55=AU$5,1000,IF(AU$4=0,1000,SQRT((VLOOKUP($G55,Coords[],3,FALSE)-VLOOKUP(AU$5,Coords[],3,FALSE))^2+(VLOOKUP($G55,Coords[],4,FALSE)-VLOOKUP(AU$5,Coords[],4,FALSE))^2)))</f>
        <v>1000</v>
      </c>
      <c r="AV55" s="10">
        <f>IF($G55=AV$5,1000,IF(AV$4=0,1000,SQRT((VLOOKUP($G55,Coords[],3,FALSE)-VLOOKUP(AV$5,Coords[],3,FALSE))^2+(VLOOKUP($G55,Coords[],4,FALSE)-VLOOKUP(AV$5,Coords[],4,FALSE))^2)))</f>
        <v>1000</v>
      </c>
      <c r="AW55" s="10">
        <f>IF($G55=AW$5,1000,IF(AW$4=0,1000,SQRT((VLOOKUP($G55,Coords[],3,FALSE)-VLOOKUP(AW$5,Coords[],3,FALSE))^2+(VLOOKUP($G55,Coords[],4,FALSE)-VLOOKUP(AW$5,Coords[],4,FALSE))^2)))</f>
        <v>1000</v>
      </c>
      <c r="AX55" s="10">
        <f>IF($G55=AX$5,1000,IF(AX$4=0,1000,SQRT((VLOOKUP($G55,Coords[],3,FALSE)-VLOOKUP(AX$5,Coords[],3,FALSE))^2+(VLOOKUP($G55,Coords[],4,FALSE)-VLOOKUP(AX$5,Coords[],4,FALSE))^2)))</f>
        <v>1000</v>
      </c>
      <c r="AY55" s="10">
        <f>IF($G55=AY$5,1000,IF(AY$4=0,1000,SQRT((VLOOKUP($G55,Coords[],3,FALSE)-VLOOKUP(AY$5,Coords[],3,FALSE))^2+(VLOOKUP($G55,Coords[],4,FALSE)-VLOOKUP(AY$5,Coords[],4,FALSE))^2)))</f>
        <v>1000</v>
      </c>
      <c r="AZ55" s="10">
        <f>IF($G55=AZ$5,1000,IF(AZ$4=0,1000,SQRT((VLOOKUP($G55,Coords[],3,FALSE)-VLOOKUP(AZ$5,Coords[],3,FALSE))^2+(VLOOKUP($G55,Coords[],4,FALSE)-VLOOKUP(AZ$5,Coords[],4,FALSE))^2)))</f>
        <v>1000</v>
      </c>
      <c r="BA55" s="10">
        <f>IF($G55=BA$5,1000,IF(BA$4=0,1000,SQRT((VLOOKUP($G55,Coords[],3,FALSE)-VLOOKUP(BA$5,Coords[],3,FALSE))^2+(VLOOKUP($G55,Coords[],4,FALSE)-VLOOKUP(BA$5,Coords[],4,FALSE))^2)))</f>
        <v>1000</v>
      </c>
      <c r="BB55" s="10">
        <f>IF($G55=BB$5,1000,IF(BB$4=0,1000,SQRT((VLOOKUP($G55,Coords[],3,FALSE)-VLOOKUP(BB$5,Coords[],3,FALSE))^2+(VLOOKUP($G55,Coords[],4,FALSE)-VLOOKUP(BB$5,Coords[],4,FALSE))^2)))</f>
        <v>1000</v>
      </c>
      <c r="BC55" s="10">
        <f>IF($G55=BC$5,1000,IF(BC$4=0,1000,SQRT((VLOOKUP($G55,Coords[],3,FALSE)-VLOOKUP(BC$5,Coords[],3,FALSE))^2+(VLOOKUP($G55,Coords[],4,FALSE)-VLOOKUP(BC$5,Coords[],4,FALSE))^2)))</f>
        <v>1000</v>
      </c>
      <c r="BD55" s="10">
        <f>IF($G55=BD$5,1000,IF(BD$4=0,1000,SQRT((VLOOKUP($G55,Coords[],3,FALSE)-VLOOKUP(BD$5,Coords[],3,FALSE))^2+(VLOOKUP($G55,Coords[],4,FALSE)-VLOOKUP(BD$5,Coords[],4,FALSE))^2)))</f>
        <v>1000</v>
      </c>
      <c r="BE55" s="10">
        <f>IF($G55=BE$5,1000,IF(BE$4=0,1000,SQRT((VLOOKUP($G55,Coords[],3,FALSE)-VLOOKUP(BE$5,Coords[],3,FALSE))^2+(VLOOKUP($G55,Coords[],4,FALSE)-VLOOKUP(BE$5,Coords[],4,FALSE))^2)))</f>
        <v>1000</v>
      </c>
      <c r="BF55" s="10">
        <f>IF($G55=BF$5,1000,IF(BF$4=0,1000,SQRT((VLOOKUP($G55,Coords[],3,FALSE)-VLOOKUP(BF$5,Coords[],3,FALSE))^2+(VLOOKUP($G55,Coords[],4,FALSE)-VLOOKUP(BF$5,Coords[],4,FALSE))^2)))</f>
        <v>1000</v>
      </c>
      <c r="BG55" s="10">
        <f>IF($G55=BG$5,1000,IF(BG$4=0,1000,SQRT((VLOOKUP($G55,Coords[],3,FALSE)-VLOOKUP(BG$5,Coords[],3,FALSE))^2+(VLOOKUP($G55,Coords[],4,FALSE)-VLOOKUP(BG$5,Coords[],4,FALSE))^2)))</f>
        <v>1000</v>
      </c>
      <c r="BH55" s="10">
        <f>IF($G55=BH$5,1000,IF(BH$4=0,1000,SQRT((VLOOKUP($G55,Coords[],3,FALSE)-VLOOKUP(BH$5,Coords[],3,FALSE))^2+(VLOOKUP($G55,Coords[],4,FALSE)-VLOOKUP(BH$5,Coords[],4,FALSE))^2)))</f>
        <v>1000</v>
      </c>
      <c r="BI55" s="10">
        <f>IF($G55=BI$5,1000,IF(BI$4=0,1000,SQRT((VLOOKUP($G55,Coords[],3,FALSE)-VLOOKUP(BI$5,Coords[],3,FALSE))^2+(VLOOKUP($G55,Coords[],4,FALSE)-VLOOKUP(BI$5,Coords[],4,FALSE))^2)))</f>
        <v>1000</v>
      </c>
      <c r="BJ55" s="10">
        <f>IF($G55=BJ$5,1000,IF(BJ$4=0,1000,SQRT((VLOOKUP($G55,Coords[],3,FALSE)-VLOOKUP(BJ$5,Coords[],3,FALSE))^2+(VLOOKUP($G55,Coords[],4,FALSE)-VLOOKUP(BJ$5,Coords[],4,FALSE))^2)))</f>
        <v>1000</v>
      </c>
      <c r="BK55" s="10">
        <f>IF($G55=BK$5,1000,IF(BK$4=0,1000,SQRT((VLOOKUP($G55,Coords[],3,FALSE)-VLOOKUP(BK$5,Coords[],3,FALSE))^2+(VLOOKUP($G55,Coords[],4,FALSE)-VLOOKUP(BK$5,Coords[],4,FALSE))^2)))</f>
        <v>1000</v>
      </c>
      <c r="BL55" s="10">
        <f>IF($G55=BL$5,1000,IF(BL$4=0,1000,SQRT((VLOOKUP($G55,Coords[],3,FALSE)-VLOOKUP(BL$5,Coords[],3,FALSE))^2+(VLOOKUP($G55,Coords[],4,FALSE)-VLOOKUP(BL$5,Coords[],4,FALSE))^2)))</f>
        <v>1000</v>
      </c>
      <c r="BM55" s="10">
        <f>IF($G55=BM$5,1000,IF(BM$4=0,1000,SQRT((VLOOKUP($G55,Coords[],3,FALSE)-VLOOKUP(BM$5,Coords[],3,FALSE))^2+(VLOOKUP($G55,Coords[],4,FALSE)-VLOOKUP(BM$5,Coords[],4,FALSE))^2)))</f>
        <v>1000</v>
      </c>
      <c r="BN55" s="10">
        <f>IF($G55=BN$5,1000,IF(BN$4=0,1000,SQRT((VLOOKUP($G55,Coords[],3,FALSE)-VLOOKUP(BN$5,Coords[],3,FALSE))^2+(VLOOKUP($G55,Coords[],4,FALSE)-VLOOKUP(BN$5,Coords[],4,FALSE))^2)))</f>
        <v>1000</v>
      </c>
      <c r="BO55" s="10">
        <f>IF($G55=BO$5,1000,IF(BO$4=0,1000,SQRT((VLOOKUP($G55,Coords[],3,FALSE)-VLOOKUP(BO$5,Coords[],3,FALSE))^2+(VLOOKUP($G55,Coords[],4,FALSE)-VLOOKUP(BO$5,Coords[],4,FALSE))^2)))</f>
        <v>1000</v>
      </c>
      <c r="BP55" s="10">
        <f>IF($G55=BP$5,1000,IF(BP$4=0,1000,SQRT((VLOOKUP($G55,Coords[],3,FALSE)-VLOOKUP(BP$5,Coords[],3,FALSE))^2+(VLOOKUP($G55,Coords[],4,FALSE)-VLOOKUP(BP$5,Coords[],4,FALSE))^2)))</f>
        <v>1000</v>
      </c>
      <c r="BQ55" s="10">
        <f>IF($G55=BQ$5,1000,IF(BQ$4=0,1000,SQRT((VLOOKUP($G55,Coords[],3,FALSE)-VLOOKUP(BQ$5,Coords[],3,FALSE))^2+(VLOOKUP($G55,Coords[],4,FALSE)-VLOOKUP(BQ$5,Coords[],4,FALSE))^2)))</f>
        <v>1000</v>
      </c>
      <c r="BR55" s="10">
        <f>IF($G55=BR$5,1000,IF(BR$4=0,1000,SQRT((VLOOKUP($G55,Coords[],3,FALSE)-VLOOKUP(BR$5,Coords[],3,FALSE))^2+(VLOOKUP($G55,Coords[],4,FALSE)-VLOOKUP(BR$5,Coords[],4,FALSE))^2)))</f>
        <v>1000</v>
      </c>
      <c r="BS55" s="10">
        <f>IF($G55=BS$5,1000,IF(BS$4=0,1000,SQRT((VLOOKUP($G55,Coords[],3,FALSE)-VLOOKUP(BS$5,Coords[],3,FALSE))^2+(VLOOKUP($G55,Coords[],4,FALSE)-VLOOKUP(BS$5,Coords[],4,FALSE))^2)))</f>
        <v>1000</v>
      </c>
      <c r="BT55" s="10">
        <f>IF($G55=BT$5,1000,IF(BT$4=0,1000,SQRT((VLOOKUP($G55,Coords[],3,FALSE)-VLOOKUP(BT$5,Coords[],3,FALSE))^2+(VLOOKUP($G55,Coords[],4,FALSE)-VLOOKUP(BT$5,Coords[],4,FALSE))^2)))</f>
        <v>1000</v>
      </c>
      <c r="BU55" s="10">
        <f>IF($G55=BU$5,1000,IF(BU$4=0,1000,SQRT((VLOOKUP($G55,Coords[],3,FALSE)-VLOOKUP(BU$5,Coords[],3,FALSE))^2+(VLOOKUP($G55,Coords[],4,FALSE)-VLOOKUP(BU$5,Coords[],4,FALSE))^2)))</f>
        <v>1000</v>
      </c>
      <c r="BV55" s="10">
        <f>IF($G55=BV$5,1000,IF(BV$4=0,1000,SQRT((VLOOKUP($G55,Coords[],3,FALSE)-VLOOKUP(BV$5,Coords[],3,FALSE))^2+(VLOOKUP($G55,Coords[],4,FALSE)-VLOOKUP(BV$5,Coords[],4,FALSE))^2)))</f>
        <v>1000</v>
      </c>
      <c r="BW55" s="10">
        <f>IF($G55=BW$5,1000,IF(BW$4=0,1000,SQRT((VLOOKUP($G55,Coords[],3,FALSE)-VLOOKUP(BW$5,Coords[],3,FALSE))^2+(VLOOKUP($G55,Coords[],4,FALSE)-VLOOKUP(BW$5,Coords[],4,FALSE))^2)))</f>
        <v>1000</v>
      </c>
      <c r="BX55" s="10">
        <f>IF($G55=BX$5,1000,IF(BX$4=0,1000,SQRT((VLOOKUP($G55,Coords[],3,FALSE)-VLOOKUP(BX$5,Coords[],3,FALSE))^2+(VLOOKUP($G55,Coords[],4,FALSE)-VLOOKUP(BX$5,Coords[],4,FALSE))^2)))</f>
        <v>1000</v>
      </c>
      <c r="BY55" s="10">
        <f>IF($G55=BY$5,1000,IF(BY$4=0,1000,SQRT((VLOOKUP($G55,Coords[],3,FALSE)-VLOOKUP(BY$5,Coords[],3,FALSE))^2+(VLOOKUP($G55,Coords[],4,FALSE)-VLOOKUP(BY$5,Coords[],4,FALSE))^2)))</f>
        <v>1000</v>
      </c>
      <c r="BZ55" s="10">
        <f>IF($G55=BZ$5,1000,IF(BZ$4=0,1000,SQRT((VLOOKUP($G55,Coords[],3,FALSE)-VLOOKUP(BZ$5,Coords[],3,FALSE))^2+(VLOOKUP($G55,Coords[],4,FALSE)-VLOOKUP(BZ$5,Coords[],4,FALSE))^2)))</f>
        <v>1000</v>
      </c>
      <c r="CA55" s="10">
        <f>IF($G55=CA$5,1000,IF(CA$4=0,1000,SQRT((VLOOKUP($G55,Coords[],3,FALSE)-VLOOKUP(CA$5,Coords[],3,FALSE))^2+(VLOOKUP($G55,Coords[],4,FALSE)-VLOOKUP(CA$5,Coords[],4,FALSE))^2)))</f>
        <v>1000</v>
      </c>
      <c r="CB55" s="10">
        <f>IF($G55=CB$5,1000,IF(CB$4=0,1000,SQRT((VLOOKUP($G55,Coords[],3,FALSE)-VLOOKUP(CB$5,Coords[],3,FALSE))^2+(VLOOKUP($G55,Coords[],4,FALSE)-VLOOKUP(CB$5,Coords[],4,FALSE))^2)))</f>
        <v>1000</v>
      </c>
      <c r="CC55" s="10">
        <f>IF($G55=CC$5,1000,IF(CC$4=0,1000,SQRT((VLOOKUP($G55,Coords[],3,FALSE)-VLOOKUP(CC$5,Coords[],3,FALSE))^2+(VLOOKUP($G55,Coords[],4,FALSE)-VLOOKUP(CC$5,Coords[],4,FALSE))^2)))</f>
        <v>1000</v>
      </c>
      <c r="CD55" s="10">
        <f>IF($G55=CD$5,1000,IF(CD$4=0,1000,SQRT((VLOOKUP($G55,Coords[],3,FALSE)-VLOOKUP(CD$5,Coords[],3,FALSE))^2+(VLOOKUP($G55,Coords[],4,FALSE)-VLOOKUP(CD$5,Coords[],4,FALSE))^2)))</f>
        <v>1000</v>
      </c>
      <c r="CE55" s="10">
        <f>IF($G55=CE$5,1000,IF(CE$4=0,1000,SQRT((VLOOKUP($G55,Coords[],3,FALSE)-VLOOKUP(CE$5,Coords[],3,FALSE))^2+(VLOOKUP($G55,Coords[],4,FALSE)-VLOOKUP(CE$5,Coords[],4,FALSE))^2)))</f>
        <v>1000</v>
      </c>
      <c r="CF55" s="4">
        <v>50</v>
      </c>
      <c r="CH55" s="5">
        <f>IF(E55=1,0,VLOOKUP($G55,$G$6:$CE$82,HLOOKUP(MIN(H55:CE55),$H55:$CE$82,((COUNT($G$6:$G$81)+2)-$G55),FALSE)+1,FALSE)*B55)</f>
        <v>0</v>
      </c>
      <c r="CI55" s="9">
        <f>VLOOKUP($G55,$G$6:$CE$82,HLOOKUP(MIN(H55:CE55),$H55:$CE$82,((COUNT($G$6:$G$81)+2)-$G55),FALSE)+1,FALSE)</f>
        <v>1000</v>
      </c>
      <c r="CJ55" s="7">
        <f>HLOOKUP(MIN(H55:CE55),$H55:$CE$82,((COUNT($G$6:$G$81)+2)-$G55),FALSE)</f>
        <v>1</v>
      </c>
      <c r="CK55">
        <f>CI55*Coords[[#This Row],[Demand]]</f>
        <v>0</v>
      </c>
    </row>
    <row r="56" spans="1:89" x14ac:dyDescent="0.25">
      <c r="A56" s="8">
        <v>51</v>
      </c>
      <c r="B56" s="3"/>
      <c r="C56" s="3"/>
      <c r="D56" s="3"/>
      <c r="E56" s="3"/>
      <c r="G56" s="4">
        <v>51</v>
      </c>
      <c r="H56" s="10">
        <f>IF($G56=H$5,1000,IF(H$4=0,1000,SQRT((VLOOKUP($G56,Coords[],3,FALSE)-VLOOKUP(H$5,Coords[],3,FALSE))^2+(VLOOKUP($G56,Coords[],4,FALSE)-VLOOKUP(H$5,Coords[],4,FALSE))^2)))</f>
        <v>1000</v>
      </c>
      <c r="I56" s="10">
        <f>IF($G56=I$5,1000,IF(I$4=0,1000,SQRT((VLOOKUP($G56,Coords[],3,FALSE)-VLOOKUP(I$5,Coords[],3,FALSE))^2+(VLOOKUP($G56,Coords[],4,FALSE)-VLOOKUP(I$5,Coords[],4,FALSE))^2)))</f>
        <v>1000</v>
      </c>
      <c r="J56" s="10">
        <f>IF($G56=J$5,1000,IF(J$4=0,1000,SQRT((VLOOKUP($G56,Coords[],3,FALSE)-VLOOKUP(J$5,Coords[],3,FALSE))^2+(VLOOKUP($G56,Coords[],4,FALSE)-VLOOKUP(J$5,Coords[],4,FALSE))^2)))</f>
        <v>1000</v>
      </c>
      <c r="K56" s="10">
        <f>IF($G56=K$5,1000,IF(K$4=0,1000,SQRT((VLOOKUP($G56,Coords[],3,FALSE)-VLOOKUP(K$5,Coords[],3,FALSE))^2+(VLOOKUP($G56,Coords[],4,FALSE)-VLOOKUP(K$5,Coords[],4,FALSE))^2)))</f>
        <v>1000</v>
      </c>
      <c r="L56" s="10">
        <f>IF($G56=L$5,1000,IF(L$4=0,1000,SQRT((VLOOKUP($G56,Coords[],3,FALSE)-VLOOKUP(L$5,Coords[],3,FALSE))^2+(VLOOKUP($G56,Coords[],4,FALSE)-VLOOKUP(L$5,Coords[],4,FALSE))^2)))</f>
        <v>1000</v>
      </c>
      <c r="M56" s="10">
        <f>IF($G56=M$5,1000,IF(M$4=0,1000,SQRT((VLOOKUP($G56,Coords[],3,FALSE)-VLOOKUP(M$5,Coords[],3,FALSE))^2+(VLOOKUP($G56,Coords[],4,FALSE)-VLOOKUP(M$5,Coords[],4,FALSE))^2)))</f>
        <v>1000</v>
      </c>
      <c r="N56" s="10">
        <f>IF($G56=N$5,1000,IF(N$4=0,1000,SQRT((VLOOKUP($G56,Coords[],3,FALSE)-VLOOKUP(N$5,Coords[],3,FALSE))^2+(VLOOKUP($G56,Coords[],4,FALSE)-VLOOKUP(N$5,Coords[],4,FALSE))^2)))</f>
        <v>1000</v>
      </c>
      <c r="O56" s="10">
        <f>IF($G56=O$5,1000,IF(O$4=0,1000,SQRT((VLOOKUP($G56,Coords[],3,FALSE)-VLOOKUP(O$5,Coords[],3,FALSE))^2+(VLOOKUP($G56,Coords[],4,FALSE)-VLOOKUP(O$5,Coords[],4,FALSE))^2)))</f>
        <v>1000</v>
      </c>
      <c r="P56" s="10">
        <f>IF($G56=P$5,1000,IF(P$4=0,1000,SQRT((VLOOKUP($G56,Coords[],3,FALSE)-VLOOKUP(P$5,Coords[],3,FALSE))^2+(VLOOKUP($G56,Coords[],4,FALSE)-VLOOKUP(P$5,Coords[],4,FALSE))^2)))</f>
        <v>1000</v>
      </c>
      <c r="Q56" s="10">
        <f>IF($G56=Q$5,1000,IF(Q$4=0,1000,SQRT((VLOOKUP($G56,Coords[],3,FALSE)-VLOOKUP(Q$5,Coords[],3,FALSE))^2+(VLOOKUP($G56,Coords[],4,FALSE)-VLOOKUP(Q$5,Coords[],4,FALSE))^2)))</f>
        <v>1000</v>
      </c>
      <c r="R56" s="10">
        <f>IF($G56=R$5,1000,IF(R$4=0,1000,SQRT((VLOOKUP($G56,Coords[],3,FALSE)-VLOOKUP(R$5,Coords[],3,FALSE))^2+(VLOOKUP($G56,Coords[],4,FALSE)-VLOOKUP(R$5,Coords[],4,FALSE))^2)))</f>
        <v>1000</v>
      </c>
      <c r="S56" s="10">
        <f>IF($G56=S$5,1000,IF(S$4=0,1000,SQRT((VLOOKUP($G56,Coords[],3,FALSE)-VLOOKUP(S$5,Coords[],3,FALSE))^2+(VLOOKUP($G56,Coords[],4,FALSE)-VLOOKUP(S$5,Coords[],4,FALSE))^2)))</f>
        <v>1000</v>
      </c>
      <c r="T56" s="10">
        <f>IF($G56=T$5,1000,IF(T$4=0,1000,SQRT((VLOOKUP($G56,Coords[],3,FALSE)-VLOOKUP(T$5,Coords[],3,FALSE))^2+(VLOOKUP($G56,Coords[],4,FALSE)-VLOOKUP(T$5,Coords[],4,FALSE))^2)))</f>
        <v>1000</v>
      </c>
      <c r="U56" s="10">
        <f>IF($G56=U$5,1000,IF(U$4=0,1000,SQRT((VLOOKUP($G56,Coords[],3,FALSE)-VLOOKUP(U$5,Coords[],3,FALSE))^2+(VLOOKUP($G56,Coords[],4,FALSE)-VLOOKUP(U$5,Coords[],4,FALSE))^2)))</f>
        <v>1000</v>
      </c>
      <c r="V56" s="10">
        <f>IF($G56=V$5,1000,IF(V$4=0,1000,SQRT((VLOOKUP($G56,Coords[],3,FALSE)-VLOOKUP(V$5,Coords[],3,FALSE))^2+(VLOOKUP($G56,Coords[],4,FALSE)-VLOOKUP(V$5,Coords[],4,FALSE))^2)))</f>
        <v>1000</v>
      </c>
      <c r="W56" s="10">
        <f>IF($G56=W$5,1000,IF(W$4=0,1000,SQRT((VLOOKUP($G56,Coords[],3,FALSE)-VLOOKUP(W$5,Coords[],3,FALSE))^2+(VLOOKUP($G56,Coords[],4,FALSE)-VLOOKUP(W$5,Coords[],4,FALSE))^2)))</f>
        <v>1000</v>
      </c>
      <c r="X56" s="10">
        <f>IF($G56=X$5,1000,IF(X$4=0,1000,SQRT((VLOOKUP($G56,Coords[],3,FALSE)-VLOOKUP(X$5,Coords[],3,FALSE))^2+(VLOOKUP($G56,Coords[],4,FALSE)-VLOOKUP(X$5,Coords[],4,FALSE))^2)))</f>
        <v>1000</v>
      </c>
      <c r="Y56" s="10">
        <f>IF($G56=Y$5,1000,IF(Y$4=0,1000,SQRT((VLOOKUP($G56,Coords[],3,FALSE)-VLOOKUP(Y$5,Coords[],3,FALSE))^2+(VLOOKUP($G56,Coords[],4,FALSE)-VLOOKUP(Y$5,Coords[],4,FALSE))^2)))</f>
        <v>1000</v>
      </c>
      <c r="Z56" s="10">
        <f>IF($G56=Z$5,1000,IF(Z$4=0,1000,SQRT((VLOOKUP($G56,Coords[],3,FALSE)-VLOOKUP(Z$5,Coords[],3,FALSE))^2+(VLOOKUP($G56,Coords[],4,FALSE)-VLOOKUP(Z$5,Coords[],4,FALSE))^2)))</f>
        <v>1000</v>
      </c>
      <c r="AA56" s="10">
        <f>IF($G56=AA$5,1000,IF(AA$4=0,1000,SQRT((VLOOKUP($G56,Coords[],3,FALSE)-VLOOKUP(AA$5,Coords[],3,FALSE))^2+(VLOOKUP($G56,Coords[],4,FALSE)-VLOOKUP(AA$5,Coords[],4,FALSE))^2)))</f>
        <v>1000</v>
      </c>
      <c r="AB56" s="10">
        <f>IF($G56=AB$5,1000,IF(AB$4=0,1000,SQRT((VLOOKUP($G56,Coords[],3,FALSE)-VLOOKUP(AB$5,Coords[],3,FALSE))^2+(VLOOKUP($G56,Coords[],4,FALSE)-VLOOKUP(AB$5,Coords[],4,FALSE))^2)))</f>
        <v>1000</v>
      </c>
      <c r="AC56" s="10">
        <f>IF($G56=AC$5,1000,IF(AC$4=0,1000,SQRT((VLOOKUP($G56,Coords[],3,FALSE)-VLOOKUP(AC$5,Coords[],3,FALSE))^2+(VLOOKUP($G56,Coords[],4,FALSE)-VLOOKUP(AC$5,Coords[],4,FALSE))^2)))</f>
        <v>1000</v>
      </c>
      <c r="AD56" s="10">
        <f>IF($G56=AD$5,1000,IF(AD$4=0,1000,SQRT((VLOOKUP($G56,Coords[],3,FALSE)-VLOOKUP(AD$5,Coords[],3,FALSE))^2+(VLOOKUP($G56,Coords[],4,FALSE)-VLOOKUP(AD$5,Coords[],4,FALSE))^2)))</f>
        <v>1000</v>
      </c>
      <c r="AE56" s="10">
        <f>IF($G56=AE$5,1000,IF(AE$4=0,1000,SQRT((VLOOKUP($G56,Coords[],3,FALSE)-VLOOKUP(AE$5,Coords[],3,FALSE))^2+(VLOOKUP($G56,Coords[],4,FALSE)-VLOOKUP(AE$5,Coords[],4,FALSE))^2)))</f>
        <v>1000</v>
      </c>
      <c r="AF56" s="10">
        <f>IF($G56=AF$5,1000,IF(AF$4=0,1000,SQRT((VLOOKUP($G56,Coords[],3,FALSE)-VLOOKUP(AF$5,Coords[],3,FALSE))^2+(VLOOKUP($G56,Coords[],4,FALSE)-VLOOKUP(AF$5,Coords[],4,FALSE))^2)))</f>
        <v>1000</v>
      </c>
      <c r="AG56" s="10">
        <f>IF($G56=AG$5,1000,IF(AG$4=0,1000,SQRT((VLOOKUP($G56,Coords[],3,FALSE)-VLOOKUP(AG$5,Coords[],3,FALSE))^2+(VLOOKUP($G56,Coords[],4,FALSE)-VLOOKUP(AG$5,Coords[],4,FALSE))^2)))</f>
        <v>1000</v>
      </c>
      <c r="AH56" s="10">
        <f>IF($G56=AH$5,1000,IF(AH$4=0,1000,SQRT((VLOOKUP($G56,Coords[],3,FALSE)-VLOOKUP(AH$5,Coords[],3,FALSE))^2+(VLOOKUP($G56,Coords[],4,FALSE)-VLOOKUP(AH$5,Coords[],4,FALSE))^2)))</f>
        <v>1000</v>
      </c>
      <c r="AI56" s="10">
        <f>IF($G56=AI$5,1000,IF(AI$4=0,1000,SQRT((VLOOKUP($G56,Coords[],3,FALSE)-VLOOKUP(AI$5,Coords[],3,FALSE))^2+(VLOOKUP($G56,Coords[],4,FALSE)-VLOOKUP(AI$5,Coords[],4,FALSE))^2)))</f>
        <v>1000</v>
      </c>
      <c r="AJ56" s="10">
        <f>IF($G56=AJ$5,1000,IF(AJ$4=0,1000,SQRT((VLOOKUP($G56,Coords[],3,FALSE)-VLOOKUP(AJ$5,Coords[],3,FALSE))^2+(VLOOKUP($G56,Coords[],4,FALSE)-VLOOKUP(AJ$5,Coords[],4,FALSE))^2)))</f>
        <v>1000</v>
      </c>
      <c r="AK56" s="10">
        <f>IF($G56=AK$5,1000,IF(AK$4=0,1000,SQRT((VLOOKUP($G56,Coords[],3,FALSE)-VLOOKUP(AK$5,Coords[],3,FALSE))^2+(VLOOKUP($G56,Coords[],4,FALSE)-VLOOKUP(AK$5,Coords[],4,FALSE))^2)))</f>
        <v>1000</v>
      </c>
      <c r="AL56" s="10">
        <f>IF($G56=AL$5,1000,IF(AL$4=0,1000,SQRT((VLOOKUP($G56,Coords[],3,FALSE)-VLOOKUP(AL$5,Coords[],3,FALSE))^2+(VLOOKUP($G56,Coords[],4,FALSE)-VLOOKUP(AL$5,Coords[],4,FALSE))^2)))</f>
        <v>1000</v>
      </c>
      <c r="AM56" s="10">
        <f>IF($G56=AM$5,1000,IF(AM$4=0,1000,SQRT((VLOOKUP($G56,Coords[],3,FALSE)-VLOOKUP(AM$5,Coords[],3,FALSE))^2+(VLOOKUP($G56,Coords[],4,FALSE)-VLOOKUP(AM$5,Coords[],4,FALSE))^2)))</f>
        <v>1000</v>
      </c>
      <c r="AN56" s="10">
        <f>IF($G56=AN$5,1000,IF(AN$4=0,1000,SQRT((VLOOKUP($G56,Coords[],3,FALSE)-VLOOKUP(AN$5,Coords[],3,FALSE))^2+(VLOOKUP($G56,Coords[],4,FALSE)-VLOOKUP(AN$5,Coords[],4,FALSE))^2)))</f>
        <v>1000</v>
      </c>
      <c r="AO56" s="10">
        <f>IF($G56=AO$5,1000,IF(AO$4=0,1000,SQRT((VLOOKUP($G56,Coords[],3,FALSE)-VLOOKUP(AO$5,Coords[],3,FALSE))^2+(VLOOKUP($G56,Coords[],4,FALSE)-VLOOKUP(AO$5,Coords[],4,FALSE))^2)))</f>
        <v>1000</v>
      </c>
      <c r="AP56" s="10">
        <f>IF($G56=AP$5,1000,IF(AP$4=0,1000,SQRT((VLOOKUP($G56,Coords[],3,FALSE)-VLOOKUP(AP$5,Coords[],3,FALSE))^2+(VLOOKUP($G56,Coords[],4,FALSE)-VLOOKUP(AP$5,Coords[],4,FALSE))^2)))</f>
        <v>1000</v>
      </c>
      <c r="AQ56" s="10">
        <f>IF($G56=AQ$5,1000,IF(AQ$4=0,1000,SQRT((VLOOKUP($G56,Coords[],3,FALSE)-VLOOKUP(AQ$5,Coords[],3,FALSE))^2+(VLOOKUP($G56,Coords[],4,FALSE)-VLOOKUP(AQ$5,Coords[],4,FALSE))^2)))</f>
        <v>1000</v>
      </c>
      <c r="AR56" s="10">
        <f>IF($G56=AR$5,1000,IF(AR$4=0,1000,SQRT((VLOOKUP($G56,Coords[],3,FALSE)-VLOOKUP(AR$5,Coords[],3,FALSE))^2+(VLOOKUP($G56,Coords[],4,FALSE)-VLOOKUP(AR$5,Coords[],4,FALSE))^2)))</f>
        <v>1000</v>
      </c>
      <c r="AS56" s="10">
        <f>IF($G56=AS$5,1000,IF(AS$4=0,1000,SQRT((VLOOKUP($G56,Coords[],3,FALSE)-VLOOKUP(AS$5,Coords[],3,FALSE))^2+(VLOOKUP($G56,Coords[],4,FALSE)-VLOOKUP(AS$5,Coords[],4,FALSE))^2)))</f>
        <v>1000</v>
      </c>
      <c r="AT56" s="10">
        <f>IF($G56=AT$5,1000,IF(AT$4=0,1000,SQRT((VLOOKUP($G56,Coords[],3,FALSE)-VLOOKUP(AT$5,Coords[],3,FALSE))^2+(VLOOKUP($G56,Coords[],4,FALSE)-VLOOKUP(AT$5,Coords[],4,FALSE))^2)))</f>
        <v>1000</v>
      </c>
      <c r="AU56" s="10">
        <f>IF($G56=AU$5,1000,IF(AU$4=0,1000,SQRT((VLOOKUP($G56,Coords[],3,FALSE)-VLOOKUP(AU$5,Coords[],3,FALSE))^2+(VLOOKUP($G56,Coords[],4,FALSE)-VLOOKUP(AU$5,Coords[],4,FALSE))^2)))</f>
        <v>1000</v>
      </c>
      <c r="AV56" s="10">
        <f>IF($G56=AV$5,1000,IF(AV$4=0,1000,SQRT((VLOOKUP($G56,Coords[],3,FALSE)-VLOOKUP(AV$5,Coords[],3,FALSE))^2+(VLOOKUP($G56,Coords[],4,FALSE)-VLOOKUP(AV$5,Coords[],4,FALSE))^2)))</f>
        <v>1000</v>
      </c>
      <c r="AW56" s="10">
        <f>IF($G56=AW$5,1000,IF(AW$4=0,1000,SQRT((VLOOKUP($G56,Coords[],3,FALSE)-VLOOKUP(AW$5,Coords[],3,FALSE))^2+(VLOOKUP($G56,Coords[],4,FALSE)-VLOOKUP(AW$5,Coords[],4,FALSE))^2)))</f>
        <v>1000</v>
      </c>
      <c r="AX56" s="10">
        <f>IF($G56=AX$5,1000,IF(AX$4=0,1000,SQRT((VLOOKUP($G56,Coords[],3,FALSE)-VLOOKUP(AX$5,Coords[],3,FALSE))^2+(VLOOKUP($G56,Coords[],4,FALSE)-VLOOKUP(AX$5,Coords[],4,FALSE))^2)))</f>
        <v>1000</v>
      </c>
      <c r="AY56" s="10">
        <f>IF($G56=AY$5,1000,IF(AY$4=0,1000,SQRT((VLOOKUP($G56,Coords[],3,FALSE)-VLOOKUP(AY$5,Coords[],3,FALSE))^2+(VLOOKUP($G56,Coords[],4,FALSE)-VLOOKUP(AY$5,Coords[],4,FALSE))^2)))</f>
        <v>1000</v>
      </c>
      <c r="AZ56" s="10">
        <f>IF($G56=AZ$5,1000,IF(AZ$4=0,1000,SQRT((VLOOKUP($G56,Coords[],3,FALSE)-VLOOKUP(AZ$5,Coords[],3,FALSE))^2+(VLOOKUP($G56,Coords[],4,FALSE)-VLOOKUP(AZ$5,Coords[],4,FALSE))^2)))</f>
        <v>1000</v>
      </c>
      <c r="BA56" s="10">
        <f>IF($G56=BA$5,1000,IF(BA$4=0,1000,SQRT((VLOOKUP($G56,Coords[],3,FALSE)-VLOOKUP(BA$5,Coords[],3,FALSE))^2+(VLOOKUP($G56,Coords[],4,FALSE)-VLOOKUP(BA$5,Coords[],4,FALSE))^2)))</f>
        <v>1000</v>
      </c>
      <c r="BB56" s="10">
        <f>IF($G56=BB$5,1000,IF(BB$4=0,1000,SQRT((VLOOKUP($G56,Coords[],3,FALSE)-VLOOKUP(BB$5,Coords[],3,FALSE))^2+(VLOOKUP($G56,Coords[],4,FALSE)-VLOOKUP(BB$5,Coords[],4,FALSE))^2)))</f>
        <v>1000</v>
      </c>
      <c r="BC56" s="10">
        <f>IF($G56=BC$5,1000,IF(BC$4=0,1000,SQRT((VLOOKUP($G56,Coords[],3,FALSE)-VLOOKUP(BC$5,Coords[],3,FALSE))^2+(VLOOKUP($G56,Coords[],4,FALSE)-VLOOKUP(BC$5,Coords[],4,FALSE))^2)))</f>
        <v>1000</v>
      </c>
      <c r="BD56" s="10">
        <f>IF($G56=BD$5,1000,IF(BD$4=0,1000,SQRT((VLOOKUP($G56,Coords[],3,FALSE)-VLOOKUP(BD$5,Coords[],3,FALSE))^2+(VLOOKUP($G56,Coords[],4,FALSE)-VLOOKUP(BD$5,Coords[],4,FALSE))^2)))</f>
        <v>1000</v>
      </c>
      <c r="BE56" s="10">
        <f>IF($G56=BE$5,1000,IF(BE$4=0,1000,SQRT((VLOOKUP($G56,Coords[],3,FALSE)-VLOOKUP(BE$5,Coords[],3,FALSE))^2+(VLOOKUP($G56,Coords[],4,FALSE)-VLOOKUP(BE$5,Coords[],4,FALSE))^2)))</f>
        <v>1000</v>
      </c>
      <c r="BF56" s="10">
        <f>IF($G56=BF$5,1000,IF(BF$4=0,1000,SQRT((VLOOKUP($G56,Coords[],3,FALSE)-VLOOKUP(BF$5,Coords[],3,FALSE))^2+(VLOOKUP($G56,Coords[],4,FALSE)-VLOOKUP(BF$5,Coords[],4,FALSE))^2)))</f>
        <v>1000</v>
      </c>
      <c r="BG56" s="10">
        <f>IF($G56=BG$5,1000,IF(BG$4=0,1000,SQRT((VLOOKUP($G56,Coords[],3,FALSE)-VLOOKUP(BG$5,Coords[],3,FALSE))^2+(VLOOKUP($G56,Coords[],4,FALSE)-VLOOKUP(BG$5,Coords[],4,FALSE))^2)))</f>
        <v>1000</v>
      </c>
      <c r="BH56" s="10">
        <f>IF($G56=BH$5,1000,IF(BH$4=0,1000,SQRT((VLOOKUP($G56,Coords[],3,FALSE)-VLOOKUP(BH$5,Coords[],3,FALSE))^2+(VLOOKUP($G56,Coords[],4,FALSE)-VLOOKUP(BH$5,Coords[],4,FALSE))^2)))</f>
        <v>1000</v>
      </c>
      <c r="BI56" s="10">
        <f>IF($G56=BI$5,1000,IF(BI$4=0,1000,SQRT((VLOOKUP($G56,Coords[],3,FALSE)-VLOOKUP(BI$5,Coords[],3,FALSE))^2+(VLOOKUP($G56,Coords[],4,FALSE)-VLOOKUP(BI$5,Coords[],4,FALSE))^2)))</f>
        <v>1000</v>
      </c>
      <c r="BJ56" s="10">
        <f>IF($G56=BJ$5,1000,IF(BJ$4=0,1000,SQRT((VLOOKUP($G56,Coords[],3,FALSE)-VLOOKUP(BJ$5,Coords[],3,FALSE))^2+(VLOOKUP($G56,Coords[],4,FALSE)-VLOOKUP(BJ$5,Coords[],4,FALSE))^2)))</f>
        <v>1000</v>
      </c>
      <c r="BK56" s="10">
        <f>IF($G56=BK$5,1000,IF(BK$4=0,1000,SQRT((VLOOKUP($G56,Coords[],3,FALSE)-VLOOKUP(BK$5,Coords[],3,FALSE))^2+(VLOOKUP($G56,Coords[],4,FALSE)-VLOOKUP(BK$5,Coords[],4,FALSE))^2)))</f>
        <v>1000</v>
      </c>
      <c r="BL56" s="10">
        <f>IF($G56=BL$5,1000,IF(BL$4=0,1000,SQRT((VLOOKUP($G56,Coords[],3,FALSE)-VLOOKUP(BL$5,Coords[],3,FALSE))^2+(VLOOKUP($G56,Coords[],4,FALSE)-VLOOKUP(BL$5,Coords[],4,FALSE))^2)))</f>
        <v>1000</v>
      </c>
      <c r="BM56" s="10">
        <f>IF($G56=BM$5,1000,IF(BM$4=0,1000,SQRT((VLOOKUP($G56,Coords[],3,FALSE)-VLOOKUP(BM$5,Coords[],3,FALSE))^2+(VLOOKUP($G56,Coords[],4,FALSE)-VLOOKUP(BM$5,Coords[],4,FALSE))^2)))</f>
        <v>1000</v>
      </c>
      <c r="BN56" s="10">
        <f>IF($G56=BN$5,1000,IF(BN$4=0,1000,SQRT((VLOOKUP($G56,Coords[],3,FALSE)-VLOOKUP(BN$5,Coords[],3,FALSE))^2+(VLOOKUP($G56,Coords[],4,FALSE)-VLOOKUP(BN$5,Coords[],4,FALSE))^2)))</f>
        <v>1000</v>
      </c>
      <c r="BO56" s="10">
        <f>IF($G56=BO$5,1000,IF(BO$4=0,1000,SQRT((VLOOKUP($G56,Coords[],3,FALSE)-VLOOKUP(BO$5,Coords[],3,FALSE))^2+(VLOOKUP($G56,Coords[],4,FALSE)-VLOOKUP(BO$5,Coords[],4,FALSE))^2)))</f>
        <v>1000</v>
      </c>
      <c r="BP56" s="10">
        <f>IF($G56=BP$5,1000,IF(BP$4=0,1000,SQRT((VLOOKUP($G56,Coords[],3,FALSE)-VLOOKUP(BP$5,Coords[],3,FALSE))^2+(VLOOKUP($G56,Coords[],4,FALSE)-VLOOKUP(BP$5,Coords[],4,FALSE))^2)))</f>
        <v>1000</v>
      </c>
      <c r="BQ56" s="10">
        <f>IF($G56=BQ$5,1000,IF(BQ$4=0,1000,SQRT((VLOOKUP($G56,Coords[],3,FALSE)-VLOOKUP(BQ$5,Coords[],3,FALSE))^2+(VLOOKUP($G56,Coords[],4,FALSE)-VLOOKUP(BQ$5,Coords[],4,FALSE))^2)))</f>
        <v>1000</v>
      </c>
      <c r="BR56" s="10">
        <f>IF($G56=BR$5,1000,IF(BR$4=0,1000,SQRT((VLOOKUP($G56,Coords[],3,FALSE)-VLOOKUP(BR$5,Coords[],3,FALSE))^2+(VLOOKUP($G56,Coords[],4,FALSE)-VLOOKUP(BR$5,Coords[],4,FALSE))^2)))</f>
        <v>1000</v>
      </c>
      <c r="BS56" s="10">
        <f>IF($G56=BS$5,1000,IF(BS$4=0,1000,SQRT((VLOOKUP($G56,Coords[],3,FALSE)-VLOOKUP(BS$5,Coords[],3,FALSE))^2+(VLOOKUP($G56,Coords[],4,FALSE)-VLOOKUP(BS$5,Coords[],4,FALSE))^2)))</f>
        <v>1000</v>
      </c>
      <c r="BT56" s="10">
        <f>IF($G56=BT$5,1000,IF(BT$4=0,1000,SQRT((VLOOKUP($G56,Coords[],3,FALSE)-VLOOKUP(BT$5,Coords[],3,FALSE))^2+(VLOOKUP($G56,Coords[],4,FALSE)-VLOOKUP(BT$5,Coords[],4,FALSE))^2)))</f>
        <v>1000</v>
      </c>
      <c r="BU56" s="10">
        <f>IF($G56=BU$5,1000,IF(BU$4=0,1000,SQRT((VLOOKUP($G56,Coords[],3,FALSE)-VLOOKUP(BU$5,Coords[],3,FALSE))^2+(VLOOKUP($G56,Coords[],4,FALSE)-VLOOKUP(BU$5,Coords[],4,FALSE))^2)))</f>
        <v>1000</v>
      </c>
      <c r="BV56" s="10">
        <f>IF($G56=BV$5,1000,IF(BV$4=0,1000,SQRT((VLOOKUP($G56,Coords[],3,FALSE)-VLOOKUP(BV$5,Coords[],3,FALSE))^2+(VLOOKUP($G56,Coords[],4,FALSE)-VLOOKUP(BV$5,Coords[],4,FALSE))^2)))</f>
        <v>1000</v>
      </c>
      <c r="BW56" s="10">
        <f>IF($G56=BW$5,1000,IF(BW$4=0,1000,SQRT((VLOOKUP($G56,Coords[],3,FALSE)-VLOOKUP(BW$5,Coords[],3,FALSE))^2+(VLOOKUP($G56,Coords[],4,FALSE)-VLOOKUP(BW$5,Coords[],4,FALSE))^2)))</f>
        <v>1000</v>
      </c>
      <c r="BX56" s="10">
        <f>IF($G56=BX$5,1000,IF(BX$4=0,1000,SQRT((VLOOKUP($G56,Coords[],3,FALSE)-VLOOKUP(BX$5,Coords[],3,FALSE))^2+(VLOOKUP($G56,Coords[],4,FALSE)-VLOOKUP(BX$5,Coords[],4,FALSE))^2)))</f>
        <v>1000</v>
      </c>
      <c r="BY56" s="10">
        <f>IF($G56=BY$5,1000,IF(BY$4=0,1000,SQRT((VLOOKUP($G56,Coords[],3,FALSE)-VLOOKUP(BY$5,Coords[],3,FALSE))^2+(VLOOKUP($G56,Coords[],4,FALSE)-VLOOKUP(BY$5,Coords[],4,FALSE))^2)))</f>
        <v>1000</v>
      </c>
      <c r="BZ56" s="10">
        <f>IF($G56=BZ$5,1000,IF(BZ$4=0,1000,SQRT((VLOOKUP($G56,Coords[],3,FALSE)-VLOOKUP(BZ$5,Coords[],3,FALSE))^2+(VLOOKUP($G56,Coords[],4,FALSE)-VLOOKUP(BZ$5,Coords[],4,FALSE))^2)))</f>
        <v>1000</v>
      </c>
      <c r="CA56" s="10">
        <f>IF($G56=CA$5,1000,IF(CA$4=0,1000,SQRT((VLOOKUP($G56,Coords[],3,FALSE)-VLOOKUP(CA$5,Coords[],3,FALSE))^2+(VLOOKUP($G56,Coords[],4,FALSE)-VLOOKUP(CA$5,Coords[],4,FALSE))^2)))</f>
        <v>1000</v>
      </c>
      <c r="CB56" s="10">
        <f>IF($G56=CB$5,1000,IF(CB$4=0,1000,SQRT((VLOOKUP($G56,Coords[],3,FALSE)-VLOOKUP(CB$5,Coords[],3,FALSE))^2+(VLOOKUP($G56,Coords[],4,FALSE)-VLOOKUP(CB$5,Coords[],4,FALSE))^2)))</f>
        <v>1000</v>
      </c>
      <c r="CC56" s="10">
        <f>IF($G56=CC$5,1000,IF(CC$4=0,1000,SQRT((VLOOKUP($G56,Coords[],3,FALSE)-VLOOKUP(CC$5,Coords[],3,FALSE))^2+(VLOOKUP($G56,Coords[],4,FALSE)-VLOOKUP(CC$5,Coords[],4,FALSE))^2)))</f>
        <v>1000</v>
      </c>
      <c r="CD56" s="10">
        <f>IF($G56=CD$5,1000,IF(CD$4=0,1000,SQRT((VLOOKUP($G56,Coords[],3,FALSE)-VLOOKUP(CD$5,Coords[],3,FALSE))^2+(VLOOKUP($G56,Coords[],4,FALSE)-VLOOKUP(CD$5,Coords[],4,FALSE))^2)))</f>
        <v>1000</v>
      </c>
      <c r="CE56" s="10">
        <f>IF($G56=CE$5,1000,IF(CE$4=0,1000,SQRT((VLOOKUP($G56,Coords[],3,FALSE)-VLOOKUP(CE$5,Coords[],3,FALSE))^2+(VLOOKUP($G56,Coords[],4,FALSE)-VLOOKUP(CE$5,Coords[],4,FALSE))^2)))</f>
        <v>1000</v>
      </c>
      <c r="CF56" s="4">
        <v>51</v>
      </c>
      <c r="CH56" s="5">
        <f>IF(E56=1,0,VLOOKUP($G56,$G$6:$CE$82,HLOOKUP(MIN(H56:CE56),$H56:$CE$82,((COUNT($G$6:$G$81)+2)-$G56),FALSE)+1,FALSE)*B56)</f>
        <v>0</v>
      </c>
      <c r="CI56" s="9">
        <f>VLOOKUP($G56,$G$6:$CE$82,HLOOKUP(MIN(H56:CE56),$H56:$CE$82,((COUNT($G$6:$G$81)+2)-$G56),FALSE)+1,FALSE)</f>
        <v>1000</v>
      </c>
      <c r="CJ56" s="7">
        <f>HLOOKUP(MIN(H56:CE56),$H56:$CE$82,((COUNT($G$6:$G$81)+2)-$G56),FALSE)</f>
        <v>1</v>
      </c>
      <c r="CK56">
        <f>CI56*Coords[[#This Row],[Demand]]</f>
        <v>0</v>
      </c>
    </row>
    <row r="57" spans="1:89" x14ac:dyDescent="0.25">
      <c r="A57" s="8">
        <v>52</v>
      </c>
      <c r="B57" s="3"/>
      <c r="C57" s="3"/>
      <c r="D57" s="3"/>
      <c r="E57" s="3"/>
      <c r="G57" s="4">
        <v>52</v>
      </c>
      <c r="H57" s="10">
        <f>IF($G57=H$5,1000,IF(H$4=0,1000,SQRT((VLOOKUP($G57,Coords[],3,FALSE)-VLOOKUP(H$5,Coords[],3,FALSE))^2+(VLOOKUP($G57,Coords[],4,FALSE)-VLOOKUP(H$5,Coords[],4,FALSE))^2)))</f>
        <v>1000</v>
      </c>
      <c r="I57" s="10">
        <f>IF($G57=I$5,1000,IF(I$4=0,1000,SQRT((VLOOKUP($G57,Coords[],3,FALSE)-VLOOKUP(I$5,Coords[],3,FALSE))^2+(VLOOKUP($G57,Coords[],4,FALSE)-VLOOKUP(I$5,Coords[],4,FALSE))^2)))</f>
        <v>1000</v>
      </c>
      <c r="J57" s="10">
        <f>IF($G57=J$5,1000,IF(J$4=0,1000,SQRT((VLOOKUP($G57,Coords[],3,FALSE)-VLOOKUP(J$5,Coords[],3,FALSE))^2+(VLOOKUP($G57,Coords[],4,FALSE)-VLOOKUP(J$5,Coords[],4,FALSE))^2)))</f>
        <v>1000</v>
      </c>
      <c r="K57" s="10">
        <f>IF($G57=K$5,1000,IF(K$4=0,1000,SQRT((VLOOKUP($G57,Coords[],3,FALSE)-VLOOKUP(K$5,Coords[],3,FALSE))^2+(VLOOKUP($G57,Coords[],4,FALSE)-VLOOKUP(K$5,Coords[],4,FALSE))^2)))</f>
        <v>1000</v>
      </c>
      <c r="L57" s="10">
        <f>IF($G57=L$5,1000,IF(L$4=0,1000,SQRT((VLOOKUP($G57,Coords[],3,FALSE)-VLOOKUP(L$5,Coords[],3,FALSE))^2+(VLOOKUP($G57,Coords[],4,FALSE)-VLOOKUP(L$5,Coords[],4,FALSE))^2)))</f>
        <v>1000</v>
      </c>
      <c r="M57" s="10">
        <f>IF($G57=M$5,1000,IF(M$4=0,1000,SQRT((VLOOKUP($G57,Coords[],3,FALSE)-VLOOKUP(M$5,Coords[],3,FALSE))^2+(VLOOKUP($G57,Coords[],4,FALSE)-VLOOKUP(M$5,Coords[],4,FALSE))^2)))</f>
        <v>1000</v>
      </c>
      <c r="N57" s="10">
        <f>IF($G57=N$5,1000,IF(N$4=0,1000,SQRT((VLOOKUP($G57,Coords[],3,FALSE)-VLOOKUP(N$5,Coords[],3,FALSE))^2+(VLOOKUP($G57,Coords[],4,FALSE)-VLOOKUP(N$5,Coords[],4,FALSE))^2)))</f>
        <v>1000</v>
      </c>
      <c r="O57" s="10">
        <f>IF($G57=O$5,1000,IF(O$4=0,1000,SQRT((VLOOKUP($G57,Coords[],3,FALSE)-VLOOKUP(O$5,Coords[],3,FALSE))^2+(VLOOKUP($G57,Coords[],4,FALSE)-VLOOKUP(O$5,Coords[],4,FALSE))^2)))</f>
        <v>1000</v>
      </c>
      <c r="P57" s="10">
        <f>IF($G57=P$5,1000,IF(P$4=0,1000,SQRT((VLOOKUP($G57,Coords[],3,FALSE)-VLOOKUP(P$5,Coords[],3,FALSE))^2+(VLOOKUP($G57,Coords[],4,FALSE)-VLOOKUP(P$5,Coords[],4,FALSE))^2)))</f>
        <v>1000</v>
      </c>
      <c r="Q57" s="10">
        <f>IF($G57=Q$5,1000,IF(Q$4=0,1000,SQRT((VLOOKUP($G57,Coords[],3,FALSE)-VLOOKUP(Q$5,Coords[],3,FALSE))^2+(VLOOKUP($G57,Coords[],4,FALSE)-VLOOKUP(Q$5,Coords[],4,FALSE))^2)))</f>
        <v>1000</v>
      </c>
      <c r="R57" s="10">
        <f>IF($G57=R$5,1000,IF(R$4=0,1000,SQRT((VLOOKUP($G57,Coords[],3,FALSE)-VLOOKUP(R$5,Coords[],3,FALSE))^2+(VLOOKUP($G57,Coords[],4,FALSE)-VLOOKUP(R$5,Coords[],4,FALSE))^2)))</f>
        <v>1000</v>
      </c>
      <c r="S57" s="10">
        <f>IF($G57=S$5,1000,IF(S$4=0,1000,SQRT((VLOOKUP($G57,Coords[],3,FALSE)-VLOOKUP(S$5,Coords[],3,FALSE))^2+(VLOOKUP($G57,Coords[],4,FALSE)-VLOOKUP(S$5,Coords[],4,FALSE))^2)))</f>
        <v>1000</v>
      </c>
      <c r="T57" s="10">
        <f>IF($G57=T$5,1000,IF(T$4=0,1000,SQRT((VLOOKUP($G57,Coords[],3,FALSE)-VLOOKUP(T$5,Coords[],3,FALSE))^2+(VLOOKUP($G57,Coords[],4,FALSE)-VLOOKUP(T$5,Coords[],4,FALSE))^2)))</f>
        <v>1000</v>
      </c>
      <c r="U57" s="10">
        <f>IF($G57=U$5,1000,IF(U$4=0,1000,SQRT((VLOOKUP($G57,Coords[],3,FALSE)-VLOOKUP(U$5,Coords[],3,FALSE))^2+(VLOOKUP($G57,Coords[],4,FALSE)-VLOOKUP(U$5,Coords[],4,FALSE))^2)))</f>
        <v>1000</v>
      </c>
      <c r="V57" s="10">
        <f>IF($G57=V$5,1000,IF(V$4=0,1000,SQRT((VLOOKUP($G57,Coords[],3,FALSE)-VLOOKUP(V$5,Coords[],3,FALSE))^2+(VLOOKUP($G57,Coords[],4,FALSE)-VLOOKUP(V$5,Coords[],4,FALSE))^2)))</f>
        <v>1000</v>
      </c>
      <c r="W57" s="10">
        <f>IF($G57=W$5,1000,IF(W$4=0,1000,SQRT((VLOOKUP($G57,Coords[],3,FALSE)-VLOOKUP(W$5,Coords[],3,FALSE))^2+(VLOOKUP($G57,Coords[],4,FALSE)-VLOOKUP(W$5,Coords[],4,FALSE))^2)))</f>
        <v>1000</v>
      </c>
      <c r="X57" s="10">
        <f>IF($G57=X$5,1000,IF(X$4=0,1000,SQRT((VLOOKUP($G57,Coords[],3,FALSE)-VLOOKUP(X$5,Coords[],3,FALSE))^2+(VLOOKUP($G57,Coords[],4,FALSE)-VLOOKUP(X$5,Coords[],4,FALSE))^2)))</f>
        <v>1000</v>
      </c>
      <c r="Y57" s="10">
        <f>IF($G57=Y$5,1000,IF(Y$4=0,1000,SQRT((VLOOKUP($G57,Coords[],3,FALSE)-VLOOKUP(Y$5,Coords[],3,FALSE))^2+(VLOOKUP($G57,Coords[],4,FALSE)-VLOOKUP(Y$5,Coords[],4,FALSE))^2)))</f>
        <v>1000</v>
      </c>
      <c r="Z57" s="10">
        <f>IF($G57=Z$5,1000,IF(Z$4=0,1000,SQRT((VLOOKUP($G57,Coords[],3,FALSE)-VLOOKUP(Z$5,Coords[],3,FALSE))^2+(VLOOKUP($G57,Coords[],4,FALSE)-VLOOKUP(Z$5,Coords[],4,FALSE))^2)))</f>
        <v>1000</v>
      </c>
      <c r="AA57" s="10">
        <f>IF($G57=AA$5,1000,IF(AA$4=0,1000,SQRT((VLOOKUP($G57,Coords[],3,FALSE)-VLOOKUP(AA$5,Coords[],3,FALSE))^2+(VLOOKUP($G57,Coords[],4,FALSE)-VLOOKUP(AA$5,Coords[],4,FALSE))^2)))</f>
        <v>1000</v>
      </c>
      <c r="AB57" s="10">
        <f>IF($G57=AB$5,1000,IF(AB$4=0,1000,SQRT((VLOOKUP($G57,Coords[],3,FALSE)-VLOOKUP(AB$5,Coords[],3,FALSE))^2+(VLOOKUP($G57,Coords[],4,FALSE)-VLOOKUP(AB$5,Coords[],4,FALSE))^2)))</f>
        <v>1000</v>
      </c>
      <c r="AC57" s="10">
        <f>IF($G57=AC$5,1000,IF(AC$4=0,1000,SQRT((VLOOKUP($G57,Coords[],3,FALSE)-VLOOKUP(AC$5,Coords[],3,FALSE))^2+(VLOOKUP($G57,Coords[],4,FALSE)-VLOOKUP(AC$5,Coords[],4,FALSE))^2)))</f>
        <v>1000</v>
      </c>
      <c r="AD57" s="10">
        <f>IF($G57=AD$5,1000,IF(AD$4=0,1000,SQRT((VLOOKUP($G57,Coords[],3,FALSE)-VLOOKUP(AD$5,Coords[],3,FALSE))^2+(VLOOKUP($G57,Coords[],4,FALSE)-VLOOKUP(AD$5,Coords[],4,FALSE))^2)))</f>
        <v>1000</v>
      </c>
      <c r="AE57" s="10">
        <f>IF($G57=AE$5,1000,IF(AE$4=0,1000,SQRT((VLOOKUP($G57,Coords[],3,FALSE)-VLOOKUP(AE$5,Coords[],3,FALSE))^2+(VLOOKUP($G57,Coords[],4,FALSE)-VLOOKUP(AE$5,Coords[],4,FALSE))^2)))</f>
        <v>1000</v>
      </c>
      <c r="AF57" s="10">
        <f>IF($G57=AF$5,1000,IF(AF$4=0,1000,SQRT((VLOOKUP($G57,Coords[],3,FALSE)-VLOOKUP(AF$5,Coords[],3,FALSE))^2+(VLOOKUP($G57,Coords[],4,FALSE)-VLOOKUP(AF$5,Coords[],4,FALSE))^2)))</f>
        <v>1000</v>
      </c>
      <c r="AG57" s="10">
        <f>IF($G57=AG$5,1000,IF(AG$4=0,1000,SQRT((VLOOKUP($G57,Coords[],3,FALSE)-VLOOKUP(AG$5,Coords[],3,FALSE))^2+(VLOOKUP($G57,Coords[],4,FALSE)-VLOOKUP(AG$5,Coords[],4,FALSE))^2)))</f>
        <v>1000</v>
      </c>
      <c r="AH57" s="10">
        <f>IF($G57=AH$5,1000,IF(AH$4=0,1000,SQRT((VLOOKUP($G57,Coords[],3,FALSE)-VLOOKUP(AH$5,Coords[],3,FALSE))^2+(VLOOKUP($G57,Coords[],4,FALSE)-VLOOKUP(AH$5,Coords[],4,FALSE))^2)))</f>
        <v>1000</v>
      </c>
      <c r="AI57" s="10">
        <f>IF($G57=AI$5,1000,IF(AI$4=0,1000,SQRT((VLOOKUP($G57,Coords[],3,FALSE)-VLOOKUP(AI$5,Coords[],3,FALSE))^2+(VLOOKUP($G57,Coords[],4,FALSE)-VLOOKUP(AI$5,Coords[],4,FALSE))^2)))</f>
        <v>1000</v>
      </c>
      <c r="AJ57" s="10">
        <f>IF($G57=AJ$5,1000,IF(AJ$4=0,1000,SQRT((VLOOKUP($G57,Coords[],3,FALSE)-VLOOKUP(AJ$5,Coords[],3,FALSE))^2+(VLOOKUP($G57,Coords[],4,FALSE)-VLOOKUP(AJ$5,Coords[],4,FALSE))^2)))</f>
        <v>1000</v>
      </c>
      <c r="AK57" s="10">
        <f>IF($G57=AK$5,1000,IF(AK$4=0,1000,SQRT((VLOOKUP($G57,Coords[],3,FALSE)-VLOOKUP(AK$5,Coords[],3,FALSE))^2+(VLOOKUP($G57,Coords[],4,FALSE)-VLOOKUP(AK$5,Coords[],4,FALSE))^2)))</f>
        <v>1000</v>
      </c>
      <c r="AL57" s="10">
        <f>IF($G57=AL$5,1000,IF(AL$4=0,1000,SQRT((VLOOKUP($G57,Coords[],3,FALSE)-VLOOKUP(AL$5,Coords[],3,FALSE))^2+(VLOOKUP($G57,Coords[],4,FALSE)-VLOOKUP(AL$5,Coords[],4,FALSE))^2)))</f>
        <v>1000</v>
      </c>
      <c r="AM57" s="10">
        <f>IF($G57=AM$5,1000,IF(AM$4=0,1000,SQRT((VLOOKUP($G57,Coords[],3,FALSE)-VLOOKUP(AM$5,Coords[],3,FALSE))^2+(VLOOKUP($G57,Coords[],4,FALSE)-VLOOKUP(AM$5,Coords[],4,FALSE))^2)))</f>
        <v>1000</v>
      </c>
      <c r="AN57" s="10">
        <f>IF($G57=AN$5,1000,IF(AN$4=0,1000,SQRT((VLOOKUP($G57,Coords[],3,FALSE)-VLOOKUP(AN$5,Coords[],3,FALSE))^2+(VLOOKUP($G57,Coords[],4,FALSE)-VLOOKUP(AN$5,Coords[],4,FALSE))^2)))</f>
        <v>1000</v>
      </c>
      <c r="AO57" s="10">
        <f>IF($G57=AO$5,1000,IF(AO$4=0,1000,SQRT((VLOOKUP($G57,Coords[],3,FALSE)-VLOOKUP(AO$5,Coords[],3,FALSE))^2+(VLOOKUP($G57,Coords[],4,FALSE)-VLOOKUP(AO$5,Coords[],4,FALSE))^2)))</f>
        <v>1000</v>
      </c>
      <c r="AP57" s="10">
        <f>IF($G57=AP$5,1000,IF(AP$4=0,1000,SQRT((VLOOKUP($G57,Coords[],3,FALSE)-VLOOKUP(AP$5,Coords[],3,FALSE))^2+(VLOOKUP($G57,Coords[],4,FALSE)-VLOOKUP(AP$5,Coords[],4,FALSE))^2)))</f>
        <v>1000</v>
      </c>
      <c r="AQ57" s="10">
        <f>IF($G57=AQ$5,1000,IF(AQ$4=0,1000,SQRT((VLOOKUP($G57,Coords[],3,FALSE)-VLOOKUP(AQ$5,Coords[],3,FALSE))^2+(VLOOKUP($G57,Coords[],4,FALSE)-VLOOKUP(AQ$5,Coords[],4,FALSE))^2)))</f>
        <v>1000</v>
      </c>
      <c r="AR57" s="10">
        <f>IF($G57=AR$5,1000,IF(AR$4=0,1000,SQRT((VLOOKUP($G57,Coords[],3,FALSE)-VLOOKUP(AR$5,Coords[],3,FALSE))^2+(VLOOKUP($G57,Coords[],4,FALSE)-VLOOKUP(AR$5,Coords[],4,FALSE))^2)))</f>
        <v>1000</v>
      </c>
      <c r="AS57" s="10">
        <f>IF($G57=AS$5,1000,IF(AS$4=0,1000,SQRT((VLOOKUP($G57,Coords[],3,FALSE)-VLOOKUP(AS$5,Coords[],3,FALSE))^2+(VLOOKUP($G57,Coords[],4,FALSE)-VLOOKUP(AS$5,Coords[],4,FALSE))^2)))</f>
        <v>1000</v>
      </c>
      <c r="AT57" s="10">
        <f>IF($G57=AT$5,1000,IF(AT$4=0,1000,SQRT((VLOOKUP($G57,Coords[],3,FALSE)-VLOOKUP(AT$5,Coords[],3,FALSE))^2+(VLOOKUP($G57,Coords[],4,FALSE)-VLOOKUP(AT$5,Coords[],4,FALSE))^2)))</f>
        <v>1000</v>
      </c>
      <c r="AU57" s="10">
        <f>IF($G57=AU$5,1000,IF(AU$4=0,1000,SQRT((VLOOKUP($G57,Coords[],3,FALSE)-VLOOKUP(AU$5,Coords[],3,FALSE))^2+(VLOOKUP($G57,Coords[],4,FALSE)-VLOOKUP(AU$5,Coords[],4,FALSE))^2)))</f>
        <v>1000</v>
      </c>
      <c r="AV57" s="10">
        <f>IF($G57=AV$5,1000,IF(AV$4=0,1000,SQRT((VLOOKUP($G57,Coords[],3,FALSE)-VLOOKUP(AV$5,Coords[],3,FALSE))^2+(VLOOKUP($G57,Coords[],4,FALSE)-VLOOKUP(AV$5,Coords[],4,FALSE))^2)))</f>
        <v>1000</v>
      </c>
      <c r="AW57" s="10">
        <f>IF($G57=AW$5,1000,IF(AW$4=0,1000,SQRT((VLOOKUP($G57,Coords[],3,FALSE)-VLOOKUP(AW$5,Coords[],3,FALSE))^2+(VLOOKUP($G57,Coords[],4,FALSE)-VLOOKUP(AW$5,Coords[],4,FALSE))^2)))</f>
        <v>1000</v>
      </c>
      <c r="AX57" s="10">
        <f>IF($G57=AX$5,1000,IF(AX$4=0,1000,SQRT((VLOOKUP($G57,Coords[],3,FALSE)-VLOOKUP(AX$5,Coords[],3,FALSE))^2+(VLOOKUP($G57,Coords[],4,FALSE)-VLOOKUP(AX$5,Coords[],4,FALSE))^2)))</f>
        <v>1000</v>
      </c>
      <c r="AY57" s="10">
        <f>IF($G57=AY$5,1000,IF(AY$4=0,1000,SQRT((VLOOKUP($G57,Coords[],3,FALSE)-VLOOKUP(AY$5,Coords[],3,FALSE))^2+(VLOOKUP($G57,Coords[],4,FALSE)-VLOOKUP(AY$5,Coords[],4,FALSE))^2)))</f>
        <v>1000</v>
      </c>
      <c r="AZ57" s="10">
        <f>IF($G57=AZ$5,1000,IF(AZ$4=0,1000,SQRT((VLOOKUP($G57,Coords[],3,FALSE)-VLOOKUP(AZ$5,Coords[],3,FALSE))^2+(VLOOKUP($G57,Coords[],4,FALSE)-VLOOKUP(AZ$5,Coords[],4,FALSE))^2)))</f>
        <v>1000</v>
      </c>
      <c r="BA57" s="10">
        <f>IF($G57=BA$5,1000,IF(BA$4=0,1000,SQRT((VLOOKUP($G57,Coords[],3,FALSE)-VLOOKUP(BA$5,Coords[],3,FALSE))^2+(VLOOKUP($G57,Coords[],4,FALSE)-VLOOKUP(BA$5,Coords[],4,FALSE))^2)))</f>
        <v>1000</v>
      </c>
      <c r="BB57" s="10">
        <f>IF($G57=BB$5,1000,IF(BB$4=0,1000,SQRT((VLOOKUP($G57,Coords[],3,FALSE)-VLOOKUP(BB$5,Coords[],3,FALSE))^2+(VLOOKUP($G57,Coords[],4,FALSE)-VLOOKUP(BB$5,Coords[],4,FALSE))^2)))</f>
        <v>1000</v>
      </c>
      <c r="BC57" s="10">
        <f>IF($G57=BC$5,1000,IF(BC$4=0,1000,SQRT((VLOOKUP($G57,Coords[],3,FALSE)-VLOOKUP(BC$5,Coords[],3,FALSE))^2+(VLOOKUP($G57,Coords[],4,FALSE)-VLOOKUP(BC$5,Coords[],4,FALSE))^2)))</f>
        <v>1000</v>
      </c>
      <c r="BD57" s="10">
        <f>IF($G57=BD$5,1000,IF(BD$4=0,1000,SQRT((VLOOKUP($G57,Coords[],3,FALSE)-VLOOKUP(BD$5,Coords[],3,FALSE))^2+(VLOOKUP($G57,Coords[],4,FALSE)-VLOOKUP(BD$5,Coords[],4,FALSE))^2)))</f>
        <v>1000</v>
      </c>
      <c r="BE57" s="10">
        <f>IF($G57=BE$5,1000,IF(BE$4=0,1000,SQRT((VLOOKUP($G57,Coords[],3,FALSE)-VLOOKUP(BE$5,Coords[],3,FALSE))^2+(VLOOKUP($G57,Coords[],4,FALSE)-VLOOKUP(BE$5,Coords[],4,FALSE))^2)))</f>
        <v>1000</v>
      </c>
      <c r="BF57" s="10">
        <f>IF($G57=BF$5,1000,IF(BF$4=0,1000,SQRT((VLOOKUP($G57,Coords[],3,FALSE)-VLOOKUP(BF$5,Coords[],3,FALSE))^2+(VLOOKUP($G57,Coords[],4,FALSE)-VLOOKUP(BF$5,Coords[],4,FALSE))^2)))</f>
        <v>1000</v>
      </c>
      <c r="BG57" s="10">
        <f>IF($G57=BG$5,1000,IF(BG$4=0,1000,SQRT((VLOOKUP($G57,Coords[],3,FALSE)-VLOOKUP(BG$5,Coords[],3,FALSE))^2+(VLOOKUP($G57,Coords[],4,FALSE)-VLOOKUP(BG$5,Coords[],4,FALSE))^2)))</f>
        <v>1000</v>
      </c>
      <c r="BH57" s="10">
        <f>IF($G57=BH$5,1000,IF(BH$4=0,1000,SQRT((VLOOKUP($G57,Coords[],3,FALSE)-VLOOKUP(BH$5,Coords[],3,FALSE))^2+(VLOOKUP($G57,Coords[],4,FALSE)-VLOOKUP(BH$5,Coords[],4,FALSE))^2)))</f>
        <v>1000</v>
      </c>
      <c r="BI57" s="10">
        <f>IF($G57=BI$5,1000,IF(BI$4=0,1000,SQRT((VLOOKUP($G57,Coords[],3,FALSE)-VLOOKUP(BI$5,Coords[],3,FALSE))^2+(VLOOKUP($G57,Coords[],4,FALSE)-VLOOKUP(BI$5,Coords[],4,FALSE))^2)))</f>
        <v>1000</v>
      </c>
      <c r="BJ57" s="10">
        <f>IF($G57=BJ$5,1000,IF(BJ$4=0,1000,SQRT((VLOOKUP($G57,Coords[],3,FALSE)-VLOOKUP(BJ$5,Coords[],3,FALSE))^2+(VLOOKUP($G57,Coords[],4,FALSE)-VLOOKUP(BJ$5,Coords[],4,FALSE))^2)))</f>
        <v>1000</v>
      </c>
      <c r="BK57" s="10">
        <f>IF($G57=BK$5,1000,IF(BK$4=0,1000,SQRT((VLOOKUP($G57,Coords[],3,FALSE)-VLOOKUP(BK$5,Coords[],3,FALSE))^2+(VLOOKUP($G57,Coords[],4,FALSE)-VLOOKUP(BK$5,Coords[],4,FALSE))^2)))</f>
        <v>1000</v>
      </c>
      <c r="BL57" s="10">
        <f>IF($G57=BL$5,1000,IF(BL$4=0,1000,SQRT((VLOOKUP($G57,Coords[],3,FALSE)-VLOOKUP(BL$5,Coords[],3,FALSE))^2+(VLOOKUP($G57,Coords[],4,FALSE)-VLOOKUP(BL$5,Coords[],4,FALSE))^2)))</f>
        <v>1000</v>
      </c>
      <c r="BM57" s="10">
        <f>IF($G57=BM$5,1000,IF(BM$4=0,1000,SQRT((VLOOKUP($G57,Coords[],3,FALSE)-VLOOKUP(BM$5,Coords[],3,FALSE))^2+(VLOOKUP($G57,Coords[],4,FALSE)-VLOOKUP(BM$5,Coords[],4,FALSE))^2)))</f>
        <v>1000</v>
      </c>
      <c r="BN57" s="10">
        <f>IF($G57=BN$5,1000,IF(BN$4=0,1000,SQRT((VLOOKUP($G57,Coords[],3,FALSE)-VLOOKUP(BN$5,Coords[],3,FALSE))^2+(VLOOKUP($G57,Coords[],4,FALSE)-VLOOKUP(BN$5,Coords[],4,FALSE))^2)))</f>
        <v>1000</v>
      </c>
      <c r="BO57" s="10">
        <f>IF($G57=BO$5,1000,IF(BO$4=0,1000,SQRT((VLOOKUP($G57,Coords[],3,FALSE)-VLOOKUP(BO$5,Coords[],3,FALSE))^2+(VLOOKUP($G57,Coords[],4,FALSE)-VLOOKUP(BO$5,Coords[],4,FALSE))^2)))</f>
        <v>1000</v>
      </c>
      <c r="BP57" s="10">
        <f>IF($G57=BP$5,1000,IF(BP$4=0,1000,SQRT((VLOOKUP($G57,Coords[],3,FALSE)-VLOOKUP(BP$5,Coords[],3,FALSE))^2+(VLOOKUP($G57,Coords[],4,FALSE)-VLOOKUP(BP$5,Coords[],4,FALSE))^2)))</f>
        <v>1000</v>
      </c>
      <c r="BQ57" s="10">
        <f>IF($G57=BQ$5,1000,IF(BQ$4=0,1000,SQRT((VLOOKUP($G57,Coords[],3,FALSE)-VLOOKUP(BQ$5,Coords[],3,FALSE))^2+(VLOOKUP($G57,Coords[],4,FALSE)-VLOOKUP(BQ$5,Coords[],4,FALSE))^2)))</f>
        <v>1000</v>
      </c>
      <c r="BR57" s="10">
        <f>IF($G57=BR$5,1000,IF(BR$4=0,1000,SQRT((VLOOKUP($G57,Coords[],3,FALSE)-VLOOKUP(BR$5,Coords[],3,FALSE))^2+(VLOOKUP($G57,Coords[],4,FALSE)-VLOOKUP(BR$5,Coords[],4,FALSE))^2)))</f>
        <v>1000</v>
      </c>
      <c r="BS57" s="10">
        <f>IF($G57=BS$5,1000,IF(BS$4=0,1000,SQRT((VLOOKUP($G57,Coords[],3,FALSE)-VLOOKUP(BS$5,Coords[],3,FALSE))^2+(VLOOKUP($G57,Coords[],4,FALSE)-VLOOKUP(BS$5,Coords[],4,FALSE))^2)))</f>
        <v>1000</v>
      </c>
      <c r="BT57" s="10">
        <f>IF($G57=BT$5,1000,IF(BT$4=0,1000,SQRT((VLOOKUP($G57,Coords[],3,FALSE)-VLOOKUP(BT$5,Coords[],3,FALSE))^2+(VLOOKUP($G57,Coords[],4,FALSE)-VLOOKUP(BT$5,Coords[],4,FALSE))^2)))</f>
        <v>1000</v>
      </c>
      <c r="BU57" s="10">
        <f>IF($G57=BU$5,1000,IF(BU$4=0,1000,SQRT((VLOOKUP($G57,Coords[],3,FALSE)-VLOOKUP(BU$5,Coords[],3,FALSE))^2+(VLOOKUP($G57,Coords[],4,FALSE)-VLOOKUP(BU$5,Coords[],4,FALSE))^2)))</f>
        <v>1000</v>
      </c>
      <c r="BV57" s="10">
        <f>IF($G57=BV$5,1000,IF(BV$4=0,1000,SQRT((VLOOKUP($G57,Coords[],3,FALSE)-VLOOKUP(BV$5,Coords[],3,FALSE))^2+(VLOOKUP($G57,Coords[],4,FALSE)-VLOOKUP(BV$5,Coords[],4,FALSE))^2)))</f>
        <v>1000</v>
      </c>
      <c r="BW57" s="10">
        <f>IF($G57=BW$5,1000,IF(BW$4=0,1000,SQRT((VLOOKUP($G57,Coords[],3,FALSE)-VLOOKUP(BW$5,Coords[],3,FALSE))^2+(VLOOKUP($G57,Coords[],4,FALSE)-VLOOKUP(BW$5,Coords[],4,FALSE))^2)))</f>
        <v>1000</v>
      </c>
      <c r="BX57" s="10">
        <f>IF($G57=BX$5,1000,IF(BX$4=0,1000,SQRT((VLOOKUP($G57,Coords[],3,FALSE)-VLOOKUP(BX$5,Coords[],3,FALSE))^2+(VLOOKUP($G57,Coords[],4,FALSE)-VLOOKUP(BX$5,Coords[],4,FALSE))^2)))</f>
        <v>1000</v>
      </c>
      <c r="BY57" s="10">
        <f>IF($G57=BY$5,1000,IF(BY$4=0,1000,SQRT((VLOOKUP($G57,Coords[],3,FALSE)-VLOOKUP(BY$5,Coords[],3,FALSE))^2+(VLOOKUP($G57,Coords[],4,FALSE)-VLOOKUP(BY$5,Coords[],4,FALSE))^2)))</f>
        <v>1000</v>
      </c>
      <c r="BZ57" s="10">
        <f>IF($G57=BZ$5,1000,IF(BZ$4=0,1000,SQRT((VLOOKUP($G57,Coords[],3,FALSE)-VLOOKUP(BZ$5,Coords[],3,FALSE))^2+(VLOOKUP($G57,Coords[],4,FALSE)-VLOOKUP(BZ$5,Coords[],4,FALSE))^2)))</f>
        <v>1000</v>
      </c>
      <c r="CA57" s="10">
        <f>IF($G57=CA$5,1000,IF(CA$4=0,1000,SQRT((VLOOKUP($G57,Coords[],3,FALSE)-VLOOKUP(CA$5,Coords[],3,FALSE))^2+(VLOOKUP($G57,Coords[],4,FALSE)-VLOOKUP(CA$5,Coords[],4,FALSE))^2)))</f>
        <v>1000</v>
      </c>
      <c r="CB57" s="10">
        <f>IF($G57=CB$5,1000,IF(CB$4=0,1000,SQRT((VLOOKUP($G57,Coords[],3,FALSE)-VLOOKUP(CB$5,Coords[],3,FALSE))^2+(VLOOKUP($G57,Coords[],4,FALSE)-VLOOKUP(CB$5,Coords[],4,FALSE))^2)))</f>
        <v>1000</v>
      </c>
      <c r="CC57" s="10">
        <f>IF($G57=CC$5,1000,IF(CC$4=0,1000,SQRT((VLOOKUP($G57,Coords[],3,FALSE)-VLOOKUP(CC$5,Coords[],3,FALSE))^2+(VLOOKUP($G57,Coords[],4,FALSE)-VLOOKUP(CC$5,Coords[],4,FALSE))^2)))</f>
        <v>1000</v>
      </c>
      <c r="CD57" s="10">
        <f>IF($G57=CD$5,1000,IF(CD$4=0,1000,SQRT((VLOOKUP($G57,Coords[],3,FALSE)-VLOOKUP(CD$5,Coords[],3,FALSE))^2+(VLOOKUP($G57,Coords[],4,FALSE)-VLOOKUP(CD$5,Coords[],4,FALSE))^2)))</f>
        <v>1000</v>
      </c>
      <c r="CE57" s="10">
        <f>IF($G57=CE$5,1000,IF(CE$4=0,1000,SQRT((VLOOKUP($G57,Coords[],3,FALSE)-VLOOKUP(CE$5,Coords[],3,FALSE))^2+(VLOOKUP($G57,Coords[],4,FALSE)-VLOOKUP(CE$5,Coords[],4,FALSE))^2)))</f>
        <v>1000</v>
      </c>
      <c r="CF57" s="4">
        <v>52</v>
      </c>
      <c r="CH57" s="5">
        <f>IF(E57=1,0,VLOOKUP($G57,$G$6:$CE$82,HLOOKUP(MIN(H57:CE57),$H57:$CE$82,((COUNT($G$6:$G$81)+2)-$G57),FALSE)+1,FALSE)*B57)</f>
        <v>0</v>
      </c>
      <c r="CI57" s="9">
        <f>VLOOKUP($G57,$G$6:$CE$82,HLOOKUP(MIN(H57:CE57),$H57:$CE$82,((COUNT($G$6:$G$81)+2)-$G57),FALSE)+1,FALSE)</f>
        <v>1000</v>
      </c>
      <c r="CJ57" s="7">
        <f>HLOOKUP(MIN(H57:CE57),$H57:$CE$82,((COUNT($G$6:$G$81)+2)-$G57),FALSE)</f>
        <v>1</v>
      </c>
      <c r="CK57">
        <f>CI57*Coords[[#This Row],[Demand]]</f>
        <v>0</v>
      </c>
    </row>
    <row r="58" spans="1:89" x14ac:dyDescent="0.25">
      <c r="A58" s="8">
        <v>53</v>
      </c>
      <c r="B58" s="3"/>
      <c r="C58" s="3"/>
      <c r="D58" s="3"/>
      <c r="E58" s="3"/>
      <c r="G58" s="4">
        <v>53</v>
      </c>
      <c r="H58" s="10">
        <f>IF($G58=H$5,1000,IF(H$4=0,1000,SQRT((VLOOKUP($G58,Coords[],3,FALSE)-VLOOKUP(H$5,Coords[],3,FALSE))^2+(VLOOKUP($G58,Coords[],4,FALSE)-VLOOKUP(H$5,Coords[],4,FALSE))^2)))</f>
        <v>1000</v>
      </c>
      <c r="I58" s="10">
        <f>IF($G58=I$5,1000,IF(I$4=0,1000,SQRT((VLOOKUP($G58,Coords[],3,FALSE)-VLOOKUP(I$5,Coords[],3,FALSE))^2+(VLOOKUP($G58,Coords[],4,FALSE)-VLOOKUP(I$5,Coords[],4,FALSE))^2)))</f>
        <v>1000</v>
      </c>
      <c r="J58" s="10">
        <f>IF($G58=J$5,1000,IF(J$4=0,1000,SQRT((VLOOKUP($G58,Coords[],3,FALSE)-VLOOKUP(J$5,Coords[],3,FALSE))^2+(VLOOKUP($G58,Coords[],4,FALSE)-VLOOKUP(J$5,Coords[],4,FALSE))^2)))</f>
        <v>1000</v>
      </c>
      <c r="K58" s="10">
        <f>IF($G58=K$5,1000,IF(K$4=0,1000,SQRT((VLOOKUP($G58,Coords[],3,FALSE)-VLOOKUP(K$5,Coords[],3,FALSE))^2+(VLOOKUP($G58,Coords[],4,FALSE)-VLOOKUP(K$5,Coords[],4,FALSE))^2)))</f>
        <v>1000</v>
      </c>
      <c r="L58" s="10">
        <f>IF($G58=L$5,1000,IF(L$4=0,1000,SQRT((VLOOKUP($G58,Coords[],3,FALSE)-VLOOKUP(L$5,Coords[],3,FALSE))^2+(VLOOKUP($G58,Coords[],4,FALSE)-VLOOKUP(L$5,Coords[],4,FALSE))^2)))</f>
        <v>1000</v>
      </c>
      <c r="M58" s="10">
        <f>IF($G58=M$5,1000,IF(M$4=0,1000,SQRT((VLOOKUP($G58,Coords[],3,FALSE)-VLOOKUP(M$5,Coords[],3,FALSE))^2+(VLOOKUP($G58,Coords[],4,FALSE)-VLOOKUP(M$5,Coords[],4,FALSE))^2)))</f>
        <v>1000</v>
      </c>
      <c r="N58" s="10">
        <f>IF($G58=N$5,1000,IF(N$4=0,1000,SQRT((VLOOKUP($G58,Coords[],3,FALSE)-VLOOKUP(N$5,Coords[],3,FALSE))^2+(VLOOKUP($G58,Coords[],4,FALSE)-VLOOKUP(N$5,Coords[],4,FALSE))^2)))</f>
        <v>1000</v>
      </c>
      <c r="O58" s="10">
        <f>IF($G58=O$5,1000,IF(O$4=0,1000,SQRT((VLOOKUP($G58,Coords[],3,FALSE)-VLOOKUP(O$5,Coords[],3,FALSE))^2+(VLOOKUP($G58,Coords[],4,FALSE)-VLOOKUP(O$5,Coords[],4,FALSE))^2)))</f>
        <v>1000</v>
      </c>
      <c r="P58" s="10">
        <f>IF($G58=P$5,1000,IF(P$4=0,1000,SQRT((VLOOKUP($G58,Coords[],3,FALSE)-VLOOKUP(P$5,Coords[],3,FALSE))^2+(VLOOKUP($G58,Coords[],4,FALSE)-VLOOKUP(P$5,Coords[],4,FALSE))^2)))</f>
        <v>1000</v>
      </c>
      <c r="Q58" s="10">
        <f>IF($G58=Q$5,1000,IF(Q$4=0,1000,SQRT((VLOOKUP($G58,Coords[],3,FALSE)-VLOOKUP(Q$5,Coords[],3,FALSE))^2+(VLOOKUP($G58,Coords[],4,FALSE)-VLOOKUP(Q$5,Coords[],4,FALSE))^2)))</f>
        <v>1000</v>
      </c>
      <c r="R58" s="10">
        <f>IF($G58=R$5,1000,IF(R$4=0,1000,SQRT((VLOOKUP($G58,Coords[],3,FALSE)-VLOOKUP(R$5,Coords[],3,FALSE))^2+(VLOOKUP($G58,Coords[],4,FALSE)-VLOOKUP(R$5,Coords[],4,FALSE))^2)))</f>
        <v>1000</v>
      </c>
      <c r="S58" s="10">
        <f>IF($G58=S$5,1000,IF(S$4=0,1000,SQRT((VLOOKUP($G58,Coords[],3,FALSE)-VLOOKUP(S$5,Coords[],3,FALSE))^2+(VLOOKUP($G58,Coords[],4,FALSE)-VLOOKUP(S$5,Coords[],4,FALSE))^2)))</f>
        <v>1000</v>
      </c>
      <c r="T58" s="10">
        <f>IF($G58=T$5,1000,IF(T$4=0,1000,SQRT((VLOOKUP($G58,Coords[],3,FALSE)-VLOOKUP(T$5,Coords[],3,FALSE))^2+(VLOOKUP($G58,Coords[],4,FALSE)-VLOOKUP(T$5,Coords[],4,FALSE))^2)))</f>
        <v>1000</v>
      </c>
      <c r="U58" s="10">
        <f>IF($G58=U$5,1000,IF(U$4=0,1000,SQRT((VLOOKUP($G58,Coords[],3,FALSE)-VLOOKUP(U$5,Coords[],3,FALSE))^2+(VLOOKUP($G58,Coords[],4,FALSE)-VLOOKUP(U$5,Coords[],4,FALSE))^2)))</f>
        <v>1000</v>
      </c>
      <c r="V58" s="10">
        <f>IF($G58=V$5,1000,IF(V$4=0,1000,SQRT((VLOOKUP($G58,Coords[],3,FALSE)-VLOOKUP(V$5,Coords[],3,FALSE))^2+(VLOOKUP($G58,Coords[],4,FALSE)-VLOOKUP(V$5,Coords[],4,FALSE))^2)))</f>
        <v>1000</v>
      </c>
      <c r="W58" s="10">
        <f>IF($G58=W$5,1000,IF(W$4=0,1000,SQRT((VLOOKUP($G58,Coords[],3,FALSE)-VLOOKUP(W$5,Coords[],3,FALSE))^2+(VLOOKUP($G58,Coords[],4,FALSE)-VLOOKUP(W$5,Coords[],4,FALSE))^2)))</f>
        <v>1000</v>
      </c>
      <c r="X58" s="10">
        <f>IF($G58=X$5,1000,IF(X$4=0,1000,SQRT((VLOOKUP($G58,Coords[],3,FALSE)-VLOOKUP(X$5,Coords[],3,FALSE))^2+(VLOOKUP($G58,Coords[],4,FALSE)-VLOOKUP(X$5,Coords[],4,FALSE))^2)))</f>
        <v>1000</v>
      </c>
      <c r="Y58" s="10">
        <f>IF($G58=Y$5,1000,IF(Y$4=0,1000,SQRT((VLOOKUP($G58,Coords[],3,FALSE)-VLOOKUP(Y$5,Coords[],3,FALSE))^2+(VLOOKUP($G58,Coords[],4,FALSE)-VLOOKUP(Y$5,Coords[],4,FALSE))^2)))</f>
        <v>1000</v>
      </c>
      <c r="Z58" s="10">
        <f>IF($G58=Z$5,1000,IF(Z$4=0,1000,SQRT((VLOOKUP($G58,Coords[],3,FALSE)-VLOOKUP(Z$5,Coords[],3,FALSE))^2+(VLOOKUP($G58,Coords[],4,FALSE)-VLOOKUP(Z$5,Coords[],4,FALSE))^2)))</f>
        <v>1000</v>
      </c>
      <c r="AA58" s="10">
        <f>IF($G58=AA$5,1000,IF(AA$4=0,1000,SQRT((VLOOKUP($G58,Coords[],3,FALSE)-VLOOKUP(AA$5,Coords[],3,FALSE))^2+(VLOOKUP($G58,Coords[],4,FALSE)-VLOOKUP(AA$5,Coords[],4,FALSE))^2)))</f>
        <v>1000</v>
      </c>
      <c r="AB58" s="10">
        <f>IF($G58=AB$5,1000,IF(AB$4=0,1000,SQRT((VLOOKUP($G58,Coords[],3,FALSE)-VLOOKUP(AB$5,Coords[],3,FALSE))^2+(VLOOKUP($G58,Coords[],4,FALSE)-VLOOKUP(AB$5,Coords[],4,FALSE))^2)))</f>
        <v>1000</v>
      </c>
      <c r="AC58" s="10">
        <f>IF($G58=AC$5,1000,IF(AC$4=0,1000,SQRT((VLOOKUP($G58,Coords[],3,FALSE)-VLOOKUP(AC$5,Coords[],3,FALSE))^2+(VLOOKUP($G58,Coords[],4,FALSE)-VLOOKUP(AC$5,Coords[],4,FALSE))^2)))</f>
        <v>1000</v>
      </c>
      <c r="AD58" s="10">
        <f>IF($G58=AD$5,1000,IF(AD$4=0,1000,SQRT((VLOOKUP($G58,Coords[],3,FALSE)-VLOOKUP(AD$5,Coords[],3,FALSE))^2+(VLOOKUP($G58,Coords[],4,FALSE)-VLOOKUP(AD$5,Coords[],4,FALSE))^2)))</f>
        <v>1000</v>
      </c>
      <c r="AE58" s="10">
        <f>IF($G58=AE$5,1000,IF(AE$4=0,1000,SQRT((VLOOKUP($G58,Coords[],3,FALSE)-VLOOKUP(AE$5,Coords[],3,FALSE))^2+(VLOOKUP($G58,Coords[],4,FALSE)-VLOOKUP(AE$5,Coords[],4,FALSE))^2)))</f>
        <v>1000</v>
      </c>
      <c r="AF58" s="10">
        <f>IF($G58=AF$5,1000,IF(AF$4=0,1000,SQRT((VLOOKUP($G58,Coords[],3,FALSE)-VLOOKUP(AF$5,Coords[],3,FALSE))^2+(VLOOKUP($G58,Coords[],4,FALSE)-VLOOKUP(AF$5,Coords[],4,FALSE))^2)))</f>
        <v>1000</v>
      </c>
      <c r="AG58" s="10">
        <f>IF($G58=AG$5,1000,IF(AG$4=0,1000,SQRT((VLOOKUP($G58,Coords[],3,FALSE)-VLOOKUP(AG$5,Coords[],3,FALSE))^2+(VLOOKUP($G58,Coords[],4,FALSE)-VLOOKUP(AG$5,Coords[],4,FALSE))^2)))</f>
        <v>1000</v>
      </c>
      <c r="AH58" s="10">
        <f>IF($G58=AH$5,1000,IF(AH$4=0,1000,SQRT((VLOOKUP($G58,Coords[],3,FALSE)-VLOOKUP(AH$5,Coords[],3,FALSE))^2+(VLOOKUP($G58,Coords[],4,FALSE)-VLOOKUP(AH$5,Coords[],4,FALSE))^2)))</f>
        <v>1000</v>
      </c>
      <c r="AI58" s="10">
        <f>IF($G58=AI$5,1000,IF(AI$4=0,1000,SQRT((VLOOKUP($G58,Coords[],3,FALSE)-VLOOKUP(AI$5,Coords[],3,FALSE))^2+(VLOOKUP($G58,Coords[],4,FALSE)-VLOOKUP(AI$5,Coords[],4,FALSE))^2)))</f>
        <v>1000</v>
      </c>
      <c r="AJ58" s="10">
        <f>IF($G58=AJ$5,1000,IF(AJ$4=0,1000,SQRT((VLOOKUP($G58,Coords[],3,FALSE)-VLOOKUP(AJ$5,Coords[],3,FALSE))^2+(VLOOKUP($G58,Coords[],4,FALSE)-VLOOKUP(AJ$5,Coords[],4,FALSE))^2)))</f>
        <v>1000</v>
      </c>
      <c r="AK58" s="10">
        <f>IF($G58=AK$5,1000,IF(AK$4=0,1000,SQRT((VLOOKUP($G58,Coords[],3,FALSE)-VLOOKUP(AK$5,Coords[],3,FALSE))^2+(VLOOKUP($G58,Coords[],4,FALSE)-VLOOKUP(AK$5,Coords[],4,FALSE))^2)))</f>
        <v>1000</v>
      </c>
      <c r="AL58" s="10">
        <f>IF($G58=AL$5,1000,IF(AL$4=0,1000,SQRT((VLOOKUP($G58,Coords[],3,FALSE)-VLOOKUP(AL$5,Coords[],3,FALSE))^2+(VLOOKUP($G58,Coords[],4,FALSE)-VLOOKUP(AL$5,Coords[],4,FALSE))^2)))</f>
        <v>1000</v>
      </c>
      <c r="AM58" s="10">
        <f>IF($G58=AM$5,1000,IF(AM$4=0,1000,SQRT((VLOOKUP($G58,Coords[],3,FALSE)-VLOOKUP(AM$5,Coords[],3,FALSE))^2+(VLOOKUP($G58,Coords[],4,FALSE)-VLOOKUP(AM$5,Coords[],4,FALSE))^2)))</f>
        <v>1000</v>
      </c>
      <c r="AN58" s="10">
        <f>IF($G58=AN$5,1000,IF(AN$4=0,1000,SQRT((VLOOKUP($G58,Coords[],3,FALSE)-VLOOKUP(AN$5,Coords[],3,FALSE))^2+(VLOOKUP($G58,Coords[],4,FALSE)-VLOOKUP(AN$5,Coords[],4,FALSE))^2)))</f>
        <v>1000</v>
      </c>
      <c r="AO58" s="10">
        <f>IF($G58=AO$5,1000,IF(AO$4=0,1000,SQRT((VLOOKUP($G58,Coords[],3,FALSE)-VLOOKUP(AO$5,Coords[],3,FALSE))^2+(VLOOKUP($G58,Coords[],4,FALSE)-VLOOKUP(AO$5,Coords[],4,FALSE))^2)))</f>
        <v>1000</v>
      </c>
      <c r="AP58" s="10">
        <f>IF($G58=AP$5,1000,IF(AP$4=0,1000,SQRT((VLOOKUP($G58,Coords[],3,FALSE)-VLOOKUP(AP$5,Coords[],3,FALSE))^2+(VLOOKUP($G58,Coords[],4,FALSE)-VLOOKUP(AP$5,Coords[],4,FALSE))^2)))</f>
        <v>1000</v>
      </c>
      <c r="AQ58" s="10">
        <f>IF($G58=AQ$5,1000,IF(AQ$4=0,1000,SQRT((VLOOKUP($G58,Coords[],3,FALSE)-VLOOKUP(AQ$5,Coords[],3,FALSE))^2+(VLOOKUP($G58,Coords[],4,FALSE)-VLOOKUP(AQ$5,Coords[],4,FALSE))^2)))</f>
        <v>1000</v>
      </c>
      <c r="AR58" s="10">
        <f>IF($G58=AR$5,1000,IF(AR$4=0,1000,SQRT((VLOOKUP($G58,Coords[],3,FALSE)-VLOOKUP(AR$5,Coords[],3,FALSE))^2+(VLOOKUP($G58,Coords[],4,FALSE)-VLOOKUP(AR$5,Coords[],4,FALSE))^2)))</f>
        <v>1000</v>
      </c>
      <c r="AS58" s="10">
        <f>IF($G58=AS$5,1000,IF(AS$4=0,1000,SQRT((VLOOKUP($G58,Coords[],3,FALSE)-VLOOKUP(AS$5,Coords[],3,FALSE))^2+(VLOOKUP($G58,Coords[],4,FALSE)-VLOOKUP(AS$5,Coords[],4,FALSE))^2)))</f>
        <v>1000</v>
      </c>
      <c r="AT58" s="10">
        <f>IF($G58=AT$5,1000,IF(AT$4=0,1000,SQRT((VLOOKUP($G58,Coords[],3,FALSE)-VLOOKUP(AT$5,Coords[],3,FALSE))^2+(VLOOKUP($G58,Coords[],4,FALSE)-VLOOKUP(AT$5,Coords[],4,FALSE))^2)))</f>
        <v>1000</v>
      </c>
      <c r="AU58" s="10">
        <f>IF($G58=AU$5,1000,IF(AU$4=0,1000,SQRT((VLOOKUP($G58,Coords[],3,FALSE)-VLOOKUP(AU$5,Coords[],3,FALSE))^2+(VLOOKUP($G58,Coords[],4,FALSE)-VLOOKUP(AU$5,Coords[],4,FALSE))^2)))</f>
        <v>1000</v>
      </c>
      <c r="AV58" s="10">
        <f>IF($G58=AV$5,1000,IF(AV$4=0,1000,SQRT((VLOOKUP($G58,Coords[],3,FALSE)-VLOOKUP(AV$5,Coords[],3,FALSE))^2+(VLOOKUP($G58,Coords[],4,FALSE)-VLOOKUP(AV$5,Coords[],4,FALSE))^2)))</f>
        <v>1000</v>
      </c>
      <c r="AW58" s="10">
        <f>IF($G58=AW$5,1000,IF(AW$4=0,1000,SQRT((VLOOKUP($G58,Coords[],3,FALSE)-VLOOKUP(AW$5,Coords[],3,FALSE))^2+(VLOOKUP($G58,Coords[],4,FALSE)-VLOOKUP(AW$5,Coords[],4,FALSE))^2)))</f>
        <v>1000</v>
      </c>
      <c r="AX58" s="10">
        <f>IF($G58=AX$5,1000,IF(AX$4=0,1000,SQRT((VLOOKUP($G58,Coords[],3,FALSE)-VLOOKUP(AX$5,Coords[],3,FALSE))^2+(VLOOKUP($G58,Coords[],4,FALSE)-VLOOKUP(AX$5,Coords[],4,FALSE))^2)))</f>
        <v>1000</v>
      </c>
      <c r="AY58" s="10">
        <f>IF($G58=AY$5,1000,IF(AY$4=0,1000,SQRT((VLOOKUP($G58,Coords[],3,FALSE)-VLOOKUP(AY$5,Coords[],3,FALSE))^2+(VLOOKUP($G58,Coords[],4,FALSE)-VLOOKUP(AY$5,Coords[],4,FALSE))^2)))</f>
        <v>1000</v>
      </c>
      <c r="AZ58" s="10">
        <f>IF($G58=AZ$5,1000,IF(AZ$4=0,1000,SQRT((VLOOKUP($G58,Coords[],3,FALSE)-VLOOKUP(AZ$5,Coords[],3,FALSE))^2+(VLOOKUP($G58,Coords[],4,FALSE)-VLOOKUP(AZ$5,Coords[],4,FALSE))^2)))</f>
        <v>1000</v>
      </c>
      <c r="BA58" s="10">
        <f>IF($G58=BA$5,1000,IF(BA$4=0,1000,SQRT((VLOOKUP($G58,Coords[],3,FALSE)-VLOOKUP(BA$5,Coords[],3,FALSE))^2+(VLOOKUP($G58,Coords[],4,FALSE)-VLOOKUP(BA$5,Coords[],4,FALSE))^2)))</f>
        <v>1000</v>
      </c>
      <c r="BB58" s="10">
        <f>IF($G58=BB$5,1000,IF(BB$4=0,1000,SQRT((VLOOKUP($G58,Coords[],3,FALSE)-VLOOKUP(BB$5,Coords[],3,FALSE))^2+(VLOOKUP($G58,Coords[],4,FALSE)-VLOOKUP(BB$5,Coords[],4,FALSE))^2)))</f>
        <v>1000</v>
      </c>
      <c r="BC58" s="10">
        <f>IF($G58=BC$5,1000,IF(BC$4=0,1000,SQRT((VLOOKUP($G58,Coords[],3,FALSE)-VLOOKUP(BC$5,Coords[],3,FALSE))^2+(VLOOKUP($G58,Coords[],4,FALSE)-VLOOKUP(BC$5,Coords[],4,FALSE))^2)))</f>
        <v>1000</v>
      </c>
      <c r="BD58" s="10">
        <f>IF($G58=BD$5,1000,IF(BD$4=0,1000,SQRT((VLOOKUP($G58,Coords[],3,FALSE)-VLOOKUP(BD$5,Coords[],3,FALSE))^2+(VLOOKUP($G58,Coords[],4,FALSE)-VLOOKUP(BD$5,Coords[],4,FALSE))^2)))</f>
        <v>1000</v>
      </c>
      <c r="BE58" s="10">
        <f>IF($G58=BE$5,1000,IF(BE$4=0,1000,SQRT((VLOOKUP($G58,Coords[],3,FALSE)-VLOOKUP(BE$5,Coords[],3,FALSE))^2+(VLOOKUP($G58,Coords[],4,FALSE)-VLOOKUP(BE$5,Coords[],4,FALSE))^2)))</f>
        <v>1000</v>
      </c>
      <c r="BF58" s="10">
        <f>IF($G58=BF$5,1000,IF(BF$4=0,1000,SQRT((VLOOKUP($G58,Coords[],3,FALSE)-VLOOKUP(BF$5,Coords[],3,FALSE))^2+(VLOOKUP($G58,Coords[],4,FALSE)-VLOOKUP(BF$5,Coords[],4,FALSE))^2)))</f>
        <v>1000</v>
      </c>
      <c r="BG58" s="10">
        <f>IF($G58=BG$5,1000,IF(BG$4=0,1000,SQRT((VLOOKUP($G58,Coords[],3,FALSE)-VLOOKUP(BG$5,Coords[],3,FALSE))^2+(VLOOKUP($G58,Coords[],4,FALSE)-VLOOKUP(BG$5,Coords[],4,FALSE))^2)))</f>
        <v>1000</v>
      </c>
      <c r="BH58" s="10">
        <f>IF($G58=BH$5,1000,IF(BH$4=0,1000,SQRT((VLOOKUP($G58,Coords[],3,FALSE)-VLOOKUP(BH$5,Coords[],3,FALSE))^2+(VLOOKUP($G58,Coords[],4,FALSE)-VLOOKUP(BH$5,Coords[],4,FALSE))^2)))</f>
        <v>1000</v>
      </c>
      <c r="BI58" s="10">
        <f>IF($G58=BI$5,1000,IF(BI$4=0,1000,SQRT((VLOOKUP($G58,Coords[],3,FALSE)-VLOOKUP(BI$5,Coords[],3,FALSE))^2+(VLOOKUP($G58,Coords[],4,FALSE)-VLOOKUP(BI$5,Coords[],4,FALSE))^2)))</f>
        <v>1000</v>
      </c>
      <c r="BJ58" s="10">
        <f>IF($G58=BJ$5,1000,IF(BJ$4=0,1000,SQRT((VLOOKUP($G58,Coords[],3,FALSE)-VLOOKUP(BJ$5,Coords[],3,FALSE))^2+(VLOOKUP($G58,Coords[],4,FALSE)-VLOOKUP(BJ$5,Coords[],4,FALSE))^2)))</f>
        <v>1000</v>
      </c>
      <c r="BK58" s="10">
        <f>IF($G58=BK$5,1000,IF(BK$4=0,1000,SQRT((VLOOKUP($G58,Coords[],3,FALSE)-VLOOKUP(BK$5,Coords[],3,FALSE))^2+(VLOOKUP($G58,Coords[],4,FALSE)-VLOOKUP(BK$5,Coords[],4,FALSE))^2)))</f>
        <v>1000</v>
      </c>
      <c r="BL58" s="10">
        <f>IF($G58=BL$5,1000,IF(BL$4=0,1000,SQRT((VLOOKUP($G58,Coords[],3,FALSE)-VLOOKUP(BL$5,Coords[],3,FALSE))^2+(VLOOKUP($G58,Coords[],4,FALSE)-VLOOKUP(BL$5,Coords[],4,FALSE))^2)))</f>
        <v>1000</v>
      </c>
      <c r="BM58" s="10">
        <f>IF($G58=BM$5,1000,IF(BM$4=0,1000,SQRT((VLOOKUP($G58,Coords[],3,FALSE)-VLOOKUP(BM$5,Coords[],3,FALSE))^2+(VLOOKUP($G58,Coords[],4,FALSE)-VLOOKUP(BM$5,Coords[],4,FALSE))^2)))</f>
        <v>1000</v>
      </c>
      <c r="BN58" s="10">
        <f>IF($G58=BN$5,1000,IF(BN$4=0,1000,SQRT((VLOOKUP($G58,Coords[],3,FALSE)-VLOOKUP(BN$5,Coords[],3,FALSE))^2+(VLOOKUP($G58,Coords[],4,FALSE)-VLOOKUP(BN$5,Coords[],4,FALSE))^2)))</f>
        <v>1000</v>
      </c>
      <c r="BO58" s="10">
        <f>IF($G58=BO$5,1000,IF(BO$4=0,1000,SQRT((VLOOKUP($G58,Coords[],3,FALSE)-VLOOKUP(BO$5,Coords[],3,FALSE))^2+(VLOOKUP($G58,Coords[],4,FALSE)-VLOOKUP(BO$5,Coords[],4,FALSE))^2)))</f>
        <v>1000</v>
      </c>
      <c r="BP58" s="10">
        <f>IF($G58=BP$5,1000,IF(BP$4=0,1000,SQRT((VLOOKUP($G58,Coords[],3,FALSE)-VLOOKUP(BP$5,Coords[],3,FALSE))^2+(VLOOKUP($G58,Coords[],4,FALSE)-VLOOKUP(BP$5,Coords[],4,FALSE))^2)))</f>
        <v>1000</v>
      </c>
      <c r="BQ58" s="10">
        <f>IF($G58=BQ$5,1000,IF(BQ$4=0,1000,SQRT((VLOOKUP($G58,Coords[],3,FALSE)-VLOOKUP(BQ$5,Coords[],3,FALSE))^2+(VLOOKUP($G58,Coords[],4,FALSE)-VLOOKUP(BQ$5,Coords[],4,FALSE))^2)))</f>
        <v>1000</v>
      </c>
      <c r="BR58" s="10">
        <f>IF($G58=BR$5,1000,IF(BR$4=0,1000,SQRT((VLOOKUP($G58,Coords[],3,FALSE)-VLOOKUP(BR$5,Coords[],3,FALSE))^2+(VLOOKUP($G58,Coords[],4,FALSE)-VLOOKUP(BR$5,Coords[],4,FALSE))^2)))</f>
        <v>1000</v>
      </c>
      <c r="BS58" s="10">
        <f>IF($G58=BS$5,1000,IF(BS$4=0,1000,SQRT((VLOOKUP($G58,Coords[],3,FALSE)-VLOOKUP(BS$5,Coords[],3,FALSE))^2+(VLOOKUP($G58,Coords[],4,FALSE)-VLOOKUP(BS$5,Coords[],4,FALSE))^2)))</f>
        <v>1000</v>
      </c>
      <c r="BT58" s="10">
        <f>IF($G58=BT$5,1000,IF(BT$4=0,1000,SQRT((VLOOKUP($G58,Coords[],3,FALSE)-VLOOKUP(BT$5,Coords[],3,FALSE))^2+(VLOOKUP($G58,Coords[],4,FALSE)-VLOOKUP(BT$5,Coords[],4,FALSE))^2)))</f>
        <v>1000</v>
      </c>
      <c r="BU58" s="10">
        <f>IF($G58=BU$5,1000,IF(BU$4=0,1000,SQRT((VLOOKUP($G58,Coords[],3,FALSE)-VLOOKUP(BU$5,Coords[],3,FALSE))^2+(VLOOKUP($G58,Coords[],4,FALSE)-VLOOKUP(BU$5,Coords[],4,FALSE))^2)))</f>
        <v>1000</v>
      </c>
      <c r="BV58" s="10">
        <f>IF($G58=BV$5,1000,IF(BV$4=0,1000,SQRT((VLOOKUP($G58,Coords[],3,FALSE)-VLOOKUP(BV$5,Coords[],3,FALSE))^2+(VLOOKUP($G58,Coords[],4,FALSE)-VLOOKUP(BV$5,Coords[],4,FALSE))^2)))</f>
        <v>1000</v>
      </c>
      <c r="BW58" s="10">
        <f>IF($G58=BW$5,1000,IF(BW$4=0,1000,SQRT((VLOOKUP($G58,Coords[],3,FALSE)-VLOOKUP(BW$5,Coords[],3,FALSE))^2+(VLOOKUP($G58,Coords[],4,FALSE)-VLOOKUP(BW$5,Coords[],4,FALSE))^2)))</f>
        <v>1000</v>
      </c>
      <c r="BX58" s="10">
        <f>IF($G58=BX$5,1000,IF(BX$4=0,1000,SQRT((VLOOKUP($G58,Coords[],3,FALSE)-VLOOKUP(BX$5,Coords[],3,FALSE))^2+(VLOOKUP($G58,Coords[],4,FALSE)-VLOOKUP(BX$5,Coords[],4,FALSE))^2)))</f>
        <v>1000</v>
      </c>
      <c r="BY58" s="10">
        <f>IF($G58=BY$5,1000,IF(BY$4=0,1000,SQRT((VLOOKUP($G58,Coords[],3,FALSE)-VLOOKUP(BY$5,Coords[],3,FALSE))^2+(VLOOKUP($G58,Coords[],4,FALSE)-VLOOKUP(BY$5,Coords[],4,FALSE))^2)))</f>
        <v>1000</v>
      </c>
      <c r="BZ58" s="10">
        <f>IF($G58=BZ$5,1000,IF(BZ$4=0,1000,SQRT((VLOOKUP($G58,Coords[],3,FALSE)-VLOOKUP(BZ$5,Coords[],3,FALSE))^2+(VLOOKUP($G58,Coords[],4,FALSE)-VLOOKUP(BZ$5,Coords[],4,FALSE))^2)))</f>
        <v>1000</v>
      </c>
      <c r="CA58" s="10">
        <f>IF($G58=CA$5,1000,IF(CA$4=0,1000,SQRT((VLOOKUP($G58,Coords[],3,FALSE)-VLOOKUP(CA$5,Coords[],3,FALSE))^2+(VLOOKUP($G58,Coords[],4,FALSE)-VLOOKUP(CA$5,Coords[],4,FALSE))^2)))</f>
        <v>1000</v>
      </c>
      <c r="CB58" s="10">
        <f>IF($G58=CB$5,1000,IF(CB$4=0,1000,SQRT((VLOOKUP($G58,Coords[],3,FALSE)-VLOOKUP(CB$5,Coords[],3,FALSE))^2+(VLOOKUP($G58,Coords[],4,FALSE)-VLOOKUP(CB$5,Coords[],4,FALSE))^2)))</f>
        <v>1000</v>
      </c>
      <c r="CC58" s="10">
        <f>IF($G58=CC$5,1000,IF(CC$4=0,1000,SQRT((VLOOKUP($G58,Coords[],3,FALSE)-VLOOKUP(CC$5,Coords[],3,FALSE))^2+(VLOOKUP($G58,Coords[],4,FALSE)-VLOOKUP(CC$5,Coords[],4,FALSE))^2)))</f>
        <v>1000</v>
      </c>
      <c r="CD58" s="10">
        <f>IF($G58=CD$5,1000,IF(CD$4=0,1000,SQRT((VLOOKUP($G58,Coords[],3,FALSE)-VLOOKUP(CD$5,Coords[],3,FALSE))^2+(VLOOKUP($G58,Coords[],4,FALSE)-VLOOKUP(CD$5,Coords[],4,FALSE))^2)))</f>
        <v>1000</v>
      </c>
      <c r="CE58" s="10">
        <f>IF($G58=CE$5,1000,IF(CE$4=0,1000,SQRT((VLOOKUP($G58,Coords[],3,FALSE)-VLOOKUP(CE$5,Coords[],3,FALSE))^2+(VLOOKUP($G58,Coords[],4,FALSE)-VLOOKUP(CE$5,Coords[],4,FALSE))^2)))</f>
        <v>1000</v>
      </c>
      <c r="CF58" s="4">
        <v>53</v>
      </c>
      <c r="CH58" s="5">
        <f>IF(E58=1,0,VLOOKUP($G58,$G$6:$CE$82,HLOOKUP(MIN(H58:CE58),$H58:$CE$82,((COUNT($G$6:$G$81)+2)-$G58),FALSE)+1,FALSE)*B58)</f>
        <v>0</v>
      </c>
      <c r="CI58" s="9">
        <f>VLOOKUP($G58,$G$6:$CE$82,HLOOKUP(MIN(H58:CE58),$H58:$CE$82,((COUNT($G$6:$G$81)+2)-$G58),FALSE)+1,FALSE)</f>
        <v>1000</v>
      </c>
      <c r="CJ58" s="7">
        <f>HLOOKUP(MIN(H58:CE58),$H58:$CE$82,((COUNT($G$6:$G$81)+2)-$G58),FALSE)</f>
        <v>1</v>
      </c>
      <c r="CK58">
        <f>CI58*Coords[[#This Row],[Demand]]</f>
        <v>0</v>
      </c>
    </row>
    <row r="59" spans="1:89" x14ac:dyDescent="0.25">
      <c r="A59" s="8">
        <v>54</v>
      </c>
      <c r="B59" s="3"/>
      <c r="C59" s="3"/>
      <c r="D59" s="3"/>
      <c r="E59" s="3"/>
      <c r="G59" s="4">
        <v>54</v>
      </c>
      <c r="H59" s="10">
        <f>IF($G59=H$5,1000,IF(H$4=0,1000,SQRT((VLOOKUP($G59,Coords[],3,FALSE)-VLOOKUP(H$5,Coords[],3,FALSE))^2+(VLOOKUP($G59,Coords[],4,FALSE)-VLOOKUP(H$5,Coords[],4,FALSE))^2)))</f>
        <v>1000</v>
      </c>
      <c r="I59" s="10">
        <f>IF($G59=I$5,1000,IF(I$4=0,1000,SQRT((VLOOKUP($G59,Coords[],3,FALSE)-VLOOKUP(I$5,Coords[],3,FALSE))^2+(VLOOKUP($G59,Coords[],4,FALSE)-VLOOKUP(I$5,Coords[],4,FALSE))^2)))</f>
        <v>1000</v>
      </c>
      <c r="J59" s="10">
        <f>IF($G59=J$5,1000,IF(J$4=0,1000,SQRT((VLOOKUP($G59,Coords[],3,FALSE)-VLOOKUP(J$5,Coords[],3,FALSE))^2+(VLOOKUP($G59,Coords[],4,FALSE)-VLOOKUP(J$5,Coords[],4,FALSE))^2)))</f>
        <v>1000</v>
      </c>
      <c r="K59" s="10">
        <f>IF($G59=K$5,1000,IF(K$4=0,1000,SQRT((VLOOKUP($G59,Coords[],3,FALSE)-VLOOKUP(K$5,Coords[],3,FALSE))^2+(VLOOKUP($G59,Coords[],4,FALSE)-VLOOKUP(K$5,Coords[],4,FALSE))^2)))</f>
        <v>1000</v>
      </c>
      <c r="L59" s="10">
        <f>IF($G59=L$5,1000,IF(L$4=0,1000,SQRT((VLOOKUP($G59,Coords[],3,FALSE)-VLOOKUP(L$5,Coords[],3,FALSE))^2+(VLOOKUP($G59,Coords[],4,FALSE)-VLOOKUP(L$5,Coords[],4,FALSE))^2)))</f>
        <v>1000</v>
      </c>
      <c r="M59" s="10">
        <f>IF($G59=M$5,1000,IF(M$4=0,1000,SQRT((VLOOKUP($G59,Coords[],3,FALSE)-VLOOKUP(M$5,Coords[],3,FALSE))^2+(VLOOKUP($G59,Coords[],4,FALSE)-VLOOKUP(M$5,Coords[],4,FALSE))^2)))</f>
        <v>1000</v>
      </c>
      <c r="N59" s="10">
        <f>IF($G59=N$5,1000,IF(N$4=0,1000,SQRT((VLOOKUP($G59,Coords[],3,FALSE)-VLOOKUP(N$5,Coords[],3,FALSE))^2+(VLOOKUP($G59,Coords[],4,FALSE)-VLOOKUP(N$5,Coords[],4,FALSE))^2)))</f>
        <v>1000</v>
      </c>
      <c r="O59" s="10">
        <f>IF($G59=O$5,1000,IF(O$4=0,1000,SQRT((VLOOKUP($G59,Coords[],3,FALSE)-VLOOKUP(O$5,Coords[],3,FALSE))^2+(VLOOKUP($G59,Coords[],4,FALSE)-VLOOKUP(O$5,Coords[],4,FALSE))^2)))</f>
        <v>1000</v>
      </c>
      <c r="P59" s="10">
        <f>IF($G59=P$5,1000,IF(P$4=0,1000,SQRT((VLOOKUP($G59,Coords[],3,FALSE)-VLOOKUP(P$5,Coords[],3,FALSE))^2+(VLOOKUP($G59,Coords[],4,FALSE)-VLOOKUP(P$5,Coords[],4,FALSE))^2)))</f>
        <v>1000</v>
      </c>
      <c r="Q59" s="10">
        <f>IF($G59=Q$5,1000,IF(Q$4=0,1000,SQRT((VLOOKUP($G59,Coords[],3,FALSE)-VLOOKUP(Q$5,Coords[],3,FALSE))^2+(VLOOKUP($G59,Coords[],4,FALSE)-VLOOKUP(Q$5,Coords[],4,FALSE))^2)))</f>
        <v>1000</v>
      </c>
      <c r="R59" s="10">
        <f>IF($G59=R$5,1000,IF(R$4=0,1000,SQRT((VLOOKUP($G59,Coords[],3,FALSE)-VLOOKUP(R$5,Coords[],3,FALSE))^2+(VLOOKUP($G59,Coords[],4,FALSE)-VLOOKUP(R$5,Coords[],4,FALSE))^2)))</f>
        <v>1000</v>
      </c>
      <c r="S59" s="10">
        <f>IF($G59=S$5,1000,IF(S$4=0,1000,SQRT((VLOOKUP($G59,Coords[],3,FALSE)-VLOOKUP(S$5,Coords[],3,FALSE))^2+(VLOOKUP($G59,Coords[],4,FALSE)-VLOOKUP(S$5,Coords[],4,FALSE))^2)))</f>
        <v>1000</v>
      </c>
      <c r="T59" s="10">
        <f>IF($G59=T$5,1000,IF(T$4=0,1000,SQRT((VLOOKUP($G59,Coords[],3,FALSE)-VLOOKUP(T$5,Coords[],3,FALSE))^2+(VLOOKUP($G59,Coords[],4,FALSE)-VLOOKUP(T$5,Coords[],4,FALSE))^2)))</f>
        <v>1000</v>
      </c>
      <c r="U59" s="10">
        <f>IF($G59=U$5,1000,IF(U$4=0,1000,SQRT((VLOOKUP($G59,Coords[],3,FALSE)-VLOOKUP(U$5,Coords[],3,FALSE))^2+(VLOOKUP($G59,Coords[],4,FALSE)-VLOOKUP(U$5,Coords[],4,FALSE))^2)))</f>
        <v>1000</v>
      </c>
      <c r="V59" s="10">
        <f>IF($G59=V$5,1000,IF(V$4=0,1000,SQRT((VLOOKUP($G59,Coords[],3,FALSE)-VLOOKUP(V$5,Coords[],3,FALSE))^2+(VLOOKUP($G59,Coords[],4,FALSE)-VLOOKUP(V$5,Coords[],4,FALSE))^2)))</f>
        <v>1000</v>
      </c>
      <c r="W59" s="10">
        <f>IF($G59=W$5,1000,IF(W$4=0,1000,SQRT((VLOOKUP($G59,Coords[],3,FALSE)-VLOOKUP(W$5,Coords[],3,FALSE))^2+(VLOOKUP($G59,Coords[],4,FALSE)-VLOOKUP(W$5,Coords[],4,FALSE))^2)))</f>
        <v>1000</v>
      </c>
      <c r="X59" s="10">
        <f>IF($G59=X$5,1000,IF(X$4=0,1000,SQRT((VLOOKUP($G59,Coords[],3,FALSE)-VLOOKUP(X$5,Coords[],3,FALSE))^2+(VLOOKUP($G59,Coords[],4,FALSE)-VLOOKUP(X$5,Coords[],4,FALSE))^2)))</f>
        <v>1000</v>
      </c>
      <c r="Y59" s="10">
        <f>IF($G59=Y$5,1000,IF(Y$4=0,1000,SQRT((VLOOKUP($G59,Coords[],3,FALSE)-VLOOKUP(Y$5,Coords[],3,FALSE))^2+(VLOOKUP($G59,Coords[],4,FALSE)-VLOOKUP(Y$5,Coords[],4,FALSE))^2)))</f>
        <v>1000</v>
      </c>
      <c r="Z59" s="10">
        <f>IF($G59=Z$5,1000,IF(Z$4=0,1000,SQRT((VLOOKUP($G59,Coords[],3,FALSE)-VLOOKUP(Z$5,Coords[],3,FALSE))^2+(VLOOKUP($G59,Coords[],4,FALSE)-VLOOKUP(Z$5,Coords[],4,FALSE))^2)))</f>
        <v>1000</v>
      </c>
      <c r="AA59" s="10">
        <f>IF($G59=AA$5,1000,IF(AA$4=0,1000,SQRT((VLOOKUP($G59,Coords[],3,FALSE)-VLOOKUP(AA$5,Coords[],3,FALSE))^2+(VLOOKUP($G59,Coords[],4,FALSE)-VLOOKUP(AA$5,Coords[],4,FALSE))^2)))</f>
        <v>1000</v>
      </c>
      <c r="AB59" s="10">
        <f>IF($G59=AB$5,1000,IF(AB$4=0,1000,SQRT((VLOOKUP($G59,Coords[],3,FALSE)-VLOOKUP(AB$5,Coords[],3,FALSE))^2+(VLOOKUP($G59,Coords[],4,FALSE)-VLOOKUP(AB$5,Coords[],4,FALSE))^2)))</f>
        <v>1000</v>
      </c>
      <c r="AC59" s="10">
        <f>IF($G59=AC$5,1000,IF(AC$4=0,1000,SQRT((VLOOKUP($G59,Coords[],3,FALSE)-VLOOKUP(AC$5,Coords[],3,FALSE))^2+(VLOOKUP($G59,Coords[],4,FALSE)-VLOOKUP(AC$5,Coords[],4,FALSE))^2)))</f>
        <v>1000</v>
      </c>
      <c r="AD59" s="10">
        <f>IF($G59=AD$5,1000,IF(AD$4=0,1000,SQRT((VLOOKUP($G59,Coords[],3,FALSE)-VLOOKUP(AD$5,Coords[],3,FALSE))^2+(VLOOKUP($G59,Coords[],4,FALSE)-VLOOKUP(AD$5,Coords[],4,FALSE))^2)))</f>
        <v>1000</v>
      </c>
      <c r="AE59" s="10">
        <f>IF($G59=AE$5,1000,IF(AE$4=0,1000,SQRT((VLOOKUP($G59,Coords[],3,FALSE)-VLOOKUP(AE$5,Coords[],3,FALSE))^2+(VLOOKUP($G59,Coords[],4,FALSE)-VLOOKUP(AE$5,Coords[],4,FALSE))^2)))</f>
        <v>1000</v>
      </c>
      <c r="AF59" s="10">
        <f>IF($G59=AF$5,1000,IF(AF$4=0,1000,SQRT((VLOOKUP($G59,Coords[],3,FALSE)-VLOOKUP(AF$5,Coords[],3,FALSE))^2+(VLOOKUP($G59,Coords[],4,FALSE)-VLOOKUP(AF$5,Coords[],4,FALSE))^2)))</f>
        <v>1000</v>
      </c>
      <c r="AG59" s="10">
        <f>IF($G59=AG$5,1000,IF(AG$4=0,1000,SQRT((VLOOKUP($G59,Coords[],3,FALSE)-VLOOKUP(AG$5,Coords[],3,FALSE))^2+(VLOOKUP($G59,Coords[],4,FALSE)-VLOOKUP(AG$5,Coords[],4,FALSE))^2)))</f>
        <v>1000</v>
      </c>
      <c r="AH59" s="10">
        <f>IF($G59=AH$5,1000,IF(AH$4=0,1000,SQRT((VLOOKUP($G59,Coords[],3,FALSE)-VLOOKUP(AH$5,Coords[],3,FALSE))^2+(VLOOKUP($G59,Coords[],4,FALSE)-VLOOKUP(AH$5,Coords[],4,FALSE))^2)))</f>
        <v>1000</v>
      </c>
      <c r="AI59" s="10">
        <f>IF($G59=AI$5,1000,IF(AI$4=0,1000,SQRT((VLOOKUP($G59,Coords[],3,FALSE)-VLOOKUP(AI$5,Coords[],3,FALSE))^2+(VLOOKUP($G59,Coords[],4,FALSE)-VLOOKUP(AI$5,Coords[],4,FALSE))^2)))</f>
        <v>1000</v>
      </c>
      <c r="AJ59" s="10">
        <f>IF($G59=AJ$5,1000,IF(AJ$4=0,1000,SQRT((VLOOKUP($G59,Coords[],3,FALSE)-VLOOKUP(AJ$5,Coords[],3,FALSE))^2+(VLOOKUP($G59,Coords[],4,FALSE)-VLOOKUP(AJ$5,Coords[],4,FALSE))^2)))</f>
        <v>1000</v>
      </c>
      <c r="AK59" s="10">
        <f>IF($G59=AK$5,1000,IF(AK$4=0,1000,SQRT((VLOOKUP($G59,Coords[],3,FALSE)-VLOOKUP(AK$5,Coords[],3,FALSE))^2+(VLOOKUP($G59,Coords[],4,FALSE)-VLOOKUP(AK$5,Coords[],4,FALSE))^2)))</f>
        <v>1000</v>
      </c>
      <c r="AL59" s="10">
        <f>IF($G59=AL$5,1000,IF(AL$4=0,1000,SQRT((VLOOKUP($G59,Coords[],3,FALSE)-VLOOKUP(AL$5,Coords[],3,FALSE))^2+(VLOOKUP($G59,Coords[],4,FALSE)-VLOOKUP(AL$5,Coords[],4,FALSE))^2)))</f>
        <v>1000</v>
      </c>
      <c r="AM59" s="10">
        <f>IF($G59=AM$5,1000,IF(AM$4=0,1000,SQRT((VLOOKUP($G59,Coords[],3,FALSE)-VLOOKUP(AM$5,Coords[],3,FALSE))^2+(VLOOKUP($G59,Coords[],4,FALSE)-VLOOKUP(AM$5,Coords[],4,FALSE))^2)))</f>
        <v>1000</v>
      </c>
      <c r="AN59" s="10">
        <f>IF($G59=AN$5,1000,IF(AN$4=0,1000,SQRT((VLOOKUP($G59,Coords[],3,FALSE)-VLOOKUP(AN$5,Coords[],3,FALSE))^2+(VLOOKUP($G59,Coords[],4,FALSE)-VLOOKUP(AN$5,Coords[],4,FALSE))^2)))</f>
        <v>1000</v>
      </c>
      <c r="AO59" s="10">
        <f>IF($G59=AO$5,1000,IF(AO$4=0,1000,SQRT((VLOOKUP($G59,Coords[],3,FALSE)-VLOOKUP(AO$5,Coords[],3,FALSE))^2+(VLOOKUP($G59,Coords[],4,FALSE)-VLOOKUP(AO$5,Coords[],4,FALSE))^2)))</f>
        <v>1000</v>
      </c>
      <c r="AP59" s="10">
        <f>IF($G59=AP$5,1000,IF(AP$4=0,1000,SQRT((VLOOKUP($G59,Coords[],3,FALSE)-VLOOKUP(AP$5,Coords[],3,FALSE))^2+(VLOOKUP($G59,Coords[],4,FALSE)-VLOOKUP(AP$5,Coords[],4,FALSE))^2)))</f>
        <v>1000</v>
      </c>
      <c r="AQ59" s="10">
        <f>IF($G59=AQ$5,1000,IF(AQ$4=0,1000,SQRT((VLOOKUP($G59,Coords[],3,FALSE)-VLOOKUP(AQ$5,Coords[],3,FALSE))^2+(VLOOKUP($G59,Coords[],4,FALSE)-VLOOKUP(AQ$5,Coords[],4,FALSE))^2)))</f>
        <v>1000</v>
      </c>
      <c r="AR59" s="10">
        <f>IF($G59=AR$5,1000,IF(AR$4=0,1000,SQRT((VLOOKUP($G59,Coords[],3,FALSE)-VLOOKUP(AR$5,Coords[],3,FALSE))^2+(VLOOKUP($G59,Coords[],4,FALSE)-VLOOKUP(AR$5,Coords[],4,FALSE))^2)))</f>
        <v>1000</v>
      </c>
      <c r="AS59" s="10">
        <f>IF($G59=AS$5,1000,IF(AS$4=0,1000,SQRT((VLOOKUP($G59,Coords[],3,FALSE)-VLOOKUP(AS$5,Coords[],3,FALSE))^2+(VLOOKUP($G59,Coords[],4,FALSE)-VLOOKUP(AS$5,Coords[],4,FALSE))^2)))</f>
        <v>1000</v>
      </c>
      <c r="AT59" s="10">
        <f>IF($G59=AT$5,1000,IF(AT$4=0,1000,SQRT((VLOOKUP($G59,Coords[],3,FALSE)-VLOOKUP(AT$5,Coords[],3,FALSE))^2+(VLOOKUP($G59,Coords[],4,FALSE)-VLOOKUP(AT$5,Coords[],4,FALSE))^2)))</f>
        <v>1000</v>
      </c>
      <c r="AU59" s="10">
        <f>IF($G59=AU$5,1000,IF(AU$4=0,1000,SQRT((VLOOKUP($G59,Coords[],3,FALSE)-VLOOKUP(AU$5,Coords[],3,FALSE))^2+(VLOOKUP($G59,Coords[],4,FALSE)-VLOOKUP(AU$5,Coords[],4,FALSE))^2)))</f>
        <v>1000</v>
      </c>
      <c r="AV59" s="10">
        <f>IF($G59=AV$5,1000,IF(AV$4=0,1000,SQRT((VLOOKUP($G59,Coords[],3,FALSE)-VLOOKUP(AV$5,Coords[],3,FALSE))^2+(VLOOKUP($G59,Coords[],4,FALSE)-VLOOKUP(AV$5,Coords[],4,FALSE))^2)))</f>
        <v>1000</v>
      </c>
      <c r="AW59" s="10">
        <f>IF($G59=AW$5,1000,IF(AW$4=0,1000,SQRT((VLOOKUP($G59,Coords[],3,FALSE)-VLOOKUP(AW$5,Coords[],3,FALSE))^2+(VLOOKUP($G59,Coords[],4,FALSE)-VLOOKUP(AW$5,Coords[],4,FALSE))^2)))</f>
        <v>1000</v>
      </c>
      <c r="AX59" s="10">
        <f>IF($G59=AX$5,1000,IF(AX$4=0,1000,SQRT((VLOOKUP($G59,Coords[],3,FALSE)-VLOOKUP(AX$5,Coords[],3,FALSE))^2+(VLOOKUP($G59,Coords[],4,FALSE)-VLOOKUP(AX$5,Coords[],4,FALSE))^2)))</f>
        <v>1000</v>
      </c>
      <c r="AY59" s="10">
        <f>IF($G59=AY$5,1000,IF(AY$4=0,1000,SQRT((VLOOKUP($G59,Coords[],3,FALSE)-VLOOKUP(AY$5,Coords[],3,FALSE))^2+(VLOOKUP($G59,Coords[],4,FALSE)-VLOOKUP(AY$5,Coords[],4,FALSE))^2)))</f>
        <v>1000</v>
      </c>
      <c r="AZ59" s="10">
        <f>IF($G59=AZ$5,1000,IF(AZ$4=0,1000,SQRT((VLOOKUP($G59,Coords[],3,FALSE)-VLOOKUP(AZ$5,Coords[],3,FALSE))^2+(VLOOKUP($G59,Coords[],4,FALSE)-VLOOKUP(AZ$5,Coords[],4,FALSE))^2)))</f>
        <v>1000</v>
      </c>
      <c r="BA59" s="10">
        <f>IF($G59=BA$5,1000,IF(BA$4=0,1000,SQRT((VLOOKUP($G59,Coords[],3,FALSE)-VLOOKUP(BA$5,Coords[],3,FALSE))^2+(VLOOKUP($G59,Coords[],4,FALSE)-VLOOKUP(BA$5,Coords[],4,FALSE))^2)))</f>
        <v>1000</v>
      </c>
      <c r="BB59" s="10">
        <f>IF($G59=BB$5,1000,IF(BB$4=0,1000,SQRT((VLOOKUP($G59,Coords[],3,FALSE)-VLOOKUP(BB$5,Coords[],3,FALSE))^2+(VLOOKUP($G59,Coords[],4,FALSE)-VLOOKUP(BB$5,Coords[],4,FALSE))^2)))</f>
        <v>1000</v>
      </c>
      <c r="BC59" s="10">
        <f>IF($G59=BC$5,1000,IF(BC$4=0,1000,SQRT((VLOOKUP($G59,Coords[],3,FALSE)-VLOOKUP(BC$5,Coords[],3,FALSE))^2+(VLOOKUP($G59,Coords[],4,FALSE)-VLOOKUP(BC$5,Coords[],4,FALSE))^2)))</f>
        <v>1000</v>
      </c>
      <c r="BD59" s="10">
        <f>IF($G59=BD$5,1000,IF(BD$4=0,1000,SQRT((VLOOKUP($G59,Coords[],3,FALSE)-VLOOKUP(BD$5,Coords[],3,FALSE))^2+(VLOOKUP($G59,Coords[],4,FALSE)-VLOOKUP(BD$5,Coords[],4,FALSE))^2)))</f>
        <v>1000</v>
      </c>
      <c r="BE59" s="10">
        <f>IF($G59=BE$5,1000,IF(BE$4=0,1000,SQRT((VLOOKUP($G59,Coords[],3,FALSE)-VLOOKUP(BE$5,Coords[],3,FALSE))^2+(VLOOKUP($G59,Coords[],4,FALSE)-VLOOKUP(BE$5,Coords[],4,FALSE))^2)))</f>
        <v>1000</v>
      </c>
      <c r="BF59" s="10">
        <f>IF($G59=BF$5,1000,IF(BF$4=0,1000,SQRT((VLOOKUP($G59,Coords[],3,FALSE)-VLOOKUP(BF$5,Coords[],3,FALSE))^2+(VLOOKUP($G59,Coords[],4,FALSE)-VLOOKUP(BF$5,Coords[],4,FALSE))^2)))</f>
        <v>1000</v>
      </c>
      <c r="BG59" s="10">
        <f>IF($G59=BG$5,1000,IF(BG$4=0,1000,SQRT((VLOOKUP($G59,Coords[],3,FALSE)-VLOOKUP(BG$5,Coords[],3,FALSE))^2+(VLOOKUP($G59,Coords[],4,FALSE)-VLOOKUP(BG$5,Coords[],4,FALSE))^2)))</f>
        <v>1000</v>
      </c>
      <c r="BH59" s="10">
        <f>IF($G59=BH$5,1000,IF(BH$4=0,1000,SQRT((VLOOKUP($G59,Coords[],3,FALSE)-VLOOKUP(BH$5,Coords[],3,FALSE))^2+(VLOOKUP($G59,Coords[],4,FALSE)-VLOOKUP(BH$5,Coords[],4,FALSE))^2)))</f>
        <v>1000</v>
      </c>
      <c r="BI59" s="10">
        <f>IF($G59=BI$5,1000,IF(BI$4=0,1000,SQRT((VLOOKUP($G59,Coords[],3,FALSE)-VLOOKUP(BI$5,Coords[],3,FALSE))^2+(VLOOKUP($G59,Coords[],4,FALSE)-VLOOKUP(BI$5,Coords[],4,FALSE))^2)))</f>
        <v>1000</v>
      </c>
      <c r="BJ59" s="10">
        <f>IF($G59=BJ$5,1000,IF(BJ$4=0,1000,SQRT((VLOOKUP($G59,Coords[],3,FALSE)-VLOOKUP(BJ$5,Coords[],3,FALSE))^2+(VLOOKUP($G59,Coords[],4,FALSE)-VLOOKUP(BJ$5,Coords[],4,FALSE))^2)))</f>
        <v>1000</v>
      </c>
      <c r="BK59" s="10">
        <f>IF($G59=BK$5,1000,IF(BK$4=0,1000,SQRT((VLOOKUP($G59,Coords[],3,FALSE)-VLOOKUP(BK$5,Coords[],3,FALSE))^2+(VLOOKUP($G59,Coords[],4,FALSE)-VLOOKUP(BK$5,Coords[],4,FALSE))^2)))</f>
        <v>1000</v>
      </c>
      <c r="BL59" s="10">
        <f>IF($G59=BL$5,1000,IF(BL$4=0,1000,SQRT((VLOOKUP($G59,Coords[],3,FALSE)-VLOOKUP(BL$5,Coords[],3,FALSE))^2+(VLOOKUP($G59,Coords[],4,FALSE)-VLOOKUP(BL$5,Coords[],4,FALSE))^2)))</f>
        <v>1000</v>
      </c>
      <c r="BM59" s="10">
        <f>IF($G59=BM$5,1000,IF(BM$4=0,1000,SQRT((VLOOKUP($G59,Coords[],3,FALSE)-VLOOKUP(BM$5,Coords[],3,FALSE))^2+(VLOOKUP($G59,Coords[],4,FALSE)-VLOOKUP(BM$5,Coords[],4,FALSE))^2)))</f>
        <v>1000</v>
      </c>
      <c r="BN59" s="10">
        <f>IF($G59=BN$5,1000,IF(BN$4=0,1000,SQRT((VLOOKUP($G59,Coords[],3,FALSE)-VLOOKUP(BN$5,Coords[],3,FALSE))^2+(VLOOKUP($G59,Coords[],4,FALSE)-VLOOKUP(BN$5,Coords[],4,FALSE))^2)))</f>
        <v>1000</v>
      </c>
      <c r="BO59" s="10">
        <f>IF($G59=BO$5,1000,IF(BO$4=0,1000,SQRT((VLOOKUP($G59,Coords[],3,FALSE)-VLOOKUP(BO$5,Coords[],3,FALSE))^2+(VLOOKUP($G59,Coords[],4,FALSE)-VLOOKUP(BO$5,Coords[],4,FALSE))^2)))</f>
        <v>1000</v>
      </c>
      <c r="BP59" s="10">
        <f>IF($G59=BP$5,1000,IF(BP$4=0,1000,SQRT((VLOOKUP($G59,Coords[],3,FALSE)-VLOOKUP(BP$5,Coords[],3,FALSE))^2+(VLOOKUP($G59,Coords[],4,FALSE)-VLOOKUP(BP$5,Coords[],4,FALSE))^2)))</f>
        <v>1000</v>
      </c>
      <c r="BQ59" s="10">
        <f>IF($G59=BQ$5,1000,IF(BQ$4=0,1000,SQRT((VLOOKUP($G59,Coords[],3,FALSE)-VLOOKUP(BQ$5,Coords[],3,FALSE))^2+(VLOOKUP($G59,Coords[],4,FALSE)-VLOOKUP(BQ$5,Coords[],4,FALSE))^2)))</f>
        <v>1000</v>
      </c>
      <c r="BR59" s="10">
        <f>IF($G59=BR$5,1000,IF(BR$4=0,1000,SQRT((VLOOKUP($G59,Coords[],3,FALSE)-VLOOKUP(BR$5,Coords[],3,FALSE))^2+(VLOOKUP($G59,Coords[],4,FALSE)-VLOOKUP(BR$5,Coords[],4,FALSE))^2)))</f>
        <v>1000</v>
      </c>
      <c r="BS59" s="10">
        <f>IF($G59=BS$5,1000,IF(BS$4=0,1000,SQRT((VLOOKUP($G59,Coords[],3,FALSE)-VLOOKUP(BS$5,Coords[],3,FALSE))^2+(VLOOKUP($G59,Coords[],4,FALSE)-VLOOKUP(BS$5,Coords[],4,FALSE))^2)))</f>
        <v>1000</v>
      </c>
      <c r="BT59" s="10">
        <f>IF($G59=BT$5,1000,IF(BT$4=0,1000,SQRT((VLOOKUP($G59,Coords[],3,FALSE)-VLOOKUP(BT$5,Coords[],3,FALSE))^2+(VLOOKUP($G59,Coords[],4,FALSE)-VLOOKUP(BT$5,Coords[],4,FALSE))^2)))</f>
        <v>1000</v>
      </c>
      <c r="BU59" s="10">
        <f>IF($G59=BU$5,1000,IF(BU$4=0,1000,SQRT((VLOOKUP($G59,Coords[],3,FALSE)-VLOOKUP(BU$5,Coords[],3,FALSE))^2+(VLOOKUP($G59,Coords[],4,FALSE)-VLOOKUP(BU$5,Coords[],4,FALSE))^2)))</f>
        <v>1000</v>
      </c>
      <c r="BV59" s="10">
        <f>IF($G59=BV$5,1000,IF(BV$4=0,1000,SQRT((VLOOKUP($G59,Coords[],3,FALSE)-VLOOKUP(BV$5,Coords[],3,FALSE))^2+(VLOOKUP($G59,Coords[],4,FALSE)-VLOOKUP(BV$5,Coords[],4,FALSE))^2)))</f>
        <v>1000</v>
      </c>
      <c r="BW59" s="10">
        <f>IF($G59=BW$5,1000,IF(BW$4=0,1000,SQRT((VLOOKUP($G59,Coords[],3,FALSE)-VLOOKUP(BW$5,Coords[],3,FALSE))^2+(VLOOKUP($G59,Coords[],4,FALSE)-VLOOKUP(BW$5,Coords[],4,FALSE))^2)))</f>
        <v>1000</v>
      </c>
      <c r="BX59" s="10">
        <f>IF($G59=BX$5,1000,IF(BX$4=0,1000,SQRT((VLOOKUP($G59,Coords[],3,FALSE)-VLOOKUP(BX$5,Coords[],3,FALSE))^2+(VLOOKUP($G59,Coords[],4,FALSE)-VLOOKUP(BX$5,Coords[],4,FALSE))^2)))</f>
        <v>1000</v>
      </c>
      <c r="BY59" s="10">
        <f>IF($G59=BY$5,1000,IF(BY$4=0,1000,SQRT((VLOOKUP($G59,Coords[],3,FALSE)-VLOOKUP(BY$5,Coords[],3,FALSE))^2+(VLOOKUP($G59,Coords[],4,FALSE)-VLOOKUP(BY$5,Coords[],4,FALSE))^2)))</f>
        <v>1000</v>
      </c>
      <c r="BZ59" s="10">
        <f>IF($G59=BZ$5,1000,IF(BZ$4=0,1000,SQRT((VLOOKUP($G59,Coords[],3,FALSE)-VLOOKUP(BZ$5,Coords[],3,FALSE))^2+(VLOOKUP($G59,Coords[],4,FALSE)-VLOOKUP(BZ$5,Coords[],4,FALSE))^2)))</f>
        <v>1000</v>
      </c>
      <c r="CA59" s="10">
        <f>IF($G59=CA$5,1000,IF(CA$4=0,1000,SQRT((VLOOKUP($G59,Coords[],3,FALSE)-VLOOKUP(CA$5,Coords[],3,FALSE))^2+(VLOOKUP($G59,Coords[],4,FALSE)-VLOOKUP(CA$5,Coords[],4,FALSE))^2)))</f>
        <v>1000</v>
      </c>
      <c r="CB59" s="10">
        <f>IF($G59=CB$5,1000,IF(CB$4=0,1000,SQRT((VLOOKUP($G59,Coords[],3,FALSE)-VLOOKUP(CB$5,Coords[],3,FALSE))^2+(VLOOKUP($G59,Coords[],4,FALSE)-VLOOKUP(CB$5,Coords[],4,FALSE))^2)))</f>
        <v>1000</v>
      </c>
      <c r="CC59" s="10">
        <f>IF($G59=CC$5,1000,IF(CC$4=0,1000,SQRT((VLOOKUP($G59,Coords[],3,FALSE)-VLOOKUP(CC$5,Coords[],3,FALSE))^2+(VLOOKUP($G59,Coords[],4,FALSE)-VLOOKUP(CC$5,Coords[],4,FALSE))^2)))</f>
        <v>1000</v>
      </c>
      <c r="CD59" s="10">
        <f>IF($G59=CD$5,1000,IF(CD$4=0,1000,SQRT((VLOOKUP($G59,Coords[],3,FALSE)-VLOOKUP(CD$5,Coords[],3,FALSE))^2+(VLOOKUP($G59,Coords[],4,FALSE)-VLOOKUP(CD$5,Coords[],4,FALSE))^2)))</f>
        <v>1000</v>
      </c>
      <c r="CE59" s="10">
        <f>IF($G59=CE$5,1000,IF(CE$4=0,1000,SQRT((VLOOKUP($G59,Coords[],3,FALSE)-VLOOKUP(CE$5,Coords[],3,FALSE))^2+(VLOOKUP($G59,Coords[],4,FALSE)-VLOOKUP(CE$5,Coords[],4,FALSE))^2)))</f>
        <v>1000</v>
      </c>
      <c r="CF59" s="4">
        <v>54</v>
      </c>
      <c r="CH59" s="5">
        <f>IF(E59=1,0,VLOOKUP($G59,$G$6:$CE$82,HLOOKUP(MIN(H59:CE59),$H59:$CE$82,((COUNT($G$6:$G$81)+2)-$G59),FALSE)+1,FALSE)*B59)</f>
        <v>0</v>
      </c>
      <c r="CI59" s="9">
        <f>VLOOKUP($G59,$G$6:$CE$82,HLOOKUP(MIN(H59:CE59),$H59:$CE$82,((COUNT($G$6:$G$81)+2)-$G59),FALSE)+1,FALSE)</f>
        <v>1000</v>
      </c>
      <c r="CJ59" s="7">
        <f>HLOOKUP(MIN(H59:CE59),$H59:$CE$82,((COUNT($G$6:$G$81)+2)-$G59),FALSE)</f>
        <v>1</v>
      </c>
      <c r="CK59">
        <f>CI59*Coords[[#This Row],[Demand]]</f>
        <v>0</v>
      </c>
    </row>
    <row r="60" spans="1:89" x14ac:dyDescent="0.25">
      <c r="A60" s="8">
        <v>55</v>
      </c>
      <c r="B60" s="3"/>
      <c r="C60" s="3"/>
      <c r="D60" s="3"/>
      <c r="E60" s="3"/>
      <c r="G60" s="4">
        <v>55</v>
      </c>
      <c r="H60" s="10">
        <f>IF($G60=H$5,1000,IF(H$4=0,1000,SQRT((VLOOKUP($G60,Coords[],3,FALSE)-VLOOKUP(H$5,Coords[],3,FALSE))^2+(VLOOKUP($G60,Coords[],4,FALSE)-VLOOKUP(H$5,Coords[],4,FALSE))^2)))</f>
        <v>1000</v>
      </c>
      <c r="I60" s="10">
        <f>IF($G60=I$5,1000,IF(I$4=0,1000,SQRT((VLOOKUP($G60,Coords[],3,FALSE)-VLOOKUP(I$5,Coords[],3,FALSE))^2+(VLOOKUP($G60,Coords[],4,FALSE)-VLOOKUP(I$5,Coords[],4,FALSE))^2)))</f>
        <v>1000</v>
      </c>
      <c r="J60" s="10">
        <f>IF($G60=J$5,1000,IF(J$4=0,1000,SQRT((VLOOKUP($G60,Coords[],3,FALSE)-VLOOKUP(J$5,Coords[],3,FALSE))^2+(VLOOKUP($G60,Coords[],4,FALSE)-VLOOKUP(J$5,Coords[],4,FALSE))^2)))</f>
        <v>1000</v>
      </c>
      <c r="K60" s="10">
        <f>IF($G60=K$5,1000,IF(K$4=0,1000,SQRT((VLOOKUP($G60,Coords[],3,FALSE)-VLOOKUP(K$5,Coords[],3,FALSE))^2+(VLOOKUP($G60,Coords[],4,FALSE)-VLOOKUP(K$5,Coords[],4,FALSE))^2)))</f>
        <v>1000</v>
      </c>
      <c r="L60" s="10">
        <f>IF($G60=L$5,1000,IF(L$4=0,1000,SQRT((VLOOKUP($G60,Coords[],3,FALSE)-VLOOKUP(L$5,Coords[],3,FALSE))^2+(VLOOKUP($G60,Coords[],4,FALSE)-VLOOKUP(L$5,Coords[],4,FALSE))^2)))</f>
        <v>1000</v>
      </c>
      <c r="M60" s="10">
        <f>IF($G60=M$5,1000,IF(M$4=0,1000,SQRT((VLOOKUP($G60,Coords[],3,FALSE)-VLOOKUP(M$5,Coords[],3,FALSE))^2+(VLOOKUP($G60,Coords[],4,FALSE)-VLOOKUP(M$5,Coords[],4,FALSE))^2)))</f>
        <v>1000</v>
      </c>
      <c r="N60" s="10">
        <f>IF($G60=N$5,1000,IF(N$4=0,1000,SQRT((VLOOKUP($G60,Coords[],3,FALSE)-VLOOKUP(N$5,Coords[],3,FALSE))^2+(VLOOKUP($G60,Coords[],4,FALSE)-VLOOKUP(N$5,Coords[],4,FALSE))^2)))</f>
        <v>1000</v>
      </c>
      <c r="O60" s="10">
        <f>IF($G60=O$5,1000,IF(O$4=0,1000,SQRT((VLOOKUP($G60,Coords[],3,FALSE)-VLOOKUP(O$5,Coords[],3,FALSE))^2+(VLOOKUP($G60,Coords[],4,FALSE)-VLOOKUP(O$5,Coords[],4,FALSE))^2)))</f>
        <v>1000</v>
      </c>
      <c r="P60" s="10">
        <f>IF($G60=P$5,1000,IF(P$4=0,1000,SQRT((VLOOKUP($G60,Coords[],3,FALSE)-VLOOKUP(P$5,Coords[],3,FALSE))^2+(VLOOKUP($G60,Coords[],4,FALSE)-VLOOKUP(P$5,Coords[],4,FALSE))^2)))</f>
        <v>1000</v>
      </c>
      <c r="Q60" s="10">
        <f>IF($G60=Q$5,1000,IF(Q$4=0,1000,SQRT((VLOOKUP($G60,Coords[],3,FALSE)-VLOOKUP(Q$5,Coords[],3,FALSE))^2+(VLOOKUP($G60,Coords[],4,FALSE)-VLOOKUP(Q$5,Coords[],4,FALSE))^2)))</f>
        <v>1000</v>
      </c>
      <c r="R60" s="10">
        <f>IF($G60=R$5,1000,IF(R$4=0,1000,SQRT((VLOOKUP($G60,Coords[],3,FALSE)-VLOOKUP(R$5,Coords[],3,FALSE))^2+(VLOOKUP($G60,Coords[],4,FALSE)-VLOOKUP(R$5,Coords[],4,FALSE))^2)))</f>
        <v>1000</v>
      </c>
      <c r="S60" s="10">
        <f>IF($G60=S$5,1000,IF(S$4=0,1000,SQRT((VLOOKUP($G60,Coords[],3,FALSE)-VLOOKUP(S$5,Coords[],3,FALSE))^2+(VLOOKUP($G60,Coords[],4,FALSE)-VLOOKUP(S$5,Coords[],4,FALSE))^2)))</f>
        <v>1000</v>
      </c>
      <c r="T60" s="10">
        <f>IF($G60=T$5,1000,IF(T$4=0,1000,SQRT((VLOOKUP($G60,Coords[],3,FALSE)-VLOOKUP(T$5,Coords[],3,FALSE))^2+(VLOOKUP($G60,Coords[],4,FALSE)-VLOOKUP(T$5,Coords[],4,FALSE))^2)))</f>
        <v>1000</v>
      </c>
      <c r="U60" s="10">
        <f>IF($G60=U$5,1000,IF(U$4=0,1000,SQRT((VLOOKUP($G60,Coords[],3,FALSE)-VLOOKUP(U$5,Coords[],3,FALSE))^2+(VLOOKUP($G60,Coords[],4,FALSE)-VLOOKUP(U$5,Coords[],4,FALSE))^2)))</f>
        <v>1000</v>
      </c>
      <c r="V60" s="10">
        <f>IF($G60=V$5,1000,IF(V$4=0,1000,SQRT((VLOOKUP($G60,Coords[],3,FALSE)-VLOOKUP(V$5,Coords[],3,FALSE))^2+(VLOOKUP($G60,Coords[],4,FALSE)-VLOOKUP(V$5,Coords[],4,FALSE))^2)))</f>
        <v>1000</v>
      </c>
      <c r="W60" s="10">
        <f>IF($G60=W$5,1000,IF(W$4=0,1000,SQRT((VLOOKUP($G60,Coords[],3,FALSE)-VLOOKUP(W$5,Coords[],3,FALSE))^2+(VLOOKUP($G60,Coords[],4,FALSE)-VLOOKUP(W$5,Coords[],4,FALSE))^2)))</f>
        <v>1000</v>
      </c>
      <c r="X60" s="10">
        <f>IF($G60=X$5,1000,IF(X$4=0,1000,SQRT((VLOOKUP($G60,Coords[],3,FALSE)-VLOOKUP(X$5,Coords[],3,FALSE))^2+(VLOOKUP($G60,Coords[],4,FALSE)-VLOOKUP(X$5,Coords[],4,FALSE))^2)))</f>
        <v>1000</v>
      </c>
      <c r="Y60" s="10">
        <f>IF($G60=Y$5,1000,IF(Y$4=0,1000,SQRT((VLOOKUP($G60,Coords[],3,FALSE)-VLOOKUP(Y$5,Coords[],3,FALSE))^2+(VLOOKUP($G60,Coords[],4,FALSE)-VLOOKUP(Y$5,Coords[],4,FALSE))^2)))</f>
        <v>1000</v>
      </c>
      <c r="Z60" s="10">
        <f>IF($G60=Z$5,1000,IF(Z$4=0,1000,SQRT((VLOOKUP($G60,Coords[],3,FALSE)-VLOOKUP(Z$5,Coords[],3,FALSE))^2+(VLOOKUP($G60,Coords[],4,FALSE)-VLOOKUP(Z$5,Coords[],4,FALSE))^2)))</f>
        <v>1000</v>
      </c>
      <c r="AA60" s="10">
        <f>IF($G60=AA$5,1000,IF(AA$4=0,1000,SQRT((VLOOKUP($G60,Coords[],3,FALSE)-VLOOKUP(AA$5,Coords[],3,FALSE))^2+(VLOOKUP($G60,Coords[],4,FALSE)-VLOOKUP(AA$5,Coords[],4,FALSE))^2)))</f>
        <v>1000</v>
      </c>
      <c r="AB60" s="10">
        <f>IF($G60=AB$5,1000,IF(AB$4=0,1000,SQRT((VLOOKUP($G60,Coords[],3,FALSE)-VLOOKUP(AB$5,Coords[],3,FALSE))^2+(VLOOKUP($G60,Coords[],4,FALSE)-VLOOKUP(AB$5,Coords[],4,FALSE))^2)))</f>
        <v>1000</v>
      </c>
      <c r="AC60" s="10">
        <f>IF($G60=AC$5,1000,IF(AC$4=0,1000,SQRT((VLOOKUP($G60,Coords[],3,FALSE)-VLOOKUP(AC$5,Coords[],3,FALSE))^2+(VLOOKUP($G60,Coords[],4,FALSE)-VLOOKUP(AC$5,Coords[],4,FALSE))^2)))</f>
        <v>1000</v>
      </c>
      <c r="AD60" s="10">
        <f>IF($G60=AD$5,1000,IF(AD$4=0,1000,SQRT((VLOOKUP($G60,Coords[],3,FALSE)-VLOOKUP(AD$5,Coords[],3,FALSE))^2+(VLOOKUP($G60,Coords[],4,FALSE)-VLOOKUP(AD$5,Coords[],4,FALSE))^2)))</f>
        <v>1000</v>
      </c>
      <c r="AE60" s="10">
        <f>IF($G60=AE$5,1000,IF(AE$4=0,1000,SQRT((VLOOKUP($G60,Coords[],3,FALSE)-VLOOKUP(AE$5,Coords[],3,FALSE))^2+(VLOOKUP($G60,Coords[],4,FALSE)-VLOOKUP(AE$5,Coords[],4,FALSE))^2)))</f>
        <v>1000</v>
      </c>
      <c r="AF60" s="10">
        <f>IF($G60=AF$5,1000,IF(AF$4=0,1000,SQRT((VLOOKUP($G60,Coords[],3,FALSE)-VLOOKUP(AF$5,Coords[],3,FALSE))^2+(VLOOKUP($G60,Coords[],4,FALSE)-VLOOKUP(AF$5,Coords[],4,FALSE))^2)))</f>
        <v>1000</v>
      </c>
      <c r="AG60" s="10">
        <f>IF($G60=AG$5,1000,IF(AG$4=0,1000,SQRT((VLOOKUP($G60,Coords[],3,FALSE)-VLOOKUP(AG$5,Coords[],3,FALSE))^2+(VLOOKUP($G60,Coords[],4,FALSE)-VLOOKUP(AG$5,Coords[],4,FALSE))^2)))</f>
        <v>1000</v>
      </c>
      <c r="AH60" s="10">
        <f>IF($G60=AH$5,1000,IF(AH$4=0,1000,SQRT((VLOOKUP($G60,Coords[],3,FALSE)-VLOOKUP(AH$5,Coords[],3,FALSE))^2+(VLOOKUP($G60,Coords[],4,FALSE)-VLOOKUP(AH$5,Coords[],4,FALSE))^2)))</f>
        <v>1000</v>
      </c>
      <c r="AI60" s="10">
        <f>IF($G60=AI$5,1000,IF(AI$4=0,1000,SQRT((VLOOKUP($G60,Coords[],3,FALSE)-VLOOKUP(AI$5,Coords[],3,FALSE))^2+(VLOOKUP($G60,Coords[],4,FALSE)-VLOOKUP(AI$5,Coords[],4,FALSE))^2)))</f>
        <v>1000</v>
      </c>
      <c r="AJ60" s="10">
        <f>IF($G60=AJ$5,1000,IF(AJ$4=0,1000,SQRT((VLOOKUP($G60,Coords[],3,FALSE)-VLOOKUP(AJ$5,Coords[],3,FALSE))^2+(VLOOKUP($G60,Coords[],4,FALSE)-VLOOKUP(AJ$5,Coords[],4,FALSE))^2)))</f>
        <v>1000</v>
      </c>
      <c r="AK60" s="10">
        <f>IF($G60=AK$5,1000,IF(AK$4=0,1000,SQRT((VLOOKUP($G60,Coords[],3,FALSE)-VLOOKUP(AK$5,Coords[],3,FALSE))^2+(VLOOKUP($G60,Coords[],4,FALSE)-VLOOKUP(AK$5,Coords[],4,FALSE))^2)))</f>
        <v>1000</v>
      </c>
      <c r="AL60" s="10">
        <f>IF($G60=AL$5,1000,IF(AL$4=0,1000,SQRT((VLOOKUP($G60,Coords[],3,FALSE)-VLOOKUP(AL$5,Coords[],3,FALSE))^2+(VLOOKUP($G60,Coords[],4,FALSE)-VLOOKUP(AL$5,Coords[],4,FALSE))^2)))</f>
        <v>1000</v>
      </c>
      <c r="AM60" s="10">
        <f>IF($G60=AM$5,1000,IF(AM$4=0,1000,SQRT((VLOOKUP($G60,Coords[],3,FALSE)-VLOOKUP(AM$5,Coords[],3,FALSE))^2+(VLOOKUP($G60,Coords[],4,FALSE)-VLOOKUP(AM$5,Coords[],4,FALSE))^2)))</f>
        <v>1000</v>
      </c>
      <c r="AN60" s="10">
        <f>IF($G60=AN$5,1000,IF(AN$4=0,1000,SQRT((VLOOKUP($G60,Coords[],3,FALSE)-VLOOKUP(AN$5,Coords[],3,FALSE))^2+(VLOOKUP($G60,Coords[],4,FALSE)-VLOOKUP(AN$5,Coords[],4,FALSE))^2)))</f>
        <v>1000</v>
      </c>
      <c r="AO60" s="10">
        <f>IF($G60=AO$5,1000,IF(AO$4=0,1000,SQRT((VLOOKUP($G60,Coords[],3,FALSE)-VLOOKUP(AO$5,Coords[],3,FALSE))^2+(VLOOKUP($G60,Coords[],4,FALSE)-VLOOKUP(AO$5,Coords[],4,FALSE))^2)))</f>
        <v>1000</v>
      </c>
      <c r="AP60" s="10">
        <f>IF($G60=AP$5,1000,IF(AP$4=0,1000,SQRT((VLOOKUP($G60,Coords[],3,FALSE)-VLOOKUP(AP$5,Coords[],3,FALSE))^2+(VLOOKUP($G60,Coords[],4,FALSE)-VLOOKUP(AP$5,Coords[],4,FALSE))^2)))</f>
        <v>1000</v>
      </c>
      <c r="AQ60" s="10">
        <f>IF($G60=AQ$5,1000,IF(AQ$4=0,1000,SQRT((VLOOKUP($G60,Coords[],3,FALSE)-VLOOKUP(AQ$5,Coords[],3,FALSE))^2+(VLOOKUP($G60,Coords[],4,FALSE)-VLOOKUP(AQ$5,Coords[],4,FALSE))^2)))</f>
        <v>1000</v>
      </c>
      <c r="AR60" s="10">
        <f>IF($G60=AR$5,1000,IF(AR$4=0,1000,SQRT((VLOOKUP($G60,Coords[],3,FALSE)-VLOOKUP(AR$5,Coords[],3,FALSE))^2+(VLOOKUP($G60,Coords[],4,FALSE)-VLOOKUP(AR$5,Coords[],4,FALSE))^2)))</f>
        <v>1000</v>
      </c>
      <c r="AS60" s="10">
        <f>IF($G60=AS$5,1000,IF(AS$4=0,1000,SQRT((VLOOKUP($G60,Coords[],3,FALSE)-VLOOKUP(AS$5,Coords[],3,FALSE))^2+(VLOOKUP($G60,Coords[],4,FALSE)-VLOOKUP(AS$5,Coords[],4,FALSE))^2)))</f>
        <v>1000</v>
      </c>
      <c r="AT60" s="10">
        <f>IF($G60=AT$5,1000,IF(AT$4=0,1000,SQRT((VLOOKUP($G60,Coords[],3,FALSE)-VLOOKUP(AT$5,Coords[],3,FALSE))^2+(VLOOKUP($G60,Coords[],4,FALSE)-VLOOKUP(AT$5,Coords[],4,FALSE))^2)))</f>
        <v>1000</v>
      </c>
      <c r="AU60" s="10">
        <f>IF($G60=AU$5,1000,IF(AU$4=0,1000,SQRT((VLOOKUP($G60,Coords[],3,FALSE)-VLOOKUP(AU$5,Coords[],3,FALSE))^2+(VLOOKUP($G60,Coords[],4,FALSE)-VLOOKUP(AU$5,Coords[],4,FALSE))^2)))</f>
        <v>1000</v>
      </c>
      <c r="AV60" s="10">
        <f>IF($G60=AV$5,1000,IF(AV$4=0,1000,SQRT((VLOOKUP($G60,Coords[],3,FALSE)-VLOOKUP(AV$5,Coords[],3,FALSE))^2+(VLOOKUP($G60,Coords[],4,FALSE)-VLOOKUP(AV$5,Coords[],4,FALSE))^2)))</f>
        <v>1000</v>
      </c>
      <c r="AW60" s="10">
        <f>IF($G60=AW$5,1000,IF(AW$4=0,1000,SQRT((VLOOKUP($G60,Coords[],3,FALSE)-VLOOKUP(AW$5,Coords[],3,FALSE))^2+(VLOOKUP($G60,Coords[],4,FALSE)-VLOOKUP(AW$5,Coords[],4,FALSE))^2)))</f>
        <v>1000</v>
      </c>
      <c r="AX60" s="10">
        <f>IF($G60=AX$5,1000,IF(AX$4=0,1000,SQRT((VLOOKUP($G60,Coords[],3,FALSE)-VLOOKUP(AX$5,Coords[],3,FALSE))^2+(VLOOKUP($G60,Coords[],4,FALSE)-VLOOKUP(AX$5,Coords[],4,FALSE))^2)))</f>
        <v>1000</v>
      </c>
      <c r="AY60" s="10">
        <f>IF($G60=AY$5,1000,IF(AY$4=0,1000,SQRT((VLOOKUP($G60,Coords[],3,FALSE)-VLOOKUP(AY$5,Coords[],3,FALSE))^2+(VLOOKUP($G60,Coords[],4,FALSE)-VLOOKUP(AY$5,Coords[],4,FALSE))^2)))</f>
        <v>1000</v>
      </c>
      <c r="AZ60" s="10">
        <f>IF($G60=AZ$5,1000,IF(AZ$4=0,1000,SQRT((VLOOKUP($G60,Coords[],3,FALSE)-VLOOKUP(AZ$5,Coords[],3,FALSE))^2+(VLOOKUP($G60,Coords[],4,FALSE)-VLOOKUP(AZ$5,Coords[],4,FALSE))^2)))</f>
        <v>1000</v>
      </c>
      <c r="BA60" s="10">
        <f>IF($G60=BA$5,1000,IF(BA$4=0,1000,SQRT((VLOOKUP($G60,Coords[],3,FALSE)-VLOOKUP(BA$5,Coords[],3,FALSE))^2+(VLOOKUP($G60,Coords[],4,FALSE)-VLOOKUP(BA$5,Coords[],4,FALSE))^2)))</f>
        <v>1000</v>
      </c>
      <c r="BB60" s="10">
        <f>IF($G60=BB$5,1000,IF(BB$4=0,1000,SQRT((VLOOKUP($G60,Coords[],3,FALSE)-VLOOKUP(BB$5,Coords[],3,FALSE))^2+(VLOOKUP($G60,Coords[],4,FALSE)-VLOOKUP(BB$5,Coords[],4,FALSE))^2)))</f>
        <v>1000</v>
      </c>
      <c r="BC60" s="10">
        <f>IF($G60=BC$5,1000,IF(BC$4=0,1000,SQRT((VLOOKUP($G60,Coords[],3,FALSE)-VLOOKUP(BC$5,Coords[],3,FALSE))^2+(VLOOKUP($G60,Coords[],4,FALSE)-VLOOKUP(BC$5,Coords[],4,FALSE))^2)))</f>
        <v>1000</v>
      </c>
      <c r="BD60" s="10">
        <f>IF($G60=BD$5,1000,IF(BD$4=0,1000,SQRT((VLOOKUP($G60,Coords[],3,FALSE)-VLOOKUP(BD$5,Coords[],3,FALSE))^2+(VLOOKUP($G60,Coords[],4,FALSE)-VLOOKUP(BD$5,Coords[],4,FALSE))^2)))</f>
        <v>1000</v>
      </c>
      <c r="BE60" s="10">
        <f>IF($G60=BE$5,1000,IF(BE$4=0,1000,SQRT((VLOOKUP($G60,Coords[],3,FALSE)-VLOOKUP(BE$5,Coords[],3,FALSE))^2+(VLOOKUP($G60,Coords[],4,FALSE)-VLOOKUP(BE$5,Coords[],4,FALSE))^2)))</f>
        <v>1000</v>
      </c>
      <c r="BF60" s="10">
        <f>IF($G60=BF$5,1000,IF(BF$4=0,1000,SQRT((VLOOKUP($G60,Coords[],3,FALSE)-VLOOKUP(BF$5,Coords[],3,FALSE))^2+(VLOOKUP($G60,Coords[],4,FALSE)-VLOOKUP(BF$5,Coords[],4,FALSE))^2)))</f>
        <v>1000</v>
      </c>
      <c r="BG60" s="10">
        <f>IF($G60=BG$5,1000,IF(BG$4=0,1000,SQRT((VLOOKUP($G60,Coords[],3,FALSE)-VLOOKUP(BG$5,Coords[],3,FALSE))^2+(VLOOKUP($G60,Coords[],4,FALSE)-VLOOKUP(BG$5,Coords[],4,FALSE))^2)))</f>
        <v>1000</v>
      </c>
      <c r="BH60" s="10">
        <f>IF($G60=BH$5,1000,IF(BH$4=0,1000,SQRT((VLOOKUP($G60,Coords[],3,FALSE)-VLOOKUP(BH$5,Coords[],3,FALSE))^2+(VLOOKUP($G60,Coords[],4,FALSE)-VLOOKUP(BH$5,Coords[],4,FALSE))^2)))</f>
        <v>1000</v>
      </c>
      <c r="BI60" s="10">
        <f>IF($G60=BI$5,1000,IF(BI$4=0,1000,SQRT((VLOOKUP($G60,Coords[],3,FALSE)-VLOOKUP(BI$5,Coords[],3,FALSE))^2+(VLOOKUP($G60,Coords[],4,FALSE)-VLOOKUP(BI$5,Coords[],4,FALSE))^2)))</f>
        <v>1000</v>
      </c>
      <c r="BJ60" s="10">
        <f>IF($G60=BJ$5,1000,IF(BJ$4=0,1000,SQRT((VLOOKUP($G60,Coords[],3,FALSE)-VLOOKUP(BJ$5,Coords[],3,FALSE))^2+(VLOOKUP($G60,Coords[],4,FALSE)-VLOOKUP(BJ$5,Coords[],4,FALSE))^2)))</f>
        <v>1000</v>
      </c>
      <c r="BK60" s="10">
        <f>IF($G60=BK$5,1000,IF(BK$4=0,1000,SQRT((VLOOKUP($G60,Coords[],3,FALSE)-VLOOKUP(BK$5,Coords[],3,FALSE))^2+(VLOOKUP($G60,Coords[],4,FALSE)-VLOOKUP(BK$5,Coords[],4,FALSE))^2)))</f>
        <v>1000</v>
      </c>
      <c r="BL60" s="10">
        <f>IF($G60=BL$5,1000,IF(BL$4=0,1000,SQRT((VLOOKUP($G60,Coords[],3,FALSE)-VLOOKUP(BL$5,Coords[],3,FALSE))^2+(VLOOKUP($G60,Coords[],4,FALSE)-VLOOKUP(BL$5,Coords[],4,FALSE))^2)))</f>
        <v>1000</v>
      </c>
      <c r="BM60" s="10">
        <f>IF($G60=BM$5,1000,IF(BM$4=0,1000,SQRT((VLOOKUP($G60,Coords[],3,FALSE)-VLOOKUP(BM$5,Coords[],3,FALSE))^2+(VLOOKUP($G60,Coords[],4,FALSE)-VLOOKUP(BM$5,Coords[],4,FALSE))^2)))</f>
        <v>1000</v>
      </c>
      <c r="BN60" s="10">
        <f>IF($G60=BN$5,1000,IF(BN$4=0,1000,SQRT((VLOOKUP($G60,Coords[],3,FALSE)-VLOOKUP(BN$5,Coords[],3,FALSE))^2+(VLOOKUP($G60,Coords[],4,FALSE)-VLOOKUP(BN$5,Coords[],4,FALSE))^2)))</f>
        <v>1000</v>
      </c>
      <c r="BO60" s="10">
        <f>IF($G60=BO$5,1000,IF(BO$4=0,1000,SQRT((VLOOKUP($G60,Coords[],3,FALSE)-VLOOKUP(BO$5,Coords[],3,FALSE))^2+(VLOOKUP($G60,Coords[],4,FALSE)-VLOOKUP(BO$5,Coords[],4,FALSE))^2)))</f>
        <v>1000</v>
      </c>
      <c r="BP60" s="10">
        <f>IF($G60=BP$5,1000,IF(BP$4=0,1000,SQRT((VLOOKUP($G60,Coords[],3,FALSE)-VLOOKUP(BP$5,Coords[],3,FALSE))^2+(VLOOKUP($G60,Coords[],4,FALSE)-VLOOKUP(BP$5,Coords[],4,FALSE))^2)))</f>
        <v>1000</v>
      </c>
      <c r="BQ60" s="10">
        <f>IF($G60=BQ$5,1000,IF(BQ$4=0,1000,SQRT((VLOOKUP($G60,Coords[],3,FALSE)-VLOOKUP(BQ$5,Coords[],3,FALSE))^2+(VLOOKUP($G60,Coords[],4,FALSE)-VLOOKUP(BQ$5,Coords[],4,FALSE))^2)))</f>
        <v>1000</v>
      </c>
      <c r="BR60" s="10">
        <f>IF($G60=BR$5,1000,IF(BR$4=0,1000,SQRT((VLOOKUP($G60,Coords[],3,FALSE)-VLOOKUP(BR$5,Coords[],3,FALSE))^2+(VLOOKUP($G60,Coords[],4,FALSE)-VLOOKUP(BR$5,Coords[],4,FALSE))^2)))</f>
        <v>1000</v>
      </c>
      <c r="BS60" s="10">
        <f>IF($G60=BS$5,1000,IF(BS$4=0,1000,SQRT((VLOOKUP($G60,Coords[],3,FALSE)-VLOOKUP(BS$5,Coords[],3,FALSE))^2+(VLOOKUP($G60,Coords[],4,FALSE)-VLOOKUP(BS$5,Coords[],4,FALSE))^2)))</f>
        <v>1000</v>
      </c>
      <c r="BT60" s="10">
        <f>IF($G60=BT$5,1000,IF(BT$4=0,1000,SQRT((VLOOKUP($G60,Coords[],3,FALSE)-VLOOKUP(BT$5,Coords[],3,FALSE))^2+(VLOOKUP($G60,Coords[],4,FALSE)-VLOOKUP(BT$5,Coords[],4,FALSE))^2)))</f>
        <v>1000</v>
      </c>
      <c r="BU60" s="10">
        <f>IF($G60=BU$5,1000,IF(BU$4=0,1000,SQRT((VLOOKUP($G60,Coords[],3,FALSE)-VLOOKUP(BU$5,Coords[],3,FALSE))^2+(VLOOKUP($G60,Coords[],4,FALSE)-VLOOKUP(BU$5,Coords[],4,FALSE))^2)))</f>
        <v>1000</v>
      </c>
      <c r="BV60" s="10">
        <f>IF($G60=BV$5,1000,IF(BV$4=0,1000,SQRT((VLOOKUP($G60,Coords[],3,FALSE)-VLOOKUP(BV$5,Coords[],3,FALSE))^2+(VLOOKUP($G60,Coords[],4,FALSE)-VLOOKUP(BV$5,Coords[],4,FALSE))^2)))</f>
        <v>1000</v>
      </c>
      <c r="BW60" s="10">
        <f>IF($G60=BW$5,1000,IF(BW$4=0,1000,SQRT((VLOOKUP($G60,Coords[],3,FALSE)-VLOOKUP(BW$5,Coords[],3,FALSE))^2+(VLOOKUP($G60,Coords[],4,FALSE)-VLOOKUP(BW$5,Coords[],4,FALSE))^2)))</f>
        <v>1000</v>
      </c>
      <c r="BX60" s="10">
        <f>IF($G60=BX$5,1000,IF(BX$4=0,1000,SQRT((VLOOKUP($G60,Coords[],3,FALSE)-VLOOKUP(BX$5,Coords[],3,FALSE))^2+(VLOOKUP($G60,Coords[],4,FALSE)-VLOOKUP(BX$5,Coords[],4,FALSE))^2)))</f>
        <v>1000</v>
      </c>
      <c r="BY60" s="10">
        <f>IF($G60=BY$5,1000,IF(BY$4=0,1000,SQRT((VLOOKUP($G60,Coords[],3,FALSE)-VLOOKUP(BY$5,Coords[],3,FALSE))^2+(VLOOKUP($G60,Coords[],4,FALSE)-VLOOKUP(BY$5,Coords[],4,FALSE))^2)))</f>
        <v>1000</v>
      </c>
      <c r="BZ60" s="10">
        <f>IF($G60=BZ$5,1000,IF(BZ$4=0,1000,SQRT((VLOOKUP($G60,Coords[],3,FALSE)-VLOOKUP(BZ$5,Coords[],3,FALSE))^2+(VLOOKUP($G60,Coords[],4,FALSE)-VLOOKUP(BZ$5,Coords[],4,FALSE))^2)))</f>
        <v>1000</v>
      </c>
      <c r="CA60" s="10">
        <f>IF($G60=CA$5,1000,IF(CA$4=0,1000,SQRT((VLOOKUP($G60,Coords[],3,FALSE)-VLOOKUP(CA$5,Coords[],3,FALSE))^2+(VLOOKUP($G60,Coords[],4,FALSE)-VLOOKUP(CA$5,Coords[],4,FALSE))^2)))</f>
        <v>1000</v>
      </c>
      <c r="CB60" s="10">
        <f>IF($G60=CB$5,1000,IF(CB$4=0,1000,SQRT((VLOOKUP($G60,Coords[],3,FALSE)-VLOOKUP(CB$5,Coords[],3,FALSE))^2+(VLOOKUP($G60,Coords[],4,FALSE)-VLOOKUP(CB$5,Coords[],4,FALSE))^2)))</f>
        <v>1000</v>
      </c>
      <c r="CC60" s="10">
        <f>IF($G60=CC$5,1000,IF(CC$4=0,1000,SQRT((VLOOKUP($G60,Coords[],3,FALSE)-VLOOKUP(CC$5,Coords[],3,FALSE))^2+(VLOOKUP($G60,Coords[],4,FALSE)-VLOOKUP(CC$5,Coords[],4,FALSE))^2)))</f>
        <v>1000</v>
      </c>
      <c r="CD60" s="10">
        <f>IF($G60=CD$5,1000,IF(CD$4=0,1000,SQRT((VLOOKUP($G60,Coords[],3,FALSE)-VLOOKUP(CD$5,Coords[],3,FALSE))^2+(VLOOKUP($G60,Coords[],4,FALSE)-VLOOKUP(CD$5,Coords[],4,FALSE))^2)))</f>
        <v>1000</v>
      </c>
      <c r="CE60" s="10">
        <f>IF($G60=CE$5,1000,IF(CE$4=0,1000,SQRT((VLOOKUP($G60,Coords[],3,FALSE)-VLOOKUP(CE$5,Coords[],3,FALSE))^2+(VLOOKUP($G60,Coords[],4,FALSE)-VLOOKUP(CE$5,Coords[],4,FALSE))^2)))</f>
        <v>1000</v>
      </c>
      <c r="CF60" s="4">
        <v>55</v>
      </c>
      <c r="CH60" s="5">
        <f>IF(E60=1,0,VLOOKUP($G60,$G$6:$CE$82,HLOOKUP(MIN(H60:CE60),$H60:$CE$82,((COUNT($G$6:$G$81)+2)-$G60),FALSE)+1,FALSE)*B60)</f>
        <v>0</v>
      </c>
      <c r="CI60" s="9">
        <f>VLOOKUP($G60,$G$6:$CE$82,HLOOKUP(MIN(H60:CE60),$H60:$CE$82,((COUNT($G$6:$G$81)+2)-$G60),FALSE)+1,FALSE)</f>
        <v>1000</v>
      </c>
      <c r="CJ60" s="7">
        <f>HLOOKUP(MIN(H60:CE60),$H60:$CE$82,((COUNT($G$6:$G$81)+2)-$G60),FALSE)</f>
        <v>1</v>
      </c>
      <c r="CK60">
        <f>CI60*Coords[[#This Row],[Demand]]</f>
        <v>0</v>
      </c>
    </row>
    <row r="61" spans="1:89" x14ac:dyDescent="0.25">
      <c r="A61" s="8">
        <v>56</v>
      </c>
      <c r="B61" s="3"/>
      <c r="C61" s="3"/>
      <c r="D61" s="3"/>
      <c r="E61" s="3"/>
      <c r="G61" s="4">
        <v>56</v>
      </c>
      <c r="H61" s="10">
        <f>IF($G61=H$5,1000,IF(H$4=0,1000,SQRT((VLOOKUP($G61,Coords[],3,FALSE)-VLOOKUP(H$5,Coords[],3,FALSE))^2+(VLOOKUP($G61,Coords[],4,FALSE)-VLOOKUP(H$5,Coords[],4,FALSE))^2)))</f>
        <v>1000</v>
      </c>
      <c r="I61" s="10">
        <f>IF($G61=I$5,1000,IF(I$4=0,1000,SQRT((VLOOKUP($G61,Coords[],3,FALSE)-VLOOKUP(I$5,Coords[],3,FALSE))^2+(VLOOKUP($G61,Coords[],4,FALSE)-VLOOKUP(I$5,Coords[],4,FALSE))^2)))</f>
        <v>1000</v>
      </c>
      <c r="J61" s="10">
        <f>IF($G61=J$5,1000,IF(J$4=0,1000,SQRT((VLOOKUP($G61,Coords[],3,FALSE)-VLOOKUP(J$5,Coords[],3,FALSE))^2+(VLOOKUP($G61,Coords[],4,FALSE)-VLOOKUP(J$5,Coords[],4,FALSE))^2)))</f>
        <v>1000</v>
      </c>
      <c r="K61" s="10">
        <f>IF($G61=K$5,1000,IF(K$4=0,1000,SQRT((VLOOKUP($G61,Coords[],3,FALSE)-VLOOKUP(K$5,Coords[],3,FALSE))^2+(VLOOKUP($G61,Coords[],4,FALSE)-VLOOKUP(K$5,Coords[],4,FALSE))^2)))</f>
        <v>1000</v>
      </c>
      <c r="L61" s="10">
        <f>IF($G61=L$5,1000,IF(L$4=0,1000,SQRT((VLOOKUP($G61,Coords[],3,FALSE)-VLOOKUP(L$5,Coords[],3,FALSE))^2+(VLOOKUP($G61,Coords[],4,FALSE)-VLOOKUP(L$5,Coords[],4,FALSE))^2)))</f>
        <v>1000</v>
      </c>
      <c r="M61" s="10">
        <f>IF($G61=M$5,1000,IF(M$4=0,1000,SQRT((VLOOKUP($G61,Coords[],3,FALSE)-VLOOKUP(M$5,Coords[],3,FALSE))^2+(VLOOKUP($G61,Coords[],4,FALSE)-VLOOKUP(M$5,Coords[],4,FALSE))^2)))</f>
        <v>1000</v>
      </c>
      <c r="N61" s="10">
        <f>IF($G61=N$5,1000,IF(N$4=0,1000,SQRT((VLOOKUP($G61,Coords[],3,FALSE)-VLOOKUP(N$5,Coords[],3,FALSE))^2+(VLOOKUP($G61,Coords[],4,FALSE)-VLOOKUP(N$5,Coords[],4,FALSE))^2)))</f>
        <v>1000</v>
      </c>
      <c r="O61" s="10">
        <f>IF($G61=O$5,1000,IF(O$4=0,1000,SQRT((VLOOKUP($G61,Coords[],3,FALSE)-VLOOKUP(O$5,Coords[],3,FALSE))^2+(VLOOKUP($G61,Coords[],4,FALSE)-VLOOKUP(O$5,Coords[],4,FALSE))^2)))</f>
        <v>1000</v>
      </c>
      <c r="P61" s="10">
        <f>IF($G61=P$5,1000,IF(P$4=0,1000,SQRT((VLOOKUP($G61,Coords[],3,FALSE)-VLOOKUP(P$5,Coords[],3,FALSE))^2+(VLOOKUP($G61,Coords[],4,FALSE)-VLOOKUP(P$5,Coords[],4,FALSE))^2)))</f>
        <v>1000</v>
      </c>
      <c r="Q61" s="10">
        <f>IF($G61=Q$5,1000,IF(Q$4=0,1000,SQRT((VLOOKUP($G61,Coords[],3,FALSE)-VLOOKUP(Q$5,Coords[],3,FALSE))^2+(VLOOKUP($G61,Coords[],4,FALSE)-VLOOKUP(Q$5,Coords[],4,FALSE))^2)))</f>
        <v>1000</v>
      </c>
      <c r="R61" s="10">
        <f>IF($G61=R$5,1000,IF(R$4=0,1000,SQRT((VLOOKUP($G61,Coords[],3,FALSE)-VLOOKUP(R$5,Coords[],3,FALSE))^2+(VLOOKUP($G61,Coords[],4,FALSE)-VLOOKUP(R$5,Coords[],4,FALSE))^2)))</f>
        <v>1000</v>
      </c>
      <c r="S61" s="10">
        <f>IF($G61=S$5,1000,IF(S$4=0,1000,SQRT((VLOOKUP($G61,Coords[],3,FALSE)-VLOOKUP(S$5,Coords[],3,FALSE))^2+(VLOOKUP($G61,Coords[],4,FALSE)-VLOOKUP(S$5,Coords[],4,FALSE))^2)))</f>
        <v>1000</v>
      </c>
      <c r="T61" s="10">
        <f>IF($G61=T$5,1000,IF(T$4=0,1000,SQRT((VLOOKUP($G61,Coords[],3,FALSE)-VLOOKUP(T$5,Coords[],3,FALSE))^2+(VLOOKUP($G61,Coords[],4,FALSE)-VLOOKUP(T$5,Coords[],4,FALSE))^2)))</f>
        <v>1000</v>
      </c>
      <c r="U61" s="10">
        <f>IF($G61=U$5,1000,IF(U$4=0,1000,SQRT((VLOOKUP($G61,Coords[],3,FALSE)-VLOOKUP(U$5,Coords[],3,FALSE))^2+(VLOOKUP($G61,Coords[],4,FALSE)-VLOOKUP(U$5,Coords[],4,FALSE))^2)))</f>
        <v>1000</v>
      </c>
      <c r="V61" s="10">
        <f>IF($G61=V$5,1000,IF(V$4=0,1000,SQRT((VLOOKUP($G61,Coords[],3,FALSE)-VLOOKUP(V$5,Coords[],3,FALSE))^2+(VLOOKUP($G61,Coords[],4,FALSE)-VLOOKUP(V$5,Coords[],4,FALSE))^2)))</f>
        <v>1000</v>
      </c>
      <c r="W61" s="10">
        <f>IF($G61=W$5,1000,IF(W$4=0,1000,SQRT((VLOOKUP($G61,Coords[],3,FALSE)-VLOOKUP(W$5,Coords[],3,FALSE))^2+(VLOOKUP($G61,Coords[],4,FALSE)-VLOOKUP(W$5,Coords[],4,FALSE))^2)))</f>
        <v>1000</v>
      </c>
      <c r="X61" s="10">
        <f>IF($G61=X$5,1000,IF(X$4=0,1000,SQRT((VLOOKUP($G61,Coords[],3,FALSE)-VLOOKUP(X$5,Coords[],3,FALSE))^2+(VLOOKUP($G61,Coords[],4,FALSE)-VLOOKUP(X$5,Coords[],4,FALSE))^2)))</f>
        <v>1000</v>
      </c>
      <c r="Y61" s="10">
        <f>IF($G61=Y$5,1000,IF(Y$4=0,1000,SQRT((VLOOKUP($G61,Coords[],3,FALSE)-VLOOKUP(Y$5,Coords[],3,FALSE))^2+(VLOOKUP($G61,Coords[],4,FALSE)-VLOOKUP(Y$5,Coords[],4,FALSE))^2)))</f>
        <v>1000</v>
      </c>
      <c r="Z61" s="10">
        <f>IF($G61=Z$5,1000,IF(Z$4=0,1000,SQRT((VLOOKUP($G61,Coords[],3,FALSE)-VLOOKUP(Z$5,Coords[],3,FALSE))^2+(VLOOKUP($G61,Coords[],4,FALSE)-VLOOKUP(Z$5,Coords[],4,FALSE))^2)))</f>
        <v>1000</v>
      </c>
      <c r="AA61" s="10">
        <f>IF($G61=AA$5,1000,IF(AA$4=0,1000,SQRT((VLOOKUP($G61,Coords[],3,FALSE)-VLOOKUP(AA$5,Coords[],3,FALSE))^2+(VLOOKUP($G61,Coords[],4,FALSE)-VLOOKUP(AA$5,Coords[],4,FALSE))^2)))</f>
        <v>1000</v>
      </c>
      <c r="AB61" s="10">
        <f>IF($G61=AB$5,1000,IF(AB$4=0,1000,SQRT((VLOOKUP($G61,Coords[],3,FALSE)-VLOOKUP(AB$5,Coords[],3,FALSE))^2+(VLOOKUP($G61,Coords[],4,FALSE)-VLOOKUP(AB$5,Coords[],4,FALSE))^2)))</f>
        <v>1000</v>
      </c>
      <c r="AC61" s="10">
        <f>IF($G61=AC$5,1000,IF(AC$4=0,1000,SQRT((VLOOKUP($G61,Coords[],3,FALSE)-VLOOKUP(AC$5,Coords[],3,FALSE))^2+(VLOOKUP($G61,Coords[],4,FALSE)-VLOOKUP(AC$5,Coords[],4,FALSE))^2)))</f>
        <v>1000</v>
      </c>
      <c r="AD61" s="10">
        <f>IF($G61=AD$5,1000,IF(AD$4=0,1000,SQRT((VLOOKUP($G61,Coords[],3,FALSE)-VLOOKUP(AD$5,Coords[],3,FALSE))^2+(VLOOKUP($G61,Coords[],4,FALSE)-VLOOKUP(AD$5,Coords[],4,FALSE))^2)))</f>
        <v>1000</v>
      </c>
      <c r="AE61" s="10">
        <f>IF($G61=AE$5,1000,IF(AE$4=0,1000,SQRT((VLOOKUP($G61,Coords[],3,FALSE)-VLOOKUP(AE$5,Coords[],3,FALSE))^2+(VLOOKUP($G61,Coords[],4,FALSE)-VLOOKUP(AE$5,Coords[],4,FALSE))^2)))</f>
        <v>1000</v>
      </c>
      <c r="AF61" s="10">
        <f>IF($G61=AF$5,1000,IF(AF$4=0,1000,SQRT((VLOOKUP($G61,Coords[],3,FALSE)-VLOOKUP(AF$5,Coords[],3,FALSE))^2+(VLOOKUP($G61,Coords[],4,FALSE)-VLOOKUP(AF$5,Coords[],4,FALSE))^2)))</f>
        <v>1000</v>
      </c>
      <c r="AG61" s="10">
        <f>IF($G61=AG$5,1000,IF(AG$4=0,1000,SQRT((VLOOKUP($G61,Coords[],3,FALSE)-VLOOKUP(AG$5,Coords[],3,FALSE))^2+(VLOOKUP($G61,Coords[],4,FALSE)-VLOOKUP(AG$5,Coords[],4,FALSE))^2)))</f>
        <v>1000</v>
      </c>
      <c r="AH61" s="10">
        <f>IF($G61=AH$5,1000,IF(AH$4=0,1000,SQRT((VLOOKUP($G61,Coords[],3,FALSE)-VLOOKUP(AH$5,Coords[],3,FALSE))^2+(VLOOKUP($G61,Coords[],4,FALSE)-VLOOKUP(AH$5,Coords[],4,FALSE))^2)))</f>
        <v>1000</v>
      </c>
      <c r="AI61" s="10">
        <f>IF($G61=AI$5,1000,IF(AI$4=0,1000,SQRT((VLOOKUP($G61,Coords[],3,FALSE)-VLOOKUP(AI$5,Coords[],3,FALSE))^2+(VLOOKUP($G61,Coords[],4,FALSE)-VLOOKUP(AI$5,Coords[],4,FALSE))^2)))</f>
        <v>1000</v>
      </c>
      <c r="AJ61" s="10">
        <f>IF($G61=AJ$5,1000,IF(AJ$4=0,1000,SQRT((VLOOKUP($G61,Coords[],3,FALSE)-VLOOKUP(AJ$5,Coords[],3,FALSE))^2+(VLOOKUP($G61,Coords[],4,FALSE)-VLOOKUP(AJ$5,Coords[],4,FALSE))^2)))</f>
        <v>1000</v>
      </c>
      <c r="AK61" s="10">
        <f>IF($G61=AK$5,1000,IF(AK$4=0,1000,SQRT((VLOOKUP($G61,Coords[],3,FALSE)-VLOOKUP(AK$5,Coords[],3,FALSE))^2+(VLOOKUP($G61,Coords[],4,FALSE)-VLOOKUP(AK$5,Coords[],4,FALSE))^2)))</f>
        <v>1000</v>
      </c>
      <c r="AL61" s="10">
        <f>IF($G61=AL$5,1000,IF(AL$4=0,1000,SQRT((VLOOKUP($G61,Coords[],3,FALSE)-VLOOKUP(AL$5,Coords[],3,FALSE))^2+(VLOOKUP($G61,Coords[],4,FALSE)-VLOOKUP(AL$5,Coords[],4,FALSE))^2)))</f>
        <v>1000</v>
      </c>
      <c r="AM61" s="10">
        <f>IF($G61=AM$5,1000,IF(AM$4=0,1000,SQRT((VLOOKUP($G61,Coords[],3,FALSE)-VLOOKUP(AM$5,Coords[],3,FALSE))^2+(VLOOKUP($G61,Coords[],4,FALSE)-VLOOKUP(AM$5,Coords[],4,FALSE))^2)))</f>
        <v>1000</v>
      </c>
      <c r="AN61" s="10">
        <f>IF($G61=AN$5,1000,IF(AN$4=0,1000,SQRT((VLOOKUP($G61,Coords[],3,FALSE)-VLOOKUP(AN$5,Coords[],3,FALSE))^2+(VLOOKUP($G61,Coords[],4,FALSE)-VLOOKUP(AN$5,Coords[],4,FALSE))^2)))</f>
        <v>1000</v>
      </c>
      <c r="AO61" s="10">
        <f>IF($G61=AO$5,1000,IF(AO$4=0,1000,SQRT((VLOOKUP($G61,Coords[],3,FALSE)-VLOOKUP(AO$5,Coords[],3,FALSE))^2+(VLOOKUP($G61,Coords[],4,FALSE)-VLOOKUP(AO$5,Coords[],4,FALSE))^2)))</f>
        <v>1000</v>
      </c>
      <c r="AP61" s="10">
        <f>IF($G61=AP$5,1000,IF(AP$4=0,1000,SQRT((VLOOKUP($G61,Coords[],3,FALSE)-VLOOKUP(AP$5,Coords[],3,FALSE))^2+(VLOOKUP($G61,Coords[],4,FALSE)-VLOOKUP(AP$5,Coords[],4,FALSE))^2)))</f>
        <v>1000</v>
      </c>
      <c r="AQ61" s="10">
        <f>IF($G61=AQ$5,1000,IF(AQ$4=0,1000,SQRT((VLOOKUP($G61,Coords[],3,FALSE)-VLOOKUP(AQ$5,Coords[],3,FALSE))^2+(VLOOKUP($G61,Coords[],4,FALSE)-VLOOKUP(AQ$5,Coords[],4,FALSE))^2)))</f>
        <v>1000</v>
      </c>
      <c r="AR61" s="10">
        <f>IF($G61=AR$5,1000,IF(AR$4=0,1000,SQRT((VLOOKUP($G61,Coords[],3,FALSE)-VLOOKUP(AR$5,Coords[],3,FALSE))^2+(VLOOKUP($G61,Coords[],4,FALSE)-VLOOKUP(AR$5,Coords[],4,FALSE))^2)))</f>
        <v>1000</v>
      </c>
      <c r="AS61" s="10">
        <f>IF($G61=AS$5,1000,IF(AS$4=0,1000,SQRT((VLOOKUP($G61,Coords[],3,FALSE)-VLOOKUP(AS$5,Coords[],3,FALSE))^2+(VLOOKUP($G61,Coords[],4,FALSE)-VLOOKUP(AS$5,Coords[],4,FALSE))^2)))</f>
        <v>1000</v>
      </c>
      <c r="AT61" s="10">
        <f>IF($G61=AT$5,1000,IF(AT$4=0,1000,SQRT((VLOOKUP($G61,Coords[],3,FALSE)-VLOOKUP(AT$5,Coords[],3,FALSE))^2+(VLOOKUP($G61,Coords[],4,FALSE)-VLOOKUP(AT$5,Coords[],4,FALSE))^2)))</f>
        <v>1000</v>
      </c>
      <c r="AU61" s="10">
        <f>IF($G61=AU$5,1000,IF(AU$4=0,1000,SQRT((VLOOKUP($G61,Coords[],3,FALSE)-VLOOKUP(AU$5,Coords[],3,FALSE))^2+(VLOOKUP($G61,Coords[],4,FALSE)-VLOOKUP(AU$5,Coords[],4,FALSE))^2)))</f>
        <v>1000</v>
      </c>
      <c r="AV61" s="10">
        <f>IF($G61=AV$5,1000,IF(AV$4=0,1000,SQRT((VLOOKUP($G61,Coords[],3,FALSE)-VLOOKUP(AV$5,Coords[],3,FALSE))^2+(VLOOKUP($G61,Coords[],4,FALSE)-VLOOKUP(AV$5,Coords[],4,FALSE))^2)))</f>
        <v>1000</v>
      </c>
      <c r="AW61" s="10">
        <f>IF($G61=AW$5,1000,IF(AW$4=0,1000,SQRT((VLOOKUP($G61,Coords[],3,FALSE)-VLOOKUP(AW$5,Coords[],3,FALSE))^2+(VLOOKUP($G61,Coords[],4,FALSE)-VLOOKUP(AW$5,Coords[],4,FALSE))^2)))</f>
        <v>1000</v>
      </c>
      <c r="AX61" s="10">
        <f>IF($G61=AX$5,1000,IF(AX$4=0,1000,SQRT((VLOOKUP($G61,Coords[],3,FALSE)-VLOOKUP(AX$5,Coords[],3,FALSE))^2+(VLOOKUP($G61,Coords[],4,FALSE)-VLOOKUP(AX$5,Coords[],4,FALSE))^2)))</f>
        <v>1000</v>
      </c>
      <c r="AY61" s="10">
        <f>IF($G61=AY$5,1000,IF(AY$4=0,1000,SQRT((VLOOKUP($G61,Coords[],3,FALSE)-VLOOKUP(AY$5,Coords[],3,FALSE))^2+(VLOOKUP($G61,Coords[],4,FALSE)-VLOOKUP(AY$5,Coords[],4,FALSE))^2)))</f>
        <v>1000</v>
      </c>
      <c r="AZ61" s="10">
        <f>IF($G61=AZ$5,1000,IF(AZ$4=0,1000,SQRT((VLOOKUP($G61,Coords[],3,FALSE)-VLOOKUP(AZ$5,Coords[],3,FALSE))^2+(VLOOKUP($G61,Coords[],4,FALSE)-VLOOKUP(AZ$5,Coords[],4,FALSE))^2)))</f>
        <v>1000</v>
      </c>
      <c r="BA61" s="10">
        <f>IF($G61=BA$5,1000,IF(BA$4=0,1000,SQRT((VLOOKUP($G61,Coords[],3,FALSE)-VLOOKUP(BA$5,Coords[],3,FALSE))^2+(VLOOKUP($G61,Coords[],4,FALSE)-VLOOKUP(BA$5,Coords[],4,FALSE))^2)))</f>
        <v>1000</v>
      </c>
      <c r="BB61" s="10">
        <f>IF($G61=BB$5,1000,IF(BB$4=0,1000,SQRT((VLOOKUP($G61,Coords[],3,FALSE)-VLOOKUP(BB$5,Coords[],3,FALSE))^2+(VLOOKUP($G61,Coords[],4,FALSE)-VLOOKUP(BB$5,Coords[],4,FALSE))^2)))</f>
        <v>1000</v>
      </c>
      <c r="BC61" s="10">
        <f>IF($G61=BC$5,1000,IF(BC$4=0,1000,SQRT((VLOOKUP($G61,Coords[],3,FALSE)-VLOOKUP(BC$5,Coords[],3,FALSE))^2+(VLOOKUP($G61,Coords[],4,FALSE)-VLOOKUP(BC$5,Coords[],4,FALSE))^2)))</f>
        <v>1000</v>
      </c>
      <c r="BD61" s="10">
        <f>IF($G61=BD$5,1000,IF(BD$4=0,1000,SQRT((VLOOKUP($G61,Coords[],3,FALSE)-VLOOKUP(BD$5,Coords[],3,FALSE))^2+(VLOOKUP($G61,Coords[],4,FALSE)-VLOOKUP(BD$5,Coords[],4,FALSE))^2)))</f>
        <v>1000</v>
      </c>
      <c r="BE61" s="10">
        <f>IF($G61=BE$5,1000,IF(BE$4=0,1000,SQRT((VLOOKUP($G61,Coords[],3,FALSE)-VLOOKUP(BE$5,Coords[],3,FALSE))^2+(VLOOKUP($G61,Coords[],4,FALSE)-VLOOKUP(BE$5,Coords[],4,FALSE))^2)))</f>
        <v>1000</v>
      </c>
      <c r="BF61" s="10">
        <f>IF($G61=BF$5,1000,IF(BF$4=0,1000,SQRT((VLOOKUP($G61,Coords[],3,FALSE)-VLOOKUP(BF$5,Coords[],3,FALSE))^2+(VLOOKUP($G61,Coords[],4,FALSE)-VLOOKUP(BF$5,Coords[],4,FALSE))^2)))</f>
        <v>1000</v>
      </c>
      <c r="BG61" s="10">
        <f>IF($G61=BG$5,1000,IF(BG$4=0,1000,SQRT((VLOOKUP($G61,Coords[],3,FALSE)-VLOOKUP(BG$5,Coords[],3,FALSE))^2+(VLOOKUP($G61,Coords[],4,FALSE)-VLOOKUP(BG$5,Coords[],4,FALSE))^2)))</f>
        <v>1000</v>
      </c>
      <c r="BH61" s="10">
        <f>IF($G61=BH$5,1000,IF(BH$4=0,1000,SQRT((VLOOKUP($G61,Coords[],3,FALSE)-VLOOKUP(BH$5,Coords[],3,FALSE))^2+(VLOOKUP($G61,Coords[],4,FALSE)-VLOOKUP(BH$5,Coords[],4,FALSE))^2)))</f>
        <v>1000</v>
      </c>
      <c r="BI61" s="10">
        <f>IF($G61=BI$5,1000,IF(BI$4=0,1000,SQRT((VLOOKUP($G61,Coords[],3,FALSE)-VLOOKUP(BI$5,Coords[],3,FALSE))^2+(VLOOKUP($G61,Coords[],4,FALSE)-VLOOKUP(BI$5,Coords[],4,FALSE))^2)))</f>
        <v>1000</v>
      </c>
      <c r="BJ61" s="10">
        <f>IF($G61=BJ$5,1000,IF(BJ$4=0,1000,SQRT((VLOOKUP($G61,Coords[],3,FALSE)-VLOOKUP(BJ$5,Coords[],3,FALSE))^2+(VLOOKUP($G61,Coords[],4,FALSE)-VLOOKUP(BJ$5,Coords[],4,FALSE))^2)))</f>
        <v>1000</v>
      </c>
      <c r="BK61" s="10">
        <f>IF($G61=BK$5,1000,IF(BK$4=0,1000,SQRT((VLOOKUP($G61,Coords[],3,FALSE)-VLOOKUP(BK$5,Coords[],3,FALSE))^2+(VLOOKUP($G61,Coords[],4,FALSE)-VLOOKUP(BK$5,Coords[],4,FALSE))^2)))</f>
        <v>1000</v>
      </c>
      <c r="BL61" s="10">
        <f>IF($G61=BL$5,1000,IF(BL$4=0,1000,SQRT((VLOOKUP($G61,Coords[],3,FALSE)-VLOOKUP(BL$5,Coords[],3,FALSE))^2+(VLOOKUP($G61,Coords[],4,FALSE)-VLOOKUP(BL$5,Coords[],4,FALSE))^2)))</f>
        <v>1000</v>
      </c>
      <c r="BM61" s="10">
        <f>IF($G61=BM$5,1000,IF(BM$4=0,1000,SQRT((VLOOKUP($G61,Coords[],3,FALSE)-VLOOKUP(BM$5,Coords[],3,FALSE))^2+(VLOOKUP($G61,Coords[],4,FALSE)-VLOOKUP(BM$5,Coords[],4,FALSE))^2)))</f>
        <v>1000</v>
      </c>
      <c r="BN61" s="10">
        <f>IF($G61=BN$5,1000,IF(BN$4=0,1000,SQRT((VLOOKUP($G61,Coords[],3,FALSE)-VLOOKUP(BN$5,Coords[],3,FALSE))^2+(VLOOKUP($G61,Coords[],4,FALSE)-VLOOKUP(BN$5,Coords[],4,FALSE))^2)))</f>
        <v>1000</v>
      </c>
      <c r="BO61" s="10">
        <f>IF($G61=BO$5,1000,IF(BO$4=0,1000,SQRT((VLOOKUP($G61,Coords[],3,FALSE)-VLOOKUP(BO$5,Coords[],3,FALSE))^2+(VLOOKUP($G61,Coords[],4,FALSE)-VLOOKUP(BO$5,Coords[],4,FALSE))^2)))</f>
        <v>1000</v>
      </c>
      <c r="BP61" s="10">
        <f>IF($G61=BP$5,1000,IF(BP$4=0,1000,SQRT((VLOOKUP($G61,Coords[],3,FALSE)-VLOOKUP(BP$5,Coords[],3,FALSE))^2+(VLOOKUP($G61,Coords[],4,FALSE)-VLOOKUP(BP$5,Coords[],4,FALSE))^2)))</f>
        <v>1000</v>
      </c>
      <c r="BQ61" s="10">
        <f>IF($G61=BQ$5,1000,IF(BQ$4=0,1000,SQRT((VLOOKUP($G61,Coords[],3,FALSE)-VLOOKUP(BQ$5,Coords[],3,FALSE))^2+(VLOOKUP($G61,Coords[],4,FALSE)-VLOOKUP(BQ$5,Coords[],4,FALSE))^2)))</f>
        <v>1000</v>
      </c>
      <c r="BR61" s="10">
        <f>IF($G61=BR$5,1000,IF(BR$4=0,1000,SQRT((VLOOKUP($G61,Coords[],3,FALSE)-VLOOKUP(BR$5,Coords[],3,FALSE))^2+(VLOOKUP($G61,Coords[],4,FALSE)-VLOOKUP(BR$5,Coords[],4,FALSE))^2)))</f>
        <v>1000</v>
      </c>
      <c r="BS61" s="10">
        <f>IF($G61=BS$5,1000,IF(BS$4=0,1000,SQRT((VLOOKUP($G61,Coords[],3,FALSE)-VLOOKUP(BS$5,Coords[],3,FALSE))^2+(VLOOKUP($G61,Coords[],4,FALSE)-VLOOKUP(BS$5,Coords[],4,FALSE))^2)))</f>
        <v>1000</v>
      </c>
      <c r="BT61" s="10">
        <f>IF($G61=BT$5,1000,IF(BT$4=0,1000,SQRT((VLOOKUP($G61,Coords[],3,FALSE)-VLOOKUP(BT$5,Coords[],3,FALSE))^2+(VLOOKUP($G61,Coords[],4,FALSE)-VLOOKUP(BT$5,Coords[],4,FALSE))^2)))</f>
        <v>1000</v>
      </c>
      <c r="BU61" s="10">
        <f>IF($G61=BU$5,1000,IF(BU$4=0,1000,SQRT((VLOOKUP($G61,Coords[],3,FALSE)-VLOOKUP(BU$5,Coords[],3,FALSE))^2+(VLOOKUP($G61,Coords[],4,FALSE)-VLOOKUP(BU$5,Coords[],4,FALSE))^2)))</f>
        <v>1000</v>
      </c>
      <c r="BV61" s="10">
        <f>IF($G61=BV$5,1000,IF(BV$4=0,1000,SQRT((VLOOKUP($G61,Coords[],3,FALSE)-VLOOKUP(BV$5,Coords[],3,FALSE))^2+(VLOOKUP($G61,Coords[],4,FALSE)-VLOOKUP(BV$5,Coords[],4,FALSE))^2)))</f>
        <v>1000</v>
      </c>
      <c r="BW61" s="10">
        <f>IF($G61=BW$5,1000,IF(BW$4=0,1000,SQRT((VLOOKUP($G61,Coords[],3,FALSE)-VLOOKUP(BW$5,Coords[],3,FALSE))^2+(VLOOKUP($G61,Coords[],4,FALSE)-VLOOKUP(BW$5,Coords[],4,FALSE))^2)))</f>
        <v>1000</v>
      </c>
      <c r="BX61" s="10">
        <f>IF($G61=BX$5,1000,IF(BX$4=0,1000,SQRT((VLOOKUP($G61,Coords[],3,FALSE)-VLOOKUP(BX$5,Coords[],3,FALSE))^2+(VLOOKUP($G61,Coords[],4,FALSE)-VLOOKUP(BX$5,Coords[],4,FALSE))^2)))</f>
        <v>1000</v>
      </c>
      <c r="BY61" s="10">
        <f>IF($G61=BY$5,1000,IF(BY$4=0,1000,SQRT((VLOOKUP($G61,Coords[],3,FALSE)-VLOOKUP(BY$5,Coords[],3,FALSE))^2+(VLOOKUP($G61,Coords[],4,FALSE)-VLOOKUP(BY$5,Coords[],4,FALSE))^2)))</f>
        <v>1000</v>
      </c>
      <c r="BZ61" s="10">
        <f>IF($G61=BZ$5,1000,IF(BZ$4=0,1000,SQRT((VLOOKUP($G61,Coords[],3,FALSE)-VLOOKUP(BZ$5,Coords[],3,FALSE))^2+(VLOOKUP($G61,Coords[],4,FALSE)-VLOOKUP(BZ$5,Coords[],4,FALSE))^2)))</f>
        <v>1000</v>
      </c>
      <c r="CA61" s="10">
        <f>IF($G61=CA$5,1000,IF(CA$4=0,1000,SQRT((VLOOKUP($G61,Coords[],3,FALSE)-VLOOKUP(CA$5,Coords[],3,FALSE))^2+(VLOOKUP($G61,Coords[],4,FALSE)-VLOOKUP(CA$5,Coords[],4,FALSE))^2)))</f>
        <v>1000</v>
      </c>
      <c r="CB61" s="10">
        <f>IF($G61=CB$5,1000,IF(CB$4=0,1000,SQRT((VLOOKUP($G61,Coords[],3,FALSE)-VLOOKUP(CB$5,Coords[],3,FALSE))^2+(VLOOKUP($G61,Coords[],4,FALSE)-VLOOKUP(CB$5,Coords[],4,FALSE))^2)))</f>
        <v>1000</v>
      </c>
      <c r="CC61" s="10">
        <f>IF($G61=CC$5,1000,IF(CC$4=0,1000,SQRT((VLOOKUP($G61,Coords[],3,FALSE)-VLOOKUP(CC$5,Coords[],3,FALSE))^2+(VLOOKUP($G61,Coords[],4,FALSE)-VLOOKUP(CC$5,Coords[],4,FALSE))^2)))</f>
        <v>1000</v>
      </c>
      <c r="CD61" s="10">
        <f>IF($G61=CD$5,1000,IF(CD$4=0,1000,SQRT((VLOOKUP($G61,Coords[],3,FALSE)-VLOOKUP(CD$5,Coords[],3,FALSE))^2+(VLOOKUP($G61,Coords[],4,FALSE)-VLOOKUP(CD$5,Coords[],4,FALSE))^2)))</f>
        <v>1000</v>
      </c>
      <c r="CE61" s="10">
        <f>IF($G61=CE$5,1000,IF(CE$4=0,1000,SQRT((VLOOKUP($G61,Coords[],3,FALSE)-VLOOKUP(CE$5,Coords[],3,FALSE))^2+(VLOOKUP($G61,Coords[],4,FALSE)-VLOOKUP(CE$5,Coords[],4,FALSE))^2)))</f>
        <v>1000</v>
      </c>
      <c r="CF61" s="4">
        <v>56</v>
      </c>
      <c r="CH61" s="5">
        <f>IF(E61=1,0,VLOOKUP($G61,$G$6:$CE$82,HLOOKUP(MIN(H61:CE61),$H61:$CE$82,((COUNT($G$6:$G$81)+2)-$G61),FALSE)+1,FALSE)*B61)</f>
        <v>0</v>
      </c>
      <c r="CI61" s="9">
        <f>VLOOKUP($G61,$G$6:$CE$82,HLOOKUP(MIN(H61:CE61),$H61:$CE$82,((COUNT($G$6:$G$81)+2)-$G61),FALSE)+1,FALSE)</f>
        <v>1000</v>
      </c>
      <c r="CJ61" s="7">
        <f>HLOOKUP(MIN(H61:CE61),$H61:$CE$82,((COUNT($G$6:$G$81)+2)-$G61),FALSE)</f>
        <v>1</v>
      </c>
      <c r="CK61">
        <f>CI61*Coords[[#This Row],[Demand]]</f>
        <v>0</v>
      </c>
    </row>
    <row r="62" spans="1:89" x14ac:dyDescent="0.25">
      <c r="A62" s="8">
        <v>57</v>
      </c>
      <c r="B62" s="3"/>
      <c r="C62" s="3"/>
      <c r="D62" s="3"/>
      <c r="E62" s="3"/>
      <c r="G62" s="4">
        <v>57</v>
      </c>
      <c r="H62" s="10">
        <f>IF($G62=H$5,1000,IF(H$4=0,1000,SQRT((VLOOKUP($G62,Coords[],3,FALSE)-VLOOKUP(H$5,Coords[],3,FALSE))^2+(VLOOKUP($G62,Coords[],4,FALSE)-VLOOKUP(H$5,Coords[],4,FALSE))^2)))</f>
        <v>1000</v>
      </c>
      <c r="I62" s="10">
        <f>IF($G62=I$5,1000,IF(I$4=0,1000,SQRT((VLOOKUP($G62,Coords[],3,FALSE)-VLOOKUP(I$5,Coords[],3,FALSE))^2+(VLOOKUP($G62,Coords[],4,FALSE)-VLOOKUP(I$5,Coords[],4,FALSE))^2)))</f>
        <v>1000</v>
      </c>
      <c r="J62" s="10">
        <f>IF($G62=J$5,1000,IF(J$4=0,1000,SQRT((VLOOKUP($G62,Coords[],3,FALSE)-VLOOKUP(J$5,Coords[],3,FALSE))^2+(VLOOKUP($G62,Coords[],4,FALSE)-VLOOKUP(J$5,Coords[],4,FALSE))^2)))</f>
        <v>1000</v>
      </c>
      <c r="K62" s="10">
        <f>IF($G62=K$5,1000,IF(K$4=0,1000,SQRT((VLOOKUP($G62,Coords[],3,FALSE)-VLOOKUP(K$5,Coords[],3,FALSE))^2+(VLOOKUP($G62,Coords[],4,FALSE)-VLOOKUP(K$5,Coords[],4,FALSE))^2)))</f>
        <v>1000</v>
      </c>
      <c r="L62" s="10">
        <f>IF($G62=L$5,1000,IF(L$4=0,1000,SQRT((VLOOKUP($G62,Coords[],3,FALSE)-VLOOKUP(L$5,Coords[],3,FALSE))^2+(VLOOKUP($G62,Coords[],4,FALSE)-VLOOKUP(L$5,Coords[],4,FALSE))^2)))</f>
        <v>1000</v>
      </c>
      <c r="M62" s="10">
        <f>IF($G62=M$5,1000,IF(M$4=0,1000,SQRT((VLOOKUP($G62,Coords[],3,FALSE)-VLOOKUP(M$5,Coords[],3,FALSE))^2+(VLOOKUP($G62,Coords[],4,FALSE)-VLOOKUP(M$5,Coords[],4,FALSE))^2)))</f>
        <v>1000</v>
      </c>
      <c r="N62" s="10">
        <f>IF($G62=N$5,1000,IF(N$4=0,1000,SQRT((VLOOKUP($G62,Coords[],3,FALSE)-VLOOKUP(N$5,Coords[],3,FALSE))^2+(VLOOKUP($G62,Coords[],4,FALSE)-VLOOKUP(N$5,Coords[],4,FALSE))^2)))</f>
        <v>1000</v>
      </c>
      <c r="O62" s="10">
        <f>IF($G62=O$5,1000,IF(O$4=0,1000,SQRT((VLOOKUP($G62,Coords[],3,FALSE)-VLOOKUP(O$5,Coords[],3,FALSE))^2+(VLOOKUP($G62,Coords[],4,FALSE)-VLOOKUP(O$5,Coords[],4,FALSE))^2)))</f>
        <v>1000</v>
      </c>
      <c r="P62" s="10">
        <f>IF($G62=P$5,1000,IF(P$4=0,1000,SQRT((VLOOKUP($G62,Coords[],3,FALSE)-VLOOKUP(P$5,Coords[],3,FALSE))^2+(VLOOKUP($G62,Coords[],4,FALSE)-VLOOKUP(P$5,Coords[],4,FALSE))^2)))</f>
        <v>1000</v>
      </c>
      <c r="Q62" s="10">
        <f>IF($G62=Q$5,1000,IF(Q$4=0,1000,SQRT((VLOOKUP($G62,Coords[],3,FALSE)-VLOOKUP(Q$5,Coords[],3,FALSE))^2+(VLOOKUP($G62,Coords[],4,FALSE)-VLOOKUP(Q$5,Coords[],4,FALSE))^2)))</f>
        <v>1000</v>
      </c>
      <c r="R62" s="10">
        <f>IF($G62=R$5,1000,IF(R$4=0,1000,SQRT((VLOOKUP($G62,Coords[],3,FALSE)-VLOOKUP(R$5,Coords[],3,FALSE))^2+(VLOOKUP($G62,Coords[],4,FALSE)-VLOOKUP(R$5,Coords[],4,FALSE))^2)))</f>
        <v>1000</v>
      </c>
      <c r="S62" s="10">
        <f>IF($G62=S$5,1000,IF(S$4=0,1000,SQRT((VLOOKUP($G62,Coords[],3,FALSE)-VLOOKUP(S$5,Coords[],3,FALSE))^2+(VLOOKUP($G62,Coords[],4,FALSE)-VLOOKUP(S$5,Coords[],4,FALSE))^2)))</f>
        <v>1000</v>
      </c>
      <c r="T62" s="10">
        <f>IF($G62=T$5,1000,IF(T$4=0,1000,SQRT((VLOOKUP($G62,Coords[],3,FALSE)-VLOOKUP(T$5,Coords[],3,FALSE))^2+(VLOOKUP($G62,Coords[],4,FALSE)-VLOOKUP(T$5,Coords[],4,FALSE))^2)))</f>
        <v>1000</v>
      </c>
      <c r="U62" s="10">
        <f>IF($G62=U$5,1000,IF(U$4=0,1000,SQRT((VLOOKUP($G62,Coords[],3,FALSE)-VLOOKUP(U$5,Coords[],3,FALSE))^2+(VLOOKUP($G62,Coords[],4,FALSE)-VLOOKUP(U$5,Coords[],4,FALSE))^2)))</f>
        <v>1000</v>
      </c>
      <c r="V62" s="10">
        <f>IF($G62=V$5,1000,IF(V$4=0,1000,SQRT((VLOOKUP($G62,Coords[],3,FALSE)-VLOOKUP(V$5,Coords[],3,FALSE))^2+(VLOOKUP($G62,Coords[],4,FALSE)-VLOOKUP(V$5,Coords[],4,FALSE))^2)))</f>
        <v>1000</v>
      </c>
      <c r="W62" s="10">
        <f>IF($G62=W$5,1000,IF(W$4=0,1000,SQRT((VLOOKUP($G62,Coords[],3,FALSE)-VLOOKUP(W$5,Coords[],3,FALSE))^2+(VLOOKUP($G62,Coords[],4,FALSE)-VLOOKUP(W$5,Coords[],4,FALSE))^2)))</f>
        <v>1000</v>
      </c>
      <c r="X62" s="10">
        <f>IF($G62=X$5,1000,IF(X$4=0,1000,SQRT((VLOOKUP($G62,Coords[],3,FALSE)-VLOOKUP(X$5,Coords[],3,FALSE))^2+(VLOOKUP($G62,Coords[],4,FALSE)-VLOOKUP(X$5,Coords[],4,FALSE))^2)))</f>
        <v>1000</v>
      </c>
      <c r="Y62" s="10">
        <f>IF($G62=Y$5,1000,IF(Y$4=0,1000,SQRT((VLOOKUP($G62,Coords[],3,FALSE)-VLOOKUP(Y$5,Coords[],3,FALSE))^2+(VLOOKUP($G62,Coords[],4,FALSE)-VLOOKUP(Y$5,Coords[],4,FALSE))^2)))</f>
        <v>1000</v>
      </c>
      <c r="Z62" s="10">
        <f>IF($G62=Z$5,1000,IF(Z$4=0,1000,SQRT((VLOOKUP($G62,Coords[],3,FALSE)-VLOOKUP(Z$5,Coords[],3,FALSE))^2+(VLOOKUP($G62,Coords[],4,FALSE)-VLOOKUP(Z$5,Coords[],4,FALSE))^2)))</f>
        <v>1000</v>
      </c>
      <c r="AA62" s="10">
        <f>IF($G62=AA$5,1000,IF(AA$4=0,1000,SQRT((VLOOKUP($G62,Coords[],3,FALSE)-VLOOKUP(AA$5,Coords[],3,FALSE))^2+(VLOOKUP($G62,Coords[],4,FALSE)-VLOOKUP(AA$5,Coords[],4,FALSE))^2)))</f>
        <v>1000</v>
      </c>
      <c r="AB62" s="10">
        <f>IF($G62=AB$5,1000,IF(AB$4=0,1000,SQRT((VLOOKUP($G62,Coords[],3,FALSE)-VLOOKUP(AB$5,Coords[],3,FALSE))^2+(VLOOKUP($G62,Coords[],4,FALSE)-VLOOKUP(AB$5,Coords[],4,FALSE))^2)))</f>
        <v>1000</v>
      </c>
      <c r="AC62" s="10">
        <f>IF($G62=AC$5,1000,IF(AC$4=0,1000,SQRT((VLOOKUP($G62,Coords[],3,FALSE)-VLOOKUP(AC$5,Coords[],3,FALSE))^2+(VLOOKUP($G62,Coords[],4,FALSE)-VLOOKUP(AC$5,Coords[],4,FALSE))^2)))</f>
        <v>1000</v>
      </c>
      <c r="AD62" s="10">
        <f>IF($G62=AD$5,1000,IF(AD$4=0,1000,SQRT((VLOOKUP($G62,Coords[],3,FALSE)-VLOOKUP(AD$5,Coords[],3,FALSE))^2+(VLOOKUP($G62,Coords[],4,FALSE)-VLOOKUP(AD$5,Coords[],4,FALSE))^2)))</f>
        <v>1000</v>
      </c>
      <c r="AE62" s="10">
        <f>IF($G62=AE$5,1000,IF(AE$4=0,1000,SQRT((VLOOKUP($G62,Coords[],3,FALSE)-VLOOKUP(AE$5,Coords[],3,FALSE))^2+(VLOOKUP($G62,Coords[],4,FALSE)-VLOOKUP(AE$5,Coords[],4,FALSE))^2)))</f>
        <v>1000</v>
      </c>
      <c r="AF62" s="10">
        <f>IF($G62=AF$5,1000,IF(AF$4=0,1000,SQRT((VLOOKUP($G62,Coords[],3,FALSE)-VLOOKUP(AF$5,Coords[],3,FALSE))^2+(VLOOKUP($G62,Coords[],4,FALSE)-VLOOKUP(AF$5,Coords[],4,FALSE))^2)))</f>
        <v>1000</v>
      </c>
      <c r="AG62" s="10">
        <f>IF($G62=AG$5,1000,IF(AG$4=0,1000,SQRT((VLOOKUP($G62,Coords[],3,FALSE)-VLOOKUP(AG$5,Coords[],3,FALSE))^2+(VLOOKUP($G62,Coords[],4,FALSE)-VLOOKUP(AG$5,Coords[],4,FALSE))^2)))</f>
        <v>1000</v>
      </c>
      <c r="AH62" s="10">
        <f>IF($G62=AH$5,1000,IF(AH$4=0,1000,SQRT((VLOOKUP($G62,Coords[],3,FALSE)-VLOOKUP(AH$5,Coords[],3,FALSE))^2+(VLOOKUP($G62,Coords[],4,FALSE)-VLOOKUP(AH$5,Coords[],4,FALSE))^2)))</f>
        <v>1000</v>
      </c>
      <c r="AI62" s="10">
        <f>IF($G62=AI$5,1000,IF(AI$4=0,1000,SQRT((VLOOKUP($G62,Coords[],3,FALSE)-VLOOKUP(AI$5,Coords[],3,FALSE))^2+(VLOOKUP($G62,Coords[],4,FALSE)-VLOOKUP(AI$5,Coords[],4,FALSE))^2)))</f>
        <v>1000</v>
      </c>
      <c r="AJ62" s="10">
        <f>IF($G62=AJ$5,1000,IF(AJ$4=0,1000,SQRT((VLOOKUP($G62,Coords[],3,FALSE)-VLOOKUP(AJ$5,Coords[],3,FALSE))^2+(VLOOKUP($G62,Coords[],4,FALSE)-VLOOKUP(AJ$5,Coords[],4,FALSE))^2)))</f>
        <v>1000</v>
      </c>
      <c r="AK62" s="10">
        <f>IF($G62=AK$5,1000,IF(AK$4=0,1000,SQRT((VLOOKUP($G62,Coords[],3,FALSE)-VLOOKUP(AK$5,Coords[],3,FALSE))^2+(VLOOKUP($G62,Coords[],4,FALSE)-VLOOKUP(AK$5,Coords[],4,FALSE))^2)))</f>
        <v>1000</v>
      </c>
      <c r="AL62" s="10">
        <f>IF($G62=AL$5,1000,IF(AL$4=0,1000,SQRT((VLOOKUP($G62,Coords[],3,FALSE)-VLOOKUP(AL$5,Coords[],3,FALSE))^2+(VLOOKUP($G62,Coords[],4,FALSE)-VLOOKUP(AL$5,Coords[],4,FALSE))^2)))</f>
        <v>1000</v>
      </c>
      <c r="AM62" s="10">
        <f>IF($G62=AM$5,1000,IF(AM$4=0,1000,SQRT((VLOOKUP($G62,Coords[],3,FALSE)-VLOOKUP(AM$5,Coords[],3,FALSE))^2+(VLOOKUP($G62,Coords[],4,FALSE)-VLOOKUP(AM$5,Coords[],4,FALSE))^2)))</f>
        <v>1000</v>
      </c>
      <c r="AN62" s="10">
        <f>IF($G62=AN$5,1000,IF(AN$4=0,1000,SQRT((VLOOKUP($G62,Coords[],3,FALSE)-VLOOKUP(AN$5,Coords[],3,FALSE))^2+(VLOOKUP($G62,Coords[],4,FALSE)-VLOOKUP(AN$5,Coords[],4,FALSE))^2)))</f>
        <v>1000</v>
      </c>
      <c r="AO62" s="10">
        <f>IF($G62=AO$5,1000,IF(AO$4=0,1000,SQRT((VLOOKUP($G62,Coords[],3,FALSE)-VLOOKUP(AO$5,Coords[],3,FALSE))^2+(VLOOKUP($G62,Coords[],4,FALSE)-VLOOKUP(AO$5,Coords[],4,FALSE))^2)))</f>
        <v>1000</v>
      </c>
      <c r="AP62" s="10">
        <f>IF($G62=AP$5,1000,IF(AP$4=0,1000,SQRT((VLOOKUP($G62,Coords[],3,FALSE)-VLOOKUP(AP$5,Coords[],3,FALSE))^2+(VLOOKUP($G62,Coords[],4,FALSE)-VLOOKUP(AP$5,Coords[],4,FALSE))^2)))</f>
        <v>1000</v>
      </c>
      <c r="AQ62" s="10">
        <f>IF($G62=AQ$5,1000,IF(AQ$4=0,1000,SQRT((VLOOKUP($G62,Coords[],3,FALSE)-VLOOKUP(AQ$5,Coords[],3,FALSE))^2+(VLOOKUP($G62,Coords[],4,FALSE)-VLOOKUP(AQ$5,Coords[],4,FALSE))^2)))</f>
        <v>1000</v>
      </c>
      <c r="AR62" s="10">
        <f>IF($G62=AR$5,1000,IF(AR$4=0,1000,SQRT((VLOOKUP($G62,Coords[],3,FALSE)-VLOOKUP(AR$5,Coords[],3,FALSE))^2+(VLOOKUP($G62,Coords[],4,FALSE)-VLOOKUP(AR$5,Coords[],4,FALSE))^2)))</f>
        <v>1000</v>
      </c>
      <c r="AS62" s="10">
        <f>IF($G62=AS$5,1000,IF(AS$4=0,1000,SQRT((VLOOKUP($G62,Coords[],3,FALSE)-VLOOKUP(AS$5,Coords[],3,FALSE))^2+(VLOOKUP($G62,Coords[],4,FALSE)-VLOOKUP(AS$5,Coords[],4,FALSE))^2)))</f>
        <v>1000</v>
      </c>
      <c r="AT62" s="10">
        <f>IF($G62=AT$5,1000,IF(AT$4=0,1000,SQRT((VLOOKUP($G62,Coords[],3,FALSE)-VLOOKUP(AT$5,Coords[],3,FALSE))^2+(VLOOKUP($G62,Coords[],4,FALSE)-VLOOKUP(AT$5,Coords[],4,FALSE))^2)))</f>
        <v>1000</v>
      </c>
      <c r="AU62" s="10">
        <f>IF($G62=AU$5,1000,IF(AU$4=0,1000,SQRT((VLOOKUP($G62,Coords[],3,FALSE)-VLOOKUP(AU$5,Coords[],3,FALSE))^2+(VLOOKUP($G62,Coords[],4,FALSE)-VLOOKUP(AU$5,Coords[],4,FALSE))^2)))</f>
        <v>1000</v>
      </c>
      <c r="AV62" s="10">
        <f>IF($G62=AV$5,1000,IF(AV$4=0,1000,SQRT((VLOOKUP($G62,Coords[],3,FALSE)-VLOOKUP(AV$5,Coords[],3,FALSE))^2+(VLOOKUP($G62,Coords[],4,FALSE)-VLOOKUP(AV$5,Coords[],4,FALSE))^2)))</f>
        <v>1000</v>
      </c>
      <c r="AW62" s="10">
        <f>IF($G62=AW$5,1000,IF(AW$4=0,1000,SQRT((VLOOKUP($G62,Coords[],3,FALSE)-VLOOKUP(AW$5,Coords[],3,FALSE))^2+(VLOOKUP($G62,Coords[],4,FALSE)-VLOOKUP(AW$5,Coords[],4,FALSE))^2)))</f>
        <v>1000</v>
      </c>
      <c r="AX62" s="10">
        <f>IF($G62=AX$5,1000,IF(AX$4=0,1000,SQRT((VLOOKUP($G62,Coords[],3,FALSE)-VLOOKUP(AX$5,Coords[],3,FALSE))^2+(VLOOKUP($G62,Coords[],4,FALSE)-VLOOKUP(AX$5,Coords[],4,FALSE))^2)))</f>
        <v>1000</v>
      </c>
      <c r="AY62" s="10">
        <f>IF($G62=AY$5,1000,IF(AY$4=0,1000,SQRT((VLOOKUP($G62,Coords[],3,FALSE)-VLOOKUP(AY$5,Coords[],3,FALSE))^2+(VLOOKUP($G62,Coords[],4,FALSE)-VLOOKUP(AY$5,Coords[],4,FALSE))^2)))</f>
        <v>1000</v>
      </c>
      <c r="AZ62" s="10">
        <f>IF($G62=AZ$5,1000,IF(AZ$4=0,1000,SQRT((VLOOKUP($G62,Coords[],3,FALSE)-VLOOKUP(AZ$5,Coords[],3,FALSE))^2+(VLOOKUP($G62,Coords[],4,FALSE)-VLOOKUP(AZ$5,Coords[],4,FALSE))^2)))</f>
        <v>1000</v>
      </c>
      <c r="BA62" s="10">
        <f>IF($G62=BA$5,1000,IF(BA$4=0,1000,SQRT((VLOOKUP($G62,Coords[],3,FALSE)-VLOOKUP(BA$5,Coords[],3,FALSE))^2+(VLOOKUP($G62,Coords[],4,FALSE)-VLOOKUP(BA$5,Coords[],4,FALSE))^2)))</f>
        <v>1000</v>
      </c>
      <c r="BB62" s="10">
        <f>IF($G62=BB$5,1000,IF(BB$4=0,1000,SQRT((VLOOKUP($G62,Coords[],3,FALSE)-VLOOKUP(BB$5,Coords[],3,FALSE))^2+(VLOOKUP($G62,Coords[],4,FALSE)-VLOOKUP(BB$5,Coords[],4,FALSE))^2)))</f>
        <v>1000</v>
      </c>
      <c r="BC62" s="10">
        <f>IF($G62=BC$5,1000,IF(BC$4=0,1000,SQRT((VLOOKUP($G62,Coords[],3,FALSE)-VLOOKUP(BC$5,Coords[],3,FALSE))^2+(VLOOKUP($G62,Coords[],4,FALSE)-VLOOKUP(BC$5,Coords[],4,FALSE))^2)))</f>
        <v>1000</v>
      </c>
      <c r="BD62" s="10">
        <f>IF($G62=BD$5,1000,IF(BD$4=0,1000,SQRT((VLOOKUP($G62,Coords[],3,FALSE)-VLOOKUP(BD$5,Coords[],3,FALSE))^2+(VLOOKUP($G62,Coords[],4,FALSE)-VLOOKUP(BD$5,Coords[],4,FALSE))^2)))</f>
        <v>1000</v>
      </c>
      <c r="BE62" s="10">
        <f>IF($G62=BE$5,1000,IF(BE$4=0,1000,SQRT((VLOOKUP($G62,Coords[],3,FALSE)-VLOOKUP(BE$5,Coords[],3,FALSE))^2+(VLOOKUP($G62,Coords[],4,FALSE)-VLOOKUP(BE$5,Coords[],4,FALSE))^2)))</f>
        <v>1000</v>
      </c>
      <c r="BF62" s="10">
        <f>IF($G62=BF$5,1000,IF(BF$4=0,1000,SQRT((VLOOKUP($G62,Coords[],3,FALSE)-VLOOKUP(BF$5,Coords[],3,FALSE))^2+(VLOOKUP($G62,Coords[],4,FALSE)-VLOOKUP(BF$5,Coords[],4,FALSE))^2)))</f>
        <v>1000</v>
      </c>
      <c r="BG62" s="10">
        <f>IF($G62=BG$5,1000,IF(BG$4=0,1000,SQRT((VLOOKUP($G62,Coords[],3,FALSE)-VLOOKUP(BG$5,Coords[],3,FALSE))^2+(VLOOKUP($G62,Coords[],4,FALSE)-VLOOKUP(BG$5,Coords[],4,FALSE))^2)))</f>
        <v>1000</v>
      </c>
      <c r="BH62" s="10">
        <f>IF($G62=BH$5,1000,IF(BH$4=0,1000,SQRT((VLOOKUP($G62,Coords[],3,FALSE)-VLOOKUP(BH$5,Coords[],3,FALSE))^2+(VLOOKUP($G62,Coords[],4,FALSE)-VLOOKUP(BH$5,Coords[],4,FALSE))^2)))</f>
        <v>1000</v>
      </c>
      <c r="BI62" s="10">
        <f>IF($G62=BI$5,1000,IF(BI$4=0,1000,SQRT((VLOOKUP($G62,Coords[],3,FALSE)-VLOOKUP(BI$5,Coords[],3,FALSE))^2+(VLOOKUP($G62,Coords[],4,FALSE)-VLOOKUP(BI$5,Coords[],4,FALSE))^2)))</f>
        <v>1000</v>
      </c>
      <c r="BJ62" s="10">
        <f>IF($G62=BJ$5,1000,IF(BJ$4=0,1000,SQRT((VLOOKUP($G62,Coords[],3,FALSE)-VLOOKUP(BJ$5,Coords[],3,FALSE))^2+(VLOOKUP($G62,Coords[],4,FALSE)-VLOOKUP(BJ$5,Coords[],4,FALSE))^2)))</f>
        <v>1000</v>
      </c>
      <c r="BK62" s="10">
        <f>IF($G62=BK$5,1000,IF(BK$4=0,1000,SQRT((VLOOKUP($G62,Coords[],3,FALSE)-VLOOKUP(BK$5,Coords[],3,FALSE))^2+(VLOOKUP($G62,Coords[],4,FALSE)-VLOOKUP(BK$5,Coords[],4,FALSE))^2)))</f>
        <v>1000</v>
      </c>
      <c r="BL62" s="10">
        <f>IF($G62=BL$5,1000,IF(BL$4=0,1000,SQRT((VLOOKUP($G62,Coords[],3,FALSE)-VLOOKUP(BL$5,Coords[],3,FALSE))^2+(VLOOKUP($G62,Coords[],4,FALSE)-VLOOKUP(BL$5,Coords[],4,FALSE))^2)))</f>
        <v>1000</v>
      </c>
      <c r="BM62" s="10">
        <f>IF($G62=BM$5,1000,IF(BM$4=0,1000,SQRT((VLOOKUP($G62,Coords[],3,FALSE)-VLOOKUP(BM$5,Coords[],3,FALSE))^2+(VLOOKUP($G62,Coords[],4,FALSE)-VLOOKUP(BM$5,Coords[],4,FALSE))^2)))</f>
        <v>1000</v>
      </c>
      <c r="BN62" s="10">
        <f>IF($G62=BN$5,1000,IF(BN$4=0,1000,SQRT((VLOOKUP($G62,Coords[],3,FALSE)-VLOOKUP(BN$5,Coords[],3,FALSE))^2+(VLOOKUP($G62,Coords[],4,FALSE)-VLOOKUP(BN$5,Coords[],4,FALSE))^2)))</f>
        <v>1000</v>
      </c>
      <c r="BO62" s="10">
        <f>IF($G62=BO$5,1000,IF(BO$4=0,1000,SQRT((VLOOKUP($G62,Coords[],3,FALSE)-VLOOKUP(BO$5,Coords[],3,FALSE))^2+(VLOOKUP($G62,Coords[],4,FALSE)-VLOOKUP(BO$5,Coords[],4,FALSE))^2)))</f>
        <v>1000</v>
      </c>
      <c r="BP62" s="10">
        <f>IF($G62=BP$5,1000,IF(BP$4=0,1000,SQRT((VLOOKUP($G62,Coords[],3,FALSE)-VLOOKUP(BP$5,Coords[],3,FALSE))^2+(VLOOKUP($G62,Coords[],4,FALSE)-VLOOKUP(BP$5,Coords[],4,FALSE))^2)))</f>
        <v>1000</v>
      </c>
      <c r="BQ62" s="10">
        <f>IF($G62=BQ$5,1000,IF(BQ$4=0,1000,SQRT((VLOOKUP($G62,Coords[],3,FALSE)-VLOOKUP(BQ$5,Coords[],3,FALSE))^2+(VLOOKUP($G62,Coords[],4,FALSE)-VLOOKUP(BQ$5,Coords[],4,FALSE))^2)))</f>
        <v>1000</v>
      </c>
      <c r="BR62" s="10">
        <f>IF($G62=BR$5,1000,IF(BR$4=0,1000,SQRT((VLOOKUP($G62,Coords[],3,FALSE)-VLOOKUP(BR$5,Coords[],3,FALSE))^2+(VLOOKUP($G62,Coords[],4,FALSE)-VLOOKUP(BR$5,Coords[],4,FALSE))^2)))</f>
        <v>1000</v>
      </c>
      <c r="BS62" s="10">
        <f>IF($G62=BS$5,1000,IF(BS$4=0,1000,SQRT((VLOOKUP($G62,Coords[],3,FALSE)-VLOOKUP(BS$5,Coords[],3,FALSE))^2+(VLOOKUP($G62,Coords[],4,FALSE)-VLOOKUP(BS$5,Coords[],4,FALSE))^2)))</f>
        <v>1000</v>
      </c>
      <c r="BT62" s="10">
        <f>IF($G62=BT$5,1000,IF(BT$4=0,1000,SQRT((VLOOKUP($G62,Coords[],3,FALSE)-VLOOKUP(BT$5,Coords[],3,FALSE))^2+(VLOOKUP($G62,Coords[],4,FALSE)-VLOOKUP(BT$5,Coords[],4,FALSE))^2)))</f>
        <v>1000</v>
      </c>
      <c r="BU62" s="10">
        <f>IF($G62=BU$5,1000,IF(BU$4=0,1000,SQRT((VLOOKUP($G62,Coords[],3,FALSE)-VLOOKUP(BU$5,Coords[],3,FALSE))^2+(VLOOKUP($G62,Coords[],4,FALSE)-VLOOKUP(BU$5,Coords[],4,FALSE))^2)))</f>
        <v>1000</v>
      </c>
      <c r="BV62" s="10">
        <f>IF($G62=BV$5,1000,IF(BV$4=0,1000,SQRT((VLOOKUP($G62,Coords[],3,FALSE)-VLOOKUP(BV$5,Coords[],3,FALSE))^2+(VLOOKUP($G62,Coords[],4,FALSE)-VLOOKUP(BV$5,Coords[],4,FALSE))^2)))</f>
        <v>1000</v>
      </c>
      <c r="BW62" s="10">
        <f>IF($G62=BW$5,1000,IF(BW$4=0,1000,SQRT((VLOOKUP($G62,Coords[],3,FALSE)-VLOOKUP(BW$5,Coords[],3,FALSE))^2+(VLOOKUP($G62,Coords[],4,FALSE)-VLOOKUP(BW$5,Coords[],4,FALSE))^2)))</f>
        <v>1000</v>
      </c>
      <c r="BX62" s="10">
        <f>IF($G62=BX$5,1000,IF(BX$4=0,1000,SQRT((VLOOKUP($G62,Coords[],3,FALSE)-VLOOKUP(BX$5,Coords[],3,FALSE))^2+(VLOOKUP($G62,Coords[],4,FALSE)-VLOOKUP(BX$5,Coords[],4,FALSE))^2)))</f>
        <v>1000</v>
      </c>
      <c r="BY62" s="10">
        <f>IF($G62=BY$5,1000,IF(BY$4=0,1000,SQRT((VLOOKUP($G62,Coords[],3,FALSE)-VLOOKUP(BY$5,Coords[],3,FALSE))^2+(VLOOKUP($G62,Coords[],4,FALSE)-VLOOKUP(BY$5,Coords[],4,FALSE))^2)))</f>
        <v>1000</v>
      </c>
      <c r="BZ62" s="10">
        <f>IF($G62=BZ$5,1000,IF(BZ$4=0,1000,SQRT((VLOOKUP($G62,Coords[],3,FALSE)-VLOOKUP(BZ$5,Coords[],3,FALSE))^2+(VLOOKUP($G62,Coords[],4,FALSE)-VLOOKUP(BZ$5,Coords[],4,FALSE))^2)))</f>
        <v>1000</v>
      </c>
      <c r="CA62" s="10">
        <f>IF($G62=CA$5,1000,IF(CA$4=0,1000,SQRT((VLOOKUP($G62,Coords[],3,FALSE)-VLOOKUP(CA$5,Coords[],3,FALSE))^2+(VLOOKUP($G62,Coords[],4,FALSE)-VLOOKUP(CA$5,Coords[],4,FALSE))^2)))</f>
        <v>1000</v>
      </c>
      <c r="CB62" s="10">
        <f>IF($G62=CB$5,1000,IF(CB$4=0,1000,SQRT((VLOOKUP($G62,Coords[],3,FALSE)-VLOOKUP(CB$5,Coords[],3,FALSE))^2+(VLOOKUP($G62,Coords[],4,FALSE)-VLOOKUP(CB$5,Coords[],4,FALSE))^2)))</f>
        <v>1000</v>
      </c>
      <c r="CC62" s="10">
        <f>IF($G62=CC$5,1000,IF(CC$4=0,1000,SQRT((VLOOKUP($G62,Coords[],3,FALSE)-VLOOKUP(CC$5,Coords[],3,FALSE))^2+(VLOOKUP($G62,Coords[],4,FALSE)-VLOOKUP(CC$5,Coords[],4,FALSE))^2)))</f>
        <v>1000</v>
      </c>
      <c r="CD62" s="10">
        <f>IF($G62=CD$5,1000,IF(CD$4=0,1000,SQRT((VLOOKUP($G62,Coords[],3,FALSE)-VLOOKUP(CD$5,Coords[],3,FALSE))^2+(VLOOKUP($G62,Coords[],4,FALSE)-VLOOKUP(CD$5,Coords[],4,FALSE))^2)))</f>
        <v>1000</v>
      </c>
      <c r="CE62" s="10">
        <f>IF($G62=CE$5,1000,IF(CE$4=0,1000,SQRT((VLOOKUP($G62,Coords[],3,FALSE)-VLOOKUP(CE$5,Coords[],3,FALSE))^2+(VLOOKUP($G62,Coords[],4,FALSE)-VLOOKUP(CE$5,Coords[],4,FALSE))^2)))</f>
        <v>1000</v>
      </c>
      <c r="CF62" s="4">
        <v>57</v>
      </c>
      <c r="CH62" s="5">
        <f>IF(E62=1,0,VLOOKUP($G62,$G$6:$CE$82,HLOOKUP(MIN(H62:CE62),$H62:$CE$82,((COUNT($G$6:$G$81)+2)-$G62),FALSE)+1,FALSE)*B62)</f>
        <v>0</v>
      </c>
      <c r="CI62" s="9">
        <f>VLOOKUP($G62,$G$6:$CE$82,HLOOKUP(MIN(H62:CE62),$H62:$CE$82,((COUNT($G$6:$G$81)+2)-$G62),FALSE)+1,FALSE)</f>
        <v>1000</v>
      </c>
      <c r="CJ62" s="7">
        <f>HLOOKUP(MIN(H62:CE62),$H62:$CE$82,((COUNT($G$6:$G$81)+2)-$G62),FALSE)</f>
        <v>1</v>
      </c>
      <c r="CK62">
        <f>CI62*Coords[[#This Row],[Demand]]</f>
        <v>0</v>
      </c>
    </row>
    <row r="63" spans="1:89" x14ac:dyDescent="0.25">
      <c r="A63" s="8">
        <v>58</v>
      </c>
      <c r="B63" s="3"/>
      <c r="C63" s="3"/>
      <c r="D63" s="3"/>
      <c r="E63" s="3"/>
      <c r="G63" s="4">
        <v>58</v>
      </c>
      <c r="H63" s="10">
        <f>IF($G63=H$5,1000,IF(H$4=0,1000,SQRT((VLOOKUP($G63,Coords[],3,FALSE)-VLOOKUP(H$5,Coords[],3,FALSE))^2+(VLOOKUP($G63,Coords[],4,FALSE)-VLOOKUP(H$5,Coords[],4,FALSE))^2)))</f>
        <v>1000</v>
      </c>
      <c r="I63" s="10">
        <f>IF($G63=I$5,1000,IF(I$4=0,1000,SQRT((VLOOKUP($G63,Coords[],3,FALSE)-VLOOKUP(I$5,Coords[],3,FALSE))^2+(VLOOKUP($G63,Coords[],4,FALSE)-VLOOKUP(I$5,Coords[],4,FALSE))^2)))</f>
        <v>1000</v>
      </c>
      <c r="J63" s="10">
        <f>IF($G63=J$5,1000,IF(J$4=0,1000,SQRT((VLOOKUP($G63,Coords[],3,FALSE)-VLOOKUP(J$5,Coords[],3,FALSE))^2+(VLOOKUP($G63,Coords[],4,FALSE)-VLOOKUP(J$5,Coords[],4,FALSE))^2)))</f>
        <v>1000</v>
      </c>
      <c r="K63" s="10">
        <f>IF($G63=K$5,1000,IF(K$4=0,1000,SQRT((VLOOKUP($G63,Coords[],3,FALSE)-VLOOKUP(K$5,Coords[],3,FALSE))^2+(VLOOKUP($G63,Coords[],4,FALSE)-VLOOKUP(K$5,Coords[],4,FALSE))^2)))</f>
        <v>1000</v>
      </c>
      <c r="L63" s="10">
        <f>IF($G63=L$5,1000,IF(L$4=0,1000,SQRT((VLOOKUP($G63,Coords[],3,FALSE)-VLOOKUP(L$5,Coords[],3,FALSE))^2+(VLOOKUP($G63,Coords[],4,FALSE)-VLOOKUP(L$5,Coords[],4,FALSE))^2)))</f>
        <v>1000</v>
      </c>
      <c r="M63" s="10">
        <f>IF($G63=M$5,1000,IF(M$4=0,1000,SQRT((VLOOKUP($G63,Coords[],3,FALSE)-VLOOKUP(M$5,Coords[],3,FALSE))^2+(VLOOKUP($G63,Coords[],4,FALSE)-VLOOKUP(M$5,Coords[],4,FALSE))^2)))</f>
        <v>1000</v>
      </c>
      <c r="N63" s="10">
        <f>IF($G63=N$5,1000,IF(N$4=0,1000,SQRT((VLOOKUP($G63,Coords[],3,FALSE)-VLOOKUP(N$5,Coords[],3,FALSE))^2+(VLOOKUP($G63,Coords[],4,FALSE)-VLOOKUP(N$5,Coords[],4,FALSE))^2)))</f>
        <v>1000</v>
      </c>
      <c r="O63" s="10">
        <f>IF($G63=O$5,1000,IF(O$4=0,1000,SQRT((VLOOKUP($G63,Coords[],3,FALSE)-VLOOKUP(O$5,Coords[],3,FALSE))^2+(VLOOKUP($G63,Coords[],4,FALSE)-VLOOKUP(O$5,Coords[],4,FALSE))^2)))</f>
        <v>1000</v>
      </c>
      <c r="P63" s="10">
        <f>IF($G63=P$5,1000,IF(P$4=0,1000,SQRT((VLOOKUP($G63,Coords[],3,FALSE)-VLOOKUP(P$5,Coords[],3,FALSE))^2+(VLOOKUP($G63,Coords[],4,FALSE)-VLOOKUP(P$5,Coords[],4,FALSE))^2)))</f>
        <v>1000</v>
      </c>
      <c r="Q63" s="10">
        <f>IF($G63=Q$5,1000,IF(Q$4=0,1000,SQRT((VLOOKUP($G63,Coords[],3,FALSE)-VLOOKUP(Q$5,Coords[],3,FALSE))^2+(VLOOKUP($G63,Coords[],4,FALSE)-VLOOKUP(Q$5,Coords[],4,FALSE))^2)))</f>
        <v>1000</v>
      </c>
      <c r="R63" s="10">
        <f>IF($G63=R$5,1000,IF(R$4=0,1000,SQRT((VLOOKUP($G63,Coords[],3,FALSE)-VLOOKUP(R$5,Coords[],3,FALSE))^2+(VLOOKUP($G63,Coords[],4,FALSE)-VLOOKUP(R$5,Coords[],4,FALSE))^2)))</f>
        <v>1000</v>
      </c>
      <c r="S63" s="10">
        <f>IF($G63=S$5,1000,IF(S$4=0,1000,SQRT((VLOOKUP($G63,Coords[],3,FALSE)-VLOOKUP(S$5,Coords[],3,FALSE))^2+(VLOOKUP($G63,Coords[],4,FALSE)-VLOOKUP(S$5,Coords[],4,FALSE))^2)))</f>
        <v>1000</v>
      </c>
      <c r="T63" s="10">
        <f>IF($G63=T$5,1000,IF(T$4=0,1000,SQRT((VLOOKUP($G63,Coords[],3,FALSE)-VLOOKUP(T$5,Coords[],3,FALSE))^2+(VLOOKUP($G63,Coords[],4,FALSE)-VLOOKUP(T$5,Coords[],4,FALSE))^2)))</f>
        <v>1000</v>
      </c>
      <c r="U63" s="10">
        <f>IF($G63=U$5,1000,IF(U$4=0,1000,SQRT((VLOOKUP($G63,Coords[],3,FALSE)-VLOOKUP(U$5,Coords[],3,FALSE))^2+(VLOOKUP($G63,Coords[],4,FALSE)-VLOOKUP(U$5,Coords[],4,FALSE))^2)))</f>
        <v>1000</v>
      </c>
      <c r="V63" s="10">
        <f>IF($G63=V$5,1000,IF(V$4=0,1000,SQRT((VLOOKUP($G63,Coords[],3,FALSE)-VLOOKUP(V$5,Coords[],3,FALSE))^2+(VLOOKUP($G63,Coords[],4,FALSE)-VLOOKUP(V$5,Coords[],4,FALSE))^2)))</f>
        <v>1000</v>
      </c>
      <c r="W63" s="10">
        <f>IF($G63=W$5,1000,IF(W$4=0,1000,SQRT((VLOOKUP($G63,Coords[],3,FALSE)-VLOOKUP(W$5,Coords[],3,FALSE))^2+(VLOOKUP($G63,Coords[],4,FALSE)-VLOOKUP(W$5,Coords[],4,FALSE))^2)))</f>
        <v>1000</v>
      </c>
      <c r="X63" s="10">
        <f>IF($G63=X$5,1000,IF(X$4=0,1000,SQRT((VLOOKUP($G63,Coords[],3,FALSE)-VLOOKUP(X$5,Coords[],3,FALSE))^2+(VLOOKUP($G63,Coords[],4,FALSE)-VLOOKUP(X$5,Coords[],4,FALSE))^2)))</f>
        <v>1000</v>
      </c>
      <c r="Y63" s="10">
        <f>IF($G63=Y$5,1000,IF(Y$4=0,1000,SQRT((VLOOKUP($G63,Coords[],3,FALSE)-VLOOKUP(Y$5,Coords[],3,FALSE))^2+(VLOOKUP($G63,Coords[],4,FALSE)-VLOOKUP(Y$5,Coords[],4,FALSE))^2)))</f>
        <v>1000</v>
      </c>
      <c r="Z63" s="10">
        <f>IF($G63=Z$5,1000,IF(Z$4=0,1000,SQRT((VLOOKUP($G63,Coords[],3,FALSE)-VLOOKUP(Z$5,Coords[],3,FALSE))^2+(VLOOKUP($G63,Coords[],4,FALSE)-VLOOKUP(Z$5,Coords[],4,FALSE))^2)))</f>
        <v>1000</v>
      </c>
      <c r="AA63" s="10">
        <f>IF($G63=AA$5,1000,IF(AA$4=0,1000,SQRT((VLOOKUP($G63,Coords[],3,FALSE)-VLOOKUP(AA$5,Coords[],3,FALSE))^2+(VLOOKUP($G63,Coords[],4,FALSE)-VLOOKUP(AA$5,Coords[],4,FALSE))^2)))</f>
        <v>1000</v>
      </c>
      <c r="AB63" s="10">
        <f>IF($G63=AB$5,1000,IF(AB$4=0,1000,SQRT((VLOOKUP($G63,Coords[],3,FALSE)-VLOOKUP(AB$5,Coords[],3,FALSE))^2+(VLOOKUP($G63,Coords[],4,FALSE)-VLOOKUP(AB$5,Coords[],4,FALSE))^2)))</f>
        <v>1000</v>
      </c>
      <c r="AC63" s="10">
        <f>IF($G63=AC$5,1000,IF(AC$4=0,1000,SQRT((VLOOKUP($G63,Coords[],3,FALSE)-VLOOKUP(AC$5,Coords[],3,FALSE))^2+(VLOOKUP($G63,Coords[],4,FALSE)-VLOOKUP(AC$5,Coords[],4,FALSE))^2)))</f>
        <v>1000</v>
      </c>
      <c r="AD63" s="10">
        <f>IF($G63=AD$5,1000,IF(AD$4=0,1000,SQRT((VLOOKUP($G63,Coords[],3,FALSE)-VLOOKUP(AD$5,Coords[],3,FALSE))^2+(VLOOKUP($G63,Coords[],4,FALSE)-VLOOKUP(AD$5,Coords[],4,FALSE))^2)))</f>
        <v>1000</v>
      </c>
      <c r="AE63" s="10">
        <f>IF($G63=AE$5,1000,IF(AE$4=0,1000,SQRT((VLOOKUP($G63,Coords[],3,FALSE)-VLOOKUP(AE$5,Coords[],3,FALSE))^2+(VLOOKUP($G63,Coords[],4,FALSE)-VLOOKUP(AE$5,Coords[],4,FALSE))^2)))</f>
        <v>1000</v>
      </c>
      <c r="AF63" s="10">
        <f>IF($G63=AF$5,1000,IF(AF$4=0,1000,SQRT((VLOOKUP($G63,Coords[],3,FALSE)-VLOOKUP(AF$5,Coords[],3,FALSE))^2+(VLOOKUP($G63,Coords[],4,FALSE)-VLOOKUP(AF$5,Coords[],4,FALSE))^2)))</f>
        <v>1000</v>
      </c>
      <c r="AG63" s="10">
        <f>IF($G63=AG$5,1000,IF(AG$4=0,1000,SQRT((VLOOKUP($G63,Coords[],3,FALSE)-VLOOKUP(AG$5,Coords[],3,FALSE))^2+(VLOOKUP($G63,Coords[],4,FALSE)-VLOOKUP(AG$5,Coords[],4,FALSE))^2)))</f>
        <v>1000</v>
      </c>
      <c r="AH63" s="10">
        <f>IF($G63=AH$5,1000,IF(AH$4=0,1000,SQRT((VLOOKUP($G63,Coords[],3,FALSE)-VLOOKUP(AH$5,Coords[],3,FALSE))^2+(VLOOKUP($G63,Coords[],4,FALSE)-VLOOKUP(AH$5,Coords[],4,FALSE))^2)))</f>
        <v>1000</v>
      </c>
      <c r="AI63" s="10">
        <f>IF($G63=AI$5,1000,IF(AI$4=0,1000,SQRT((VLOOKUP($G63,Coords[],3,FALSE)-VLOOKUP(AI$5,Coords[],3,FALSE))^2+(VLOOKUP($G63,Coords[],4,FALSE)-VLOOKUP(AI$5,Coords[],4,FALSE))^2)))</f>
        <v>1000</v>
      </c>
      <c r="AJ63" s="10">
        <f>IF($G63=AJ$5,1000,IF(AJ$4=0,1000,SQRT((VLOOKUP($G63,Coords[],3,FALSE)-VLOOKUP(AJ$5,Coords[],3,FALSE))^2+(VLOOKUP($G63,Coords[],4,FALSE)-VLOOKUP(AJ$5,Coords[],4,FALSE))^2)))</f>
        <v>1000</v>
      </c>
      <c r="AK63" s="10">
        <f>IF($G63=AK$5,1000,IF(AK$4=0,1000,SQRT((VLOOKUP($G63,Coords[],3,FALSE)-VLOOKUP(AK$5,Coords[],3,FALSE))^2+(VLOOKUP($G63,Coords[],4,FALSE)-VLOOKUP(AK$5,Coords[],4,FALSE))^2)))</f>
        <v>1000</v>
      </c>
      <c r="AL63" s="10">
        <f>IF($G63=AL$5,1000,IF(AL$4=0,1000,SQRT((VLOOKUP($G63,Coords[],3,FALSE)-VLOOKUP(AL$5,Coords[],3,FALSE))^2+(VLOOKUP($G63,Coords[],4,FALSE)-VLOOKUP(AL$5,Coords[],4,FALSE))^2)))</f>
        <v>1000</v>
      </c>
      <c r="AM63" s="10">
        <f>IF($G63=AM$5,1000,IF(AM$4=0,1000,SQRT((VLOOKUP($G63,Coords[],3,FALSE)-VLOOKUP(AM$5,Coords[],3,FALSE))^2+(VLOOKUP($G63,Coords[],4,FALSE)-VLOOKUP(AM$5,Coords[],4,FALSE))^2)))</f>
        <v>1000</v>
      </c>
      <c r="AN63" s="10">
        <f>IF($G63=AN$5,1000,IF(AN$4=0,1000,SQRT((VLOOKUP($G63,Coords[],3,FALSE)-VLOOKUP(AN$5,Coords[],3,FALSE))^2+(VLOOKUP($G63,Coords[],4,FALSE)-VLOOKUP(AN$5,Coords[],4,FALSE))^2)))</f>
        <v>1000</v>
      </c>
      <c r="AO63" s="10">
        <f>IF($G63=AO$5,1000,IF(AO$4=0,1000,SQRT((VLOOKUP($G63,Coords[],3,FALSE)-VLOOKUP(AO$5,Coords[],3,FALSE))^2+(VLOOKUP($G63,Coords[],4,FALSE)-VLOOKUP(AO$5,Coords[],4,FALSE))^2)))</f>
        <v>1000</v>
      </c>
      <c r="AP63" s="10">
        <f>IF($G63=AP$5,1000,IF(AP$4=0,1000,SQRT((VLOOKUP($G63,Coords[],3,FALSE)-VLOOKUP(AP$5,Coords[],3,FALSE))^2+(VLOOKUP($G63,Coords[],4,FALSE)-VLOOKUP(AP$5,Coords[],4,FALSE))^2)))</f>
        <v>1000</v>
      </c>
      <c r="AQ63" s="10">
        <f>IF($G63=AQ$5,1000,IF(AQ$4=0,1000,SQRT((VLOOKUP($G63,Coords[],3,FALSE)-VLOOKUP(AQ$5,Coords[],3,FALSE))^2+(VLOOKUP($G63,Coords[],4,FALSE)-VLOOKUP(AQ$5,Coords[],4,FALSE))^2)))</f>
        <v>1000</v>
      </c>
      <c r="AR63" s="10">
        <f>IF($G63=AR$5,1000,IF(AR$4=0,1000,SQRT((VLOOKUP($G63,Coords[],3,FALSE)-VLOOKUP(AR$5,Coords[],3,FALSE))^2+(VLOOKUP($G63,Coords[],4,FALSE)-VLOOKUP(AR$5,Coords[],4,FALSE))^2)))</f>
        <v>1000</v>
      </c>
      <c r="AS63" s="10">
        <f>IF($G63=AS$5,1000,IF(AS$4=0,1000,SQRT((VLOOKUP($G63,Coords[],3,FALSE)-VLOOKUP(AS$5,Coords[],3,FALSE))^2+(VLOOKUP($G63,Coords[],4,FALSE)-VLOOKUP(AS$5,Coords[],4,FALSE))^2)))</f>
        <v>1000</v>
      </c>
      <c r="AT63" s="10">
        <f>IF($G63=AT$5,1000,IF(AT$4=0,1000,SQRT((VLOOKUP($G63,Coords[],3,FALSE)-VLOOKUP(AT$5,Coords[],3,FALSE))^2+(VLOOKUP($G63,Coords[],4,FALSE)-VLOOKUP(AT$5,Coords[],4,FALSE))^2)))</f>
        <v>1000</v>
      </c>
      <c r="AU63" s="10">
        <f>IF($G63=AU$5,1000,IF(AU$4=0,1000,SQRT((VLOOKUP($G63,Coords[],3,FALSE)-VLOOKUP(AU$5,Coords[],3,FALSE))^2+(VLOOKUP($G63,Coords[],4,FALSE)-VLOOKUP(AU$5,Coords[],4,FALSE))^2)))</f>
        <v>1000</v>
      </c>
      <c r="AV63" s="10">
        <f>IF($G63=AV$5,1000,IF(AV$4=0,1000,SQRT((VLOOKUP($G63,Coords[],3,FALSE)-VLOOKUP(AV$5,Coords[],3,FALSE))^2+(VLOOKUP($G63,Coords[],4,FALSE)-VLOOKUP(AV$5,Coords[],4,FALSE))^2)))</f>
        <v>1000</v>
      </c>
      <c r="AW63" s="10">
        <f>IF($G63=AW$5,1000,IF(AW$4=0,1000,SQRT((VLOOKUP($G63,Coords[],3,FALSE)-VLOOKUP(AW$5,Coords[],3,FALSE))^2+(VLOOKUP($G63,Coords[],4,FALSE)-VLOOKUP(AW$5,Coords[],4,FALSE))^2)))</f>
        <v>1000</v>
      </c>
      <c r="AX63" s="10">
        <f>IF($G63=AX$5,1000,IF(AX$4=0,1000,SQRT((VLOOKUP($G63,Coords[],3,FALSE)-VLOOKUP(AX$5,Coords[],3,FALSE))^2+(VLOOKUP($G63,Coords[],4,FALSE)-VLOOKUP(AX$5,Coords[],4,FALSE))^2)))</f>
        <v>1000</v>
      </c>
      <c r="AY63" s="10">
        <f>IF($G63=AY$5,1000,IF(AY$4=0,1000,SQRT((VLOOKUP($G63,Coords[],3,FALSE)-VLOOKUP(AY$5,Coords[],3,FALSE))^2+(VLOOKUP($G63,Coords[],4,FALSE)-VLOOKUP(AY$5,Coords[],4,FALSE))^2)))</f>
        <v>1000</v>
      </c>
      <c r="AZ63" s="10">
        <f>IF($G63=AZ$5,1000,IF(AZ$4=0,1000,SQRT((VLOOKUP($G63,Coords[],3,FALSE)-VLOOKUP(AZ$5,Coords[],3,FALSE))^2+(VLOOKUP($G63,Coords[],4,FALSE)-VLOOKUP(AZ$5,Coords[],4,FALSE))^2)))</f>
        <v>1000</v>
      </c>
      <c r="BA63" s="10">
        <f>IF($G63=BA$5,1000,IF(BA$4=0,1000,SQRT((VLOOKUP($G63,Coords[],3,FALSE)-VLOOKUP(BA$5,Coords[],3,FALSE))^2+(VLOOKUP($G63,Coords[],4,FALSE)-VLOOKUP(BA$5,Coords[],4,FALSE))^2)))</f>
        <v>1000</v>
      </c>
      <c r="BB63" s="10">
        <f>IF($G63=BB$5,1000,IF(BB$4=0,1000,SQRT((VLOOKUP($G63,Coords[],3,FALSE)-VLOOKUP(BB$5,Coords[],3,FALSE))^2+(VLOOKUP($G63,Coords[],4,FALSE)-VLOOKUP(BB$5,Coords[],4,FALSE))^2)))</f>
        <v>1000</v>
      </c>
      <c r="BC63" s="10">
        <f>IF($G63=BC$5,1000,IF(BC$4=0,1000,SQRT((VLOOKUP($G63,Coords[],3,FALSE)-VLOOKUP(BC$5,Coords[],3,FALSE))^2+(VLOOKUP($G63,Coords[],4,FALSE)-VLOOKUP(BC$5,Coords[],4,FALSE))^2)))</f>
        <v>1000</v>
      </c>
      <c r="BD63" s="10">
        <f>IF($G63=BD$5,1000,IF(BD$4=0,1000,SQRT((VLOOKUP($G63,Coords[],3,FALSE)-VLOOKUP(BD$5,Coords[],3,FALSE))^2+(VLOOKUP($G63,Coords[],4,FALSE)-VLOOKUP(BD$5,Coords[],4,FALSE))^2)))</f>
        <v>1000</v>
      </c>
      <c r="BE63" s="10">
        <f>IF($G63=BE$5,1000,IF(BE$4=0,1000,SQRT((VLOOKUP($G63,Coords[],3,FALSE)-VLOOKUP(BE$5,Coords[],3,FALSE))^2+(VLOOKUP($G63,Coords[],4,FALSE)-VLOOKUP(BE$5,Coords[],4,FALSE))^2)))</f>
        <v>1000</v>
      </c>
      <c r="BF63" s="10">
        <f>IF($G63=BF$5,1000,IF(BF$4=0,1000,SQRT((VLOOKUP($G63,Coords[],3,FALSE)-VLOOKUP(BF$5,Coords[],3,FALSE))^2+(VLOOKUP($G63,Coords[],4,FALSE)-VLOOKUP(BF$5,Coords[],4,FALSE))^2)))</f>
        <v>1000</v>
      </c>
      <c r="BG63" s="10">
        <f>IF($G63=BG$5,1000,IF(BG$4=0,1000,SQRT((VLOOKUP($G63,Coords[],3,FALSE)-VLOOKUP(BG$5,Coords[],3,FALSE))^2+(VLOOKUP($G63,Coords[],4,FALSE)-VLOOKUP(BG$5,Coords[],4,FALSE))^2)))</f>
        <v>1000</v>
      </c>
      <c r="BH63" s="10">
        <f>IF($G63=BH$5,1000,IF(BH$4=0,1000,SQRT((VLOOKUP($G63,Coords[],3,FALSE)-VLOOKUP(BH$5,Coords[],3,FALSE))^2+(VLOOKUP($G63,Coords[],4,FALSE)-VLOOKUP(BH$5,Coords[],4,FALSE))^2)))</f>
        <v>1000</v>
      </c>
      <c r="BI63" s="10">
        <f>IF($G63=BI$5,1000,IF(BI$4=0,1000,SQRT((VLOOKUP($G63,Coords[],3,FALSE)-VLOOKUP(BI$5,Coords[],3,FALSE))^2+(VLOOKUP($G63,Coords[],4,FALSE)-VLOOKUP(BI$5,Coords[],4,FALSE))^2)))</f>
        <v>1000</v>
      </c>
      <c r="BJ63" s="10">
        <f>IF($G63=BJ$5,1000,IF(BJ$4=0,1000,SQRT((VLOOKUP($G63,Coords[],3,FALSE)-VLOOKUP(BJ$5,Coords[],3,FALSE))^2+(VLOOKUP($G63,Coords[],4,FALSE)-VLOOKUP(BJ$5,Coords[],4,FALSE))^2)))</f>
        <v>1000</v>
      </c>
      <c r="BK63" s="10">
        <f>IF($G63=BK$5,1000,IF(BK$4=0,1000,SQRT((VLOOKUP($G63,Coords[],3,FALSE)-VLOOKUP(BK$5,Coords[],3,FALSE))^2+(VLOOKUP($G63,Coords[],4,FALSE)-VLOOKUP(BK$5,Coords[],4,FALSE))^2)))</f>
        <v>1000</v>
      </c>
      <c r="BL63" s="10">
        <f>IF($G63=BL$5,1000,IF(BL$4=0,1000,SQRT((VLOOKUP($G63,Coords[],3,FALSE)-VLOOKUP(BL$5,Coords[],3,FALSE))^2+(VLOOKUP($G63,Coords[],4,FALSE)-VLOOKUP(BL$5,Coords[],4,FALSE))^2)))</f>
        <v>1000</v>
      </c>
      <c r="BM63" s="10">
        <f>IF($G63=BM$5,1000,IF(BM$4=0,1000,SQRT((VLOOKUP($G63,Coords[],3,FALSE)-VLOOKUP(BM$5,Coords[],3,FALSE))^2+(VLOOKUP($G63,Coords[],4,FALSE)-VLOOKUP(BM$5,Coords[],4,FALSE))^2)))</f>
        <v>1000</v>
      </c>
      <c r="BN63" s="10">
        <f>IF($G63=BN$5,1000,IF(BN$4=0,1000,SQRT((VLOOKUP($G63,Coords[],3,FALSE)-VLOOKUP(BN$5,Coords[],3,FALSE))^2+(VLOOKUP($G63,Coords[],4,FALSE)-VLOOKUP(BN$5,Coords[],4,FALSE))^2)))</f>
        <v>1000</v>
      </c>
      <c r="BO63" s="10">
        <f>IF($G63=BO$5,1000,IF(BO$4=0,1000,SQRT((VLOOKUP($G63,Coords[],3,FALSE)-VLOOKUP(BO$5,Coords[],3,FALSE))^2+(VLOOKUP($G63,Coords[],4,FALSE)-VLOOKUP(BO$5,Coords[],4,FALSE))^2)))</f>
        <v>1000</v>
      </c>
      <c r="BP63" s="10">
        <f>IF($G63=BP$5,1000,IF(BP$4=0,1000,SQRT((VLOOKUP($G63,Coords[],3,FALSE)-VLOOKUP(BP$5,Coords[],3,FALSE))^2+(VLOOKUP($G63,Coords[],4,FALSE)-VLOOKUP(BP$5,Coords[],4,FALSE))^2)))</f>
        <v>1000</v>
      </c>
      <c r="BQ63" s="10">
        <f>IF($G63=BQ$5,1000,IF(BQ$4=0,1000,SQRT((VLOOKUP($G63,Coords[],3,FALSE)-VLOOKUP(BQ$5,Coords[],3,FALSE))^2+(VLOOKUP($G63,Coords[],4,FALSE)-VLOOKUP(BQ$5,Coords[],4,FALSE))^2)))</f>
        <v>1000</v>
      </c>
      <c r="BR63" s="10">
        <f>IF($G63=BR$5,1000,IF(BR$4=0,1000,SQRT((VLOOKUP($G63,Coords[],3,FALSE)-VLOOKUP(BR$5,Coords[],3,FALSE))^2+(VLOOKUP($G63,Coords[],4,FALSE)-VLOOKUP(BR$5,Coords[],4,FALSE))^2)))</f>
        <v>1000</v>
      </c>
      <c r="BS63" s="10">
        <f>IF($G63=BS$5,1000,IF(BS$4=0,1000,SQRT((VLOOKUP($G63,Coords[],3,FALSE)-VLOOKUP(BS$5,Coords[],3,FALSE))^2+(VLOOKUP($G63,Coords[],4,FALSE)-VLOOKUP(BS$5,Coords[],4,FALSE))^2)))</f>
        <v>1000</v>
      </c>
      <c r="BT63" s="10">
        <f>IF($G63=BT$5,1000,IF(BT$4=0,1000,SQRT((VLOOKUP($G63,Coords[],3,FALSE)-VLOOKUP(BT$5,Coords[],3,FALSE))^2+(VLOOKUP($G63,Coords[],4,FALSE)-VLOOKUP(BT$5,Coords[],4,FALSE))^2)))</f>
        <v>1000</v>
      </c>
      <c r="BU63" s="10">
        <f>IF($G63=BU$5,1000,IF(BU$4=0,1000,SQRT((VLOOKUP($G63,Coords[],3,FALSE)-VLOOKUP(BU$5,Coords[],3,FALSE))^2+(VLOOKUP($G63,Coords[],4,FALSE)-VLOOKUP(BU$5,Coords[],4,FALSE))^2)))</f>
        <v>1000</v>
      </c>
      <c r="BV63" s="10">
        <f>IF($G63=BV$5,1000,IF(BV$4=0,1000,SQRT((VLOOKUP($G63,Coords[],3,FALSE)-VLOOKUP(BV$5,Coords[],3,FALSE))^2+(VLOOKUP($G63,Coords[],4,FALSE)-VLOOKUP(BV$5,Coords[],4,FALSE))^2)))</f>
        <v>1000</v>
      </c>
      <c r="BW63" s="10">
        <f>IF($G63=BW$5,1000,IF(BW$4=0,1000,SQRT((VLOOKUP($G63,Coords[],3,FALSE)-VLOOKUP(BW$5,Coords[],3,FALSE))^2+(VLOOKUP($G63,Coords[],4,FALSE)-VLOOKUP(BW$5,Coords[],4,FALSE))^2)))</f>
        <v>1000</v>
      </c>
      <c r="BX63" s="10">
        <f>IF($G63=BX$5,1000,IF(BX$4=0,1000,SQRT((VLOOKUP($G63,Coords[],3,FALSE)-VLOOKUP(BX$5,Coords[],3,FALSE))^2+(VLOOKUP($G63,Coords[],4,FALSE)-VLOOKUP(BX$5,Coords[],4,FALSE))^2)))</f>
        <v>1000</v>
      </c>
      <c r="BY63" s="10">
        <f>IF($G63=BY$5,1000,IF(BY$4=0,1000,SQRT((VLOOKUP($G63,Coords[],3,FALSE)-VLOOKUP(BY$5,Coords[],3,FALSE))^2+(VLOOKUP($G63,Coords[],4,FALSE)-VLOOKUP(BY$5,Coords[],4,FALSE))^2)))</f>
        <v>1000</v>
      </c>
      <c r="BZ63" s="10">
        <f>IF($G63=BZ$5,1000,IF(BZ$4=0,1000,SQRT((VLOOKUP($G63,Coords[],3,FALSE)-VLOOKUP(BZ$5,Coords[],3,FALSE))^2+(VLOOKUP($G63,Coords[],4,FALSE)-VLOOKUP(BZ$5,Coords[],4,FALSE))^2)))</f>
        <v>1000</v>
      </c>
      <c r="CA63" s="10">
        <f>IF($G63=CA$5,1000,IF(CA$4=0,1000,SQRT((VLOOKUP($G63,Coords[],3,FALSE)-VLOOKUP(CA$5,Coords[],3,FALSE))^2+(VLOOKUP($G63,Coords[],4,FALSE)-VLOOKUP(CA$5,Coords[],4,FALSE))^2)))</f>
        <v>1000</v>
      </c>
      <c r="CB63" s="10">
        <f>IF($G63=CB$5,1000,IF(CB$4=0,1000,SQRT((VLOOKUP($G63,Coords[],3,FALSE)-VLOOKUP(CB$5,Coords[],3,FALSE))^2+(VLOOKUP($G63,Coords[],4,FALSE)-VLOOKUP(CB$5,Coords[],4,FALSE))^2)))</f>
        <v>1000</v>
      </c>
      <c r="CC63" s="10">
        <f>IF($G63=CC$5,1000,IF(CC$4=0,1000,SQRT((VLOOKUP($G63,Coords[],3,FALSE)-VLOOKUP(CC$5,Coords[],3,FALSE))^2+(VLOOKUP($G63,Coords[],4,FALSE)-VLOOKUP(CC$5,Coords[],4,FALSE))^2)))</f>
        <v>1000</v>
      </c>
      <c r="CD63" s="10">
        <f>IF($G63=CD$5,1000,IF(CD$4=0,1000,SQRT((VLOOKUP($G63,Coords[],3,FALSE)-VLOOKUP(CD$5,Coords[],3,FALSE))^2+(VLOOKUP($G63,Coords[],4,FALSE)-VLOOKUP(CD$5,Coords[],4,FALSE))^2)))</f>
        <v>1000</v>
      </c>
      <c r="CE63" s="10">
        <f>IF($G63=CE$5,1000,IF(CE$4=0,1000,SQRT((VLOOKUP($G63,Coords[],3,FALSE)-VLOOKUP(CE$5,Coords[],3,FALSE))^2+(VLOOKUP($G63,Coords[],4,FALSE)-VLOOKUP(CE$5,Coords[],4,FALSE))^2)))</f>
        <v>1000</v>
      </c>
      <c r="CF63" s="4">
        <v>58</v>
      </c>
      <c r="CH63" s="5">
        <f>IF(E63=1,0,VLOOKUP($G63,$G$6:$CE$82,HLOOKUP(MIN(H63:CE63),$H63:$CE$82,((COUNT($G$6:$G$81)+2)-$G63),FALSE)+1,FALSE)*B63)</f>
        <v>0</v>
      </c>
      <c r="CI63" s="9">
        <f>VLOOKUP($G63,$G$6:$CE$82,HLOOKUP(MIN(H63:CE63),$H63:$CE$82,((COUNT($G$6:$G$81)+2)-$G63),FALSE)+1,FALSE)</f>
        <v>1000</v>
      </c>
      <c r="CJ63" s="7">
        <f>HLOOKUP(MIN(H63:CE63),$H63:$CE$82,((COUNT($G$6:$G$81)+2)-$G63),FALSE)</f>
        <v>1</v>
      </c>
      <c r="CK63">
        <f>CI63*Coords[[#This Row],[Demand]]</f>
        <v>0</v>
      </c>
    </row>
    <row r="64" spans="1:89" x14ac:dyDescent="0.25">
      <c r="A64" s="8">
        <v>59</v>
      </c>
      <c r="B64" s="3"/>
      <c r="C64" s="3"/>
      <c r="D64" s="3"/>
      <c r="E64" s="3"/>
      <c r="G64" s="4">
        <v>59</v>
      </c>
      <c r="H64" s="10">
        <f>IF($G64=H$5,1000,IF(H$4=0,1000,SQRT((VLOOKUP($G64,Coords[],3,FALSE)-VLOOKUP(H$5,Coords[],3,FALSE))^2+(VLOOKUP($G64,Coords[],4,FALSE)-VLOOKUP(H$5,Coords[],4,FALSE))^2)))</f>
        <v>1000</v>
      </c>
      <c r="I64" s="10">
        <f>IF($G64=I$5,1000,IF(I$4=0,1000,SQRT((VLOOKUP($G64,Coords[],3,FALSE)-VLOOKUP(I$5,Coords[],3,FALSE))^2+(VLOOKUP($G64,Coords[],4,FALSE)-VLOOKUP(I$5,Coords[],4,FALSE))^2)))</f>
        <v>1000</v>
      </c>
      <c r="J64" s="10">
        <f>IF($G64=J$5,1000,IF(J$4=0,1000,SQRT((VLOOKUP($G64,Coords[],3,FALSE)-VLOOKUP(J$5,Coords[],3,FALSE))^2+(VLOOKUP($G64,Coords[],4,FALSE)-VLOOKUP(J$5,Coords[],4,FALSE))^2)))</f>
        <v>1000</v>
      </c>
      <c r="K64" s="10">
        <f>IF($G64=K$5,1000,IF(K$4=0,1000,SQRT((VLOOKUP($G64,Coords[],3,FALSE)-VLOOKUP(K$5,Coords[],3,FALSE))^2+(VLOOKUP($G64,Coords[],4,FALSE)-VLOOKUP(K$5,Coords[],4,FALSE))^2)))</f>
        <v>1000</v>
      </c>
      <c r="L64" s="10">
        <f>IF($G64=L$5,1000,IF(L$4=0,1000,SQRT((VLOOKUP($G64,Coords[],3,FALSE)-VLOOKUP(L$5,Coords[],3,FALSE))^2+(VLOOKUP($G64,Coords[],4,FALSE)-VLOOKUP(L$5,Coords[],4,FALSE))^2)))</f>
        <v>1000</v>
      </c>
      <c r="M64" s="10">
        <f>IF($G64=M$5,1000,IF(M$4=0,1000,SQRT((VLOOKUP($G64,Coords[],3,FALSE)-VLOOKUP(M$5,Coords[],3,FALSE))^2+(VLOOKUP($G64,Coords[],4,FALSE)-VLOOKUP(M$5,Coords[],4,FALSE))^2)))</f>
        <v>1000</v>
      </c>
      <c r="N64" s="10">
        <f>IF($G64=N$5,1000,IF(N$4=0,1000,SQRT((VLOOKUP($G64,Coords[],3,FALSE)-VLOOKUP(N$5,Coords[],3,FALSE))^2+(VLOOKUP($G64,Coords[],4,FALSE)-VLOOKUP(N$5,Coords[],4,FALSE))^2)))</f>
        <v>1000</v>
      </c>
      <c r="O64" s="10">
        <f>IF($G64=O$5,1000,IF(O$4=0,1000,SQRT((VLOOKUP($G64,Coords[],3,FALSE)-VLOOKUP(O$5,Coords[],3,FALSE))^2+(VLOOKUP($G64,Coords[],4,FALSE)-VLOOKUP(O$5,Coords[],4,FALSE))^2)))</f>
        <v>1000</v>
      </c>
      <c r="P64" s="10">
        <f>IF($G64=P$5,1000,IF(P$4=0,1000,SQRT((VLOOKUP($G64,Coords[],3,FALSE)-VLOOKUP(P$5,Coords[],3,FALSE))^2+(VLOOKUP($G64,Coords[],4,FALSE)-VLOOKUP(P$5,Coords[],4,FALSE))^2)))</f>
        <v>1000</v>
      </c>
      <c r="Q64" s="10">
        <f>IF($G64=Q$5,1000,IF(Q$4=0,1000,SQRT((VLOOKUP($G64,Coords[],3,FALSE)-VLOOKUP(Q$5,Coords[],3,FALSE))^2+(VLOOKUP($G64,Coords[],4,FALSE)-VLOOKUP(Q$5,Coords[],4,FALSE))^2)))</f>
        <v>1000</v>
      </c>
      <c r="R64" s="10">
        <f>IF($G64=R$5,1000,IF(R$4=0,1000,SQRT((VLOOKUP($G64,Coords[],3,FALSE)-VLOOKUP(R$5,Coords[],3,FALSE))^2+(VLOOKUP($G64,Coords[],4,FALSE)-VLOOKUP(R$5,Coords[],4,FALSE))^2)))</f>
        <v>1000</v>
      </c>
      <c r="S64" s="10">
        <f>IF($G64=S$5,1000,IF(S$4=0,1000,SQRT((VLOOKUP($G64,Coords[],3,FALSE)-VLOOKUP(S$5,Coords[],3,FALSE))^2+(VLOOKUP($G64,Coords[],4,FALSE)-VLOOKUP(S$5,Coords[],4,FALSE))^2)))</f>
        <v>1000</v>
      </c>
      <c r="T64" s="10">
        <f>IF($G64=T$5,1000,IF(T$4=0,1000,SQRT((VLOOKUP($G64,Coords[],3,FALSE)-VLOOKUP(T$5,Coords[],3,FALSE))^2+(VLOOKUP($G64,Coords[],4,FALSE)-VLOOKUP(T$5,Coords[],4,FALSE))^2)))</f>
        <v>1000</v>
      </c>
      <c r="U64" s="10">
        <f>IF($G64=U$5,1000,IF(U$4=0,1000,SQRT((VLOOKUP($G64,Coords[],3,FALSE)-VLOOKUP(U$5,Coords[],3,FALSE))^2+(VLOOKUP($G64,Coords[],4,FALSE)-VLOOKUP(U$5,Coords[],4,FALSE))^2)))</f>
        <v>1000</v>
      </c>
      <c r="V64" s="10">
        <f>IF($G64=V$5,1000,IF(V$4=0,1000,SQRT((VLOOKUP($G64,Coords[],3,FALSE)-VLOOKUP(V$5,Coords[],3,FALSE))^2+(VLOOKUP($G64,Coords[],4,FALSE)-VLOOKUP(V$5,Coords[],4,FALSE))^2)))</f>
        <v>1000</v>
      </c>
      <c r="W64" s="10">
        <f>IF($G64=W$5,1000,IF(W$4=0,1000,SQRT((VLOOKUP($G64,Coords[],3,FALSE)-VLOOKUP(W$5,Coords[],3,FALSE))^2+(VLOOKUP($G64,Coords[],4,FALSE)-VLOOKUP(W$5,Coords[],4,FALSE))^2)))</f>
        <v>1000</v>
      </c>
      <c r="X64" s="10">
        <f>IF($G64=X$5,1000,IF(X$4=0,1000,SQRT((VLOOKUP($G64,Coords[],3,FALSE)-VLOOKUP(X$5,Coords[],3,FALSE))^2+(VLOOKUP($G64,Coords[],4,FALSE)-VLOOKUP(X$5,Coords[],4,FALSE))^2)))</f>
        <v>1000</v>
      </c>
      <c r="Y64" s="10">
        <f>IF($G64=Y$5,1000,IF(Y$4=0,1000,SQRT((VLOOKUP($G64,Coords[],3,FALSE)-VLOOKUP(Y$5,Coords[],3,FALSE))^2+(VLOOKUP($G64,Coords[],4,FALSE)-VLOOKUP(Y$5,Coords[],4,FALSE))^2)))</f>
        <v>1000</v>
      </c>
      <c r="Z64" s="10">
        <f>IF($G64=Z$5,1000,IF(Z$4=0,1000,SQRT((VLOOKUP($G64,Coords[],3,FALSE)-VLOOKUP(Z$5,Coords[],3,FALSE))^2+(VLOOKUP($G64,Coords[],4,FALSE)-VLOOKUP(Z$5,Coords[],4,FALSE))^2)))</f>
        <v>1000</v>
      </c>
      <c r="AA64" s="10">
        <f>IF($G64=AA$5,1000,IF(AA$4=0,1000,SQRT((VLOOKUP($G64,Coords[],3,FALSE)-VLOOKUP(AA$5,Coords[],3,FALSE))^2+(VLOOKUP($G64,Coords[],4,FALSE)-VLOOKUP(AA$5,Coords[],4,FALSE))^2)))</f>
        <v>1000</v>
      </c>
      <c r="AB64" s="10">
        <f>IF($G64=AB$5,1000,IF(AB$4=0,1000,SQRT((VLOOKUP($G64,Coords[],3,FALSE)-VLOOKUP(AB$5,Coords[],3,FALSE))^2+(VLOOKUP($G64,Coords[],4,FALSE)-VLOOKUP(AB$5,Coords[],4,FALSE))^2)))</f>
        <v>1000</v>
      </c>
      <c r="AC64" s="10">
        <f>IF($G64=AC$5,1000,IF(AC$4=0,1000,SQRT((VLOOKUP($G64,Coords[],3,FALSE)-VLOOKUP(AC$5,Coords[],3,FALSE))^2+(VLOOKUP($G64,Coords[],4,FALSE)-VLOOKUP(AC$5,Coords[],4,FALSE))^2)))</f>
        <v>1000</v>
      </c>
      <c r="AD64" s="10">
        <f>IF($G64=AD$5,1000,IF(AD$4=0,1000,SQRT((VLOOKUP($G64,Coords[],3,FALSE)-VLOOKUP(AD$5,Coords[],3,FALSE))^2+(VLOOKUP($G64,Coords[],4,FALSE)-VLOOKUP(AD$5,Coords[],4,FALSE))^2)))</f>
        <v>1000</v>
      </c>
      <c r="AE64" s="10">
        <f>IF($G64=AE$5,1000,IF(AE$4=0,1000,SQRT((VLOOKUP($G64,Coords[],3,FALSE)-VLOOKUP(AE$5,Coords[],3,FALSE))^2+(VLOOKUP($G64,Coords[],4,FALSE)-VLOOKUP(AE$5,Coords[],4,FALSE))^2)))</f>
        <v>1000</v>
      </c>
      <c r="AF64" s="10">
        <f>IF($G64=AF$5,1000,IF(AF$4=0,1000,SQRT((VLOOKUP($G64,Coords[],3,FALSE)-VLOOKUP(AF$5,Coords[],3,FALSE))^2+(VLOOKUP($G64,Coords[],4,FALSE)-VLOOKUP(AF$5,Coords[],4,FALSE))^2)))</f>
        <v>1000</v>
      </c>
      <c r="AG64" s="10">
        <f>IF($G64=AG$5,1000,IF(AG$4=0,1000,SQRT((VLOOKUP($G64,Coords[],3,FALSE)-VLOOKUP(AG$5,Coords[],3,FALSE))^2+(VLOOKUP($G64,Coords[],4,FALSE)-VLOOKUP(AG$5,Coords[],4,FALSE))^2)))</f>
        <v>1000</v>
      </c>
      <c r="AH64" s="10">
        <f>IF($G64=AH$5,1000,IF(AH$4=0,1000,SQRT((VLOOKUP($G64,Coords[],3,FALSE)-VLOOKUP(AH$5,Coords[],3,FALSE))^2+(VLOOKUP($G64,Coords[],4,FALSE)-VLOOKUP(AH$5,Coords[],4,FALSE))^2)))</f>
        <v>1000</v>
      </c>
      <c r="AI64" s="10">
        <f>IF($G64=AI$5,1000,IF(AI$4=0,1000,SQRT((VLOOKUP($G64,Coords[],3,FALSE)-VLOOKUP(AI$5,Coords[],3,FALSE))^2+(VLOOKUP($G64,Coords[],4,FALSE)-VLOOKUP(AI$5,Coords[],4,FALSE))^2)))</f>
        <v>1000</v>
      </c>
      <c r="AJ64" s="10">
        <f>IF($G64=AJ$5,1000,IF(AJ$4=0,1000,SQRT((VLOOKUP($G64,Coords[],3,FALSE)-VLOOKUP(AJ$5,Coords[],3,FALSE))^2+(VLOOKUP($G64,Coords[],4,FALSE)-VLOOKUP(AJ$5,Coords[],4,FALSE))^2)))</f>
        <v>1000</v>
      </c>
      <c r="AK64" s="10">
        <f>IF($G64=AK$5,1000,IF(AK$4=0,1000,SQRT((VLOOKUP($G64,Coords[],3,FALSE)-VLOOKUP(AK$5,Coords[],3,FALSE))^2+(VLOOKUP($G64,Coords[],4,FALSE)-VLOOKUP(AK$5,Coords[],4,FALSE))^2)))</f>
        <v>1000</v>
      </c>
      <c r="AL64" s="10">
        <f>IF($G64=AL$5,1000,IF(AL$4=0,1000,SQRT((VLOOKUP($G64,Coords[],3,FALSE)-VLOOKUP(AL$5,Coords[],3,FALSE))^2+(VLOOKUP($G64,Coords[],4,FALSE)-VLOOKUP(AL$5,Coords[],4,FALSE))^2)))</f>
        <v>1000</v>
      </c>
      <c r="AM64" s="10">
        <f>IF($G64=AM$5,1000,IF(AM$4=0,1000,SQRT((VLOOKUP($G64,Coords[],3,FALSE)-VLOOKUP(AM$5,Coords[],3,FALSE))^2+(VLOOKUP($G64,Coords[],4,FALSE)-VLOOKUP(AM$5,Coords[],4,FALSE))^2)))</f>
        <v>1000</v>
      </c>
      <c r="AN64" s="10">
        <f>IF($G64=AN$5,1000,IF(AN$4=0,1000,SQRT((VLOOKUP($G64,Coords[],3,FALSE)-VLOOKUP(AN$5,Coords[],3,FALSE))^2+(VLOOKUP($G64,Coords[],4,FALSE)-VLOOKUP(AN$5,Coords[],4,FALSE))^2)))</f>
        <v>1000</v>
      </c>
      <c r="AO64" s="10">
        <f>IF($G64=AO$5,1000,IF(AO$4=0,1000,SQRT((VLOOKUP($G64,Coords[],3,FALSE)-VLOOKUP(AO$5,Coords[],3,FALSE))^2+(VLOOKUP($G64,Coords[],4,FALSE)-VLOOKUP(AO$5,Coords[],4,FALSE))^2)))</f>
        <v>1000</v>
      </c>
      <c r="AP64" s="10">
        <f>IF($G64=AP$5,1000,IF(AP$4=0,1000,SQRT((VLOOKUP($G64,Coords[],3,FALSE)-VLOOKUP(AP$5,Coords[],3,FALSE))^2+(VLOOKUP($G64,Coords[],4,FALSE)-VLOOKUP(AP$5,Coords[],4,FALSE))^2)))</f>
        <v>1000</v>
      </c>
      <c r="AQ64" s="10">
        <f>IF($G64=AQ$5,1000,IF(AQ$4=0,1000,SQRT((VLOOKUP($G64,Coords[],3,FALSE)-VLOOKUP(AQ$5,Coords[],3,FALSE))^2+(VLOOKUP($G64,Coords[],4,FALSE)-VLOOKUP(AQ$5,Coords[],4,FALSE))^2)))</f>
        <v>1000</v>
      </c>
      <c r="AR64" s="10">
        <f>IF($G64=AR$5,1000,IF(AR$4=0,1000,SQRT((VLOOKUP($G64,Coords[],3,FALSE)-VLOOKUP(AR$5,Coords[],3,FALSE))^2+(VLOOKUP($G64,Coords[],4,FALSE)-VLOOKUP(AR$5,Coords[],4,FALSE))^2)))</f>
        <v>1000</v>
      </c>
      <c r="AS64" s="10">
        <f>IF($G64=AS$5,1000,IF(AS$4=0,1000,SQRT((VLOOKUP($G64,Coords[],3,FALSE)-VLOOKUP(AS$5,Coords[],3,FALSE))^2+(VLOOKUP($G64,Coords[],4,FALSE)-VLOOKUP(AS$5,Coords[],4,FALSE))^2)))</f>
        <v>1000</v>
      </c>
      <c r="AT64" s="10">
        <f>IF($G64=AT$5,1000,IF(AT$4=0,1000,SQRT((VLOOKUP($G64,Coords[],3,FALSE)-VLOOKUP(AT$5,Coords[],3,FALSE))^2+(VLOOKUP($G64,Coords[],4,FALSE)-VLOOKUP(AT$5,Coords[],4,FALSE))^2)))</f>
        <v>1000</v>
      </c>
      <c r="AU64" s="10">
        <f>IF($G64=AU$5,1000,IF(AU$4=0,1000,SQRT((VLOOKUP($G64,Coords[],3,FALSE)-VLOOKUP(AU$5,Coords[],3,FALSE))^2+(VLOOKUP($G64,Coords[],4,FALSE)-VLOOKUP(AU$5,Coords[],4,FALSE))^2)))</f>
        <v>1000</v>
      </c>
      <c r="AV64" s="10">
        <f>IF($G64=AV$5,1000,IF(AV$4=0,1000,SQRT((VLOOKUP($G64,Coords[],3,FALSE)-VLOOKUP(AV$5,Coords[],3,FALSE))^2+(VLOOKUP($G64,Coords[],4,FALSE)-VLOOKUP(AV$5,Coords[],4,FALSE))^2)))</f>
        <v>1000</v>
      </c>
      <c r="AW64" s="10">
        <f>IF($G64=AW$5,1000,IF(AW$4=0,1000,SQRT((VLOOKUP($G64,Coords[],3,FALSE)-VLOOKUP(AW$5,Coords[],3,FALSE))^2+(VLOOKUP($G64,Coords[],4,FALSE)-VLOOKUP(AW$5,Coords[],4,FALSE))^2)))</f>
        <v>1000</v>
      </c>
      <c r="AX64" s="10">
        <f>IF($G64=AX$5,1000,IF(AX$4=0,1000,SQRT((VLOOKUP($G64,Coords[],3,FALSE)-VLOOKUP(AX$5,Coords[],3,FALSE))^2+(VLOOKUP($G64,Coords[],4,FALSE)-VLOOKUP(AX$5,Coords[],4,FALSE))^2)))</f>
        <v>1000</v>
      </c>
      <c r="AY64" s="10">
        <f>IF($G64=AY$5,1000,IF(AY$4=0,1000,SQRT((VLOOKUP($G64,Coords[],3,FALSE)-VLOOKUP(AY$5,Coords[],3,FALSE))^2+(VLOOKUP($G64,Coords[],4,FALSE)-VLOOKUP(AY$5,Coords[],4,FALSE))^2)))</f>
        <v>1000</v>
      </c>
      <c r="AZ64" s="10">
        <f>IF($G64=AZ$5,1000,IF(AZ$4=0,1000,SQRT((VLOOKUP($G64,Coords[],3,FALSE)-VLOOKUP(AZ$5,Coords[],3,FALSE))^2+(VLOOKUP($G64,Coords[],4,FALSE)-VLOOKUP(AZ$5,Coords[],4,FALSE))^2)))</f>
        <v>1000</v>
      </c>
      <c r="BA64" s="10">
        <f>IF($G64=BA$5,1000,IF(BA$4=0,1000,SQRT((VLOOKUP($G64,Coords[],3,FALSE)-VLOOKUP(BA$5,Coords[],3,FALSE))^2+(VLOOKUP($G64,Coords[],4,FALSE)-VLOOKUP(BA$5,Coords[],4,FALSE))^2)))</f>
        <v>1000</v>
      </c>
      <c r="BB64" s="10">
        <f>IF($G64=BB$5,1000,IF(BB$4=0,1000,SQRT((VLOOKUP($G64,Coords[],3,FALSE)-VLOOKUP(BB$5,Coords[],3,FALSE))^2+(VLOOKUP($G64,Coords[],4,FALSE)-VLOOKUP(BB$5,Coords[],4,FALSE))^2)))</f>
        <v>1000</v>
      </c>
      <c r="BC64" s="10">
        <f>IF($G64=BC$5,1000,IF(BC$4=0,1000,SQRT((VLOOKUP($G64,Coords[],3,FALSE)-VLOOKUP(BC$5,Coords[],3,FALSE))^2+(VLOOKUP($G64,Coords[],4,FALSE)-VLOOKUP(BC$5,Coords[],4,FALSE))^2)))</f>
        <v>1000</v>
      </c>
      <c r="BD64" s="10">
        <f>IF($G64=BD$5,1000,IF(BD$4=0,1000,SQRT((VLOOKUP($G64,Coords[],3,FALSE)-VLOOKUP(BD$5,Coords[],3,FALSE))^2+(VLOOKUP($G64,Coords[],4,FALSE)-VLOOKUP(BD$5,Coords[],4,FALSE))^2)))</f>
        <v>1000</v>
      </c>
      <c r="BE64" s="10">
        <f>IF($G64=BE$5,1000,IF(BE$4=0,1000,SQRT((VLOOKUP($G64,Coords[],3,FALSE)-VLOOKUP(BE$5,Coords[],3,FALSE))^2+(VLOOKUP($G64,Coords[],4,FALSE)-VLOOKUP(BE$5,Coords[],4,FALSE))^2)))</f>
        <v>1000</v>
      </c>
      <c r="BF64" s="10">
        <f>IF($G64=BF$5,1000,IF(BF$4=0,1000,SQRT((VLOOKUP($G64,Coords[],3,FALSE)-VLOOKUP(BF$5,Coords[],3,FALSE))^2+(VLOOKUP($G64,Coords[],4,FALSE)-VLOOKUP(BF$5,Coords[],4,FALSE))^2)))</f>
        <v>1000</v>
      </c>
      <c r="BG64" s="10">
        <f>IF($G64=BG$5,1000,IF(BG$4=0,1000,SQRT((VLOOKUP($G64,Coords[],3,FALSE)-VLOOKUP(BG$5,Coords[],3,FALSE))^2+(VLOOKUP($G64,Coords[],4,FALSE)-VLOOKUP(BG$5,Coords[],4,FALSE))^2)))</f>
        <v>1000</v>
      </c>
      <c r="BH64" s="10">
        <f>IF($G64=BH$5,1000,IF(BH$4=0,1000,SQRT((VLOOKUP($G64,Coords[],3,FALSE)-VLOOKUP(BH$5,Coords[],3,FALSE))^2+(VLOOKUP($G64,Coords[],4,FALSE)-VLOOKUP(BH$5,Coords[],4,FALSE))^2)))</f>
        <v>1000</v>
      </c>
      <c r="BI64" s="10">
        <f>IF($G64=BI$5,1000,IF(BI$4=0,1000,SQRT((VLOOKUP($G64,Coords[],3,FALSE)-VLOOKUP(BI$5,Coords[],3,FALSE))^2+(VLOOKUP($G64,Coords[],4,FALSE)-VLOOKUP(BI$5,Coords[],4,FALSE))^2)))</f>
        <v>1000</v>
      </c>
      <c r="BJ64" s="10">
        <f>IF($G64=BJ$5,1000,IF(BJ$4=0,1000,SQRT((VLOOKUP($G64,Coords[],3,FALSE)-VLOOKUP(BJ$5,Coords[],3,FALSE))^2+(VLOOKUP($G64,Coords[],4,FALSE)-VLOOKUP(BJ$5,Coords[],4,FALSE))^2)))</f>
        <v>1000</v>
      </c>
      <c r="BK64" s="10">
        <f>IF($G64=BK$5,1000,IF(BK$4=0,1000,SQRT((VLOOKUP($G64,Coords[],3,FALSE)-VLOOKUP(BK$5,Coords[],3,FALSE))^2+(VLOOKUP($G64,Coords[],4,FALSE)-VLOOKUP(BK$5,Coords[],4,FALSE))^2)))</f>
        <v>1000</v>
      </c>
      <c r="BL64" s="10">
        <f>IF($G64=BL$5,1000,IF(BL$4=0,1000,SQRT((VLOOKUP($G64,Coords[],3,FALSE)-VLOOKUP(BL$5,Coords[],3,FALSE))^2+(VLOOKUP($G64,Coords[],4,FALSE)-VLOOKUP(BL$5,Coords[],4,FALSE))^2)))</f>
        <v>1000</v>
      </c>
      <c r="BM64" s="10">
        <f>IF($G64=BM$5,1000,IF(BM$4=0,1000,SQRT((VLOOKUP($G64,Coords[],3,FALSE)-VLOOKUP(BM$5,Coords[],3,FALSE))^2+(VLOOKUP($G64,Coords[],4,FALSE)-VLOOKUP(BM$5,Coords[],4,FALSE))^2)))</f>
        <v>1000</v>
      </c>
      <c r="BN64" s="10">
        <f>IF($G64=BN$5,1000,IF(BN$4=0,1000,SQRT((VLOOKUP($G64,Coords[],3,FALSE)-VLOOKUP(BN$5,Coords[],3,FALSE))^2+(VLOOKUP($G64,Coords[],4,FALSE)-VLOOKUP(BN$5,Coords[],4,FALSE))^2)))</f>
        <v>1000</v>
      </c>
      <c r="BO64" s="10">
        <f>IF($G64=BO$5,1000,IF(BO$4=0,1000,SQRT((VLOOKUP($G64,Coords[],3,FALSE)-VLOOKUP(BO$5,Coords[],3,FALSE))^2+(VLOOKUP($G64,Coords[],4,FALSE)-VLOOKUP(BO$5,Coords[],4,FALSE))^2)))</f>
        <v>1000</v>
      </c>
      <c r="BP64" s="10">
        <f>IF($G64=BP$5,1000,IF(BP$4=0,1000,SQRT((VLOOKUP($G64,Coords[],3,FALSE)-VLOOKUP(BP$5,Coords[],3,FALSE))^2+(VLOOKUP($G64,Coords[],4,FALSE)-VLOOKUP(BP$5,Coords[],4,FALSE))^2)))</f>
        <v>1000</v>
      </c>
      <c r="BQ64" s="10">
        <f>IF($G64=BQ$5,1000,IF(BQ$4=0,1000,SQRT((VLOOKUP($G64,Coords[],3,FALSE)-VLOOKUP(BQ$5,Coords[],3,FALSE))^2+(VLOOKUP($G64,Coords[],4,FALSE)-VLOOKUP(BQ$5,Coords[],4,FALSE))^2)))</f>
        <v>1000</v>
      </c>
      <c r="BR64" s="10">
        <f>IF($G64=BR$5,1000,IF(BR$4=0,1000,SQRT((VLOOKUP($G64,Coords[],3,FALSE)-VLOOKUP(BR$5,Coords[],3,FALSE))^2+(VLOOKUP($G64,Coords[],4,FALSE)-VLOOKUP(BR$5,Coords[],4,FALSE))^2)))</f>
        <v>1000</v>
      </c>
      <c r="BS64" s="10">
        <f>IF($G64=BS$5,1000,IF(BS$4=0,1000,SQRT((VLOOKUP($G64,Coords[],3,FALSE)-VLOOKUP(BS$5,Coords[],3,FALSE))^2+(VLOOKUP($G64,Coords[],4,FALSE)-VLOOKUP(BS$5,Coords[],4,FALSE))^2)))</f>
        <v>1000</v>
      </c>
      <c r="BT64" s="10">
        <f>IF($G64=BT$5,1000,IF(BT$4=0,1000,SQRT((VLOOKUP($G64,Coords[],3,FALSE)-VLOOKUP(BT$5,Coords[],3,FALSE))^2+(VLOOKUP($G64,Coords[],4,FALSE)-VLOOKUP(BT$5,Coords[],4,FALSE))^2)))</f>
        <v>1000</v>
      </c>
      <c r="BU64" s="10">
        <f>IF($G64=BU$5,1000,IF(BU$4=0,1000,SQRT((VLOOKUP($G64,Coords[],3,FALSE)-VLOOKUP(BU$5,Coords[],3,FALSE))^2+(VLOOKUP($G64,Coords[],4,FALSE)-VLOOKUP(BU$5,Coords[],4,FALSE))^2)))</f>
        <v>1000</v>
      </c>
      <c r="BV64" s="10">
        <f>IF($G64=BV$5,1000,IF(BV$4=0,1000,SQRT((VLOOKUP($G64,Coords[],3,FALSE)-VLOOKUP(BV$5,Coords[],3,FALSE))^2+(VLOOKUP($G64,Coords[],4,FALSE)-VLOOKUP(BV$5,Coords[],4,FALSE))^2)))</f>
        <v>1000</v>
      </c>
      <c r="BW64" s="10">
        <f>IF($G64=BW$5,1000,IF(BW$4=0,1000,SQRT((VLOOKUP($G64,Coords[],3,FALSE)-VLOOKUP(BW$5,Coords[],3,FALSE))^2+(VLOOKUP($G64,Coords[],4,FALSE)-VLOOKUP(BW$5,Coords[],4,FALSE))^2)))</f>
        <v>1000</v>
      </c>
      <c r="BX64" s="10">
        <f>IF($G64=BX$5,1000,IF(BX$4=0,1000,SQRT((VLOOKUP($G64,Coords[],3,FALSE)-VLOOKUP(BX$5,Coords[],3,FALSE))^2+(VLOOKUP($G64,Coords[],4,FALSE)-VLOOKUP(BX$5,Coords[],4,FALSE))^2)))</f>
        <v>1000</v>
      </c>
      <c r="BY64" s="10">
        <f>IF($G64=BY$5,1000,IF(BY$4=0,1000,SQRT((VLOOKUP($G64,Coords[],3,FALSE)-VLOOKUP(BY$5,Coords[],3,FALSE))^2+(VLOOKUP($G64,Coords[],4,FALSE)-VLOOKUP(BY$5,Coords[],4,FALSE))^2)))</f>
        <v>1000</v>
      </c>
      <c r="BZ64" s="10">
        <f>IF($G64=BZ$5,1000,IF(BZ$4=0,1000,SQRT((VLOOKUP($G64,Coords[],3,FALSE)-VLOOKUP(BZ$5,Coords[],3,FALSE))^2+(VLOOKUP($G64,Coords[],4,FALSE)-VLOOKUP(BZ$5,Coords[],4,FALSE))^2)))</f>
        <v>1000</v>
      </c>
      <c r="CA64" s="10">
        <f>IF($G64=CA$5,1000,IF(CA$4=0,1000,SQRT((VLOOKUP($G64,Coords[],3,FALSE)-VLOOKUP(CA$5,Coords[],3,FALSE))^2+(VLOOKUP($G64,Coords[],4,FALSE)-VLOOKUP(CA$5,Coords[],4,FALSE))^2)))</f>
        <v>1000</v>
      </c>
      <c r="CB64" s="10">
        <f>IF($G64=CB$5,1000,IF(CB$4=0,1000,SQRT((VLOOKUP($G64,Coords[],3,FALSE)-VLOOKUP(CB$5,Coords[],3,FALSE))^2+(VLOOKUP($G64,Coords[],4,FALSE)-VLOOKUP(CB$5,Coords[],4,FALSE))^2)))</f>
        <v>1000</v>
      </c>
      <c r="CC64" s="10">
        <f>IF($G64=CC$5,1000,IF(CC$4=0,1000,SQRT((VLOOKUP($G64,Coords[],3,FALSE)-VLOOKUP(CC$5,Coords[],3,FALSE))^2+(VLOOKUP($G64,Coords[],4,FALSE)-VLOOKUP(CC$5,Coords[],4,FALSE))^2)))</f>
        <v>1000</v>
      </c>
      <c r="CD64" s="10">
        <f>IF($G64=CD$5,1000,IF(CD$4=0,1000,SQRT((VLOOKUP($G64,Coords[],3,FALSE)-VLOOKUP(CD$5,Coords[],3,FALSE))^2+(VLOOKUP($G64,Coords[],4,FALSE)-VLOOKUP(CD$5,Coords[],4,FALSE))^2)))</f>
        <v>1000</v>
      </c>
      <c r="CE64" s="10">
        <f>IF($G64=CE$5,1000,IF(CE$4=0,1000,SQRT((VLOOKUP($G64,Coords[],3,FALSE)-VLOOKUP(CE$5,Coords[],3,FALSE))^2+(VLOOKUP($G64,Coords[],4,FALSE)-VLOOKUP(CE$5,Coords[],4,FALSE))^2)))</f>
        <v>1000</v>
      </c>
      <c r="CF64" s="4">
        <v>59</v>
      </c>
      <c r="CH64" s="5">
        <f>IF(E64=1,0,VLOOKUP($G64,$G$6:$CE$82,HLOOKUP(MIN(H64:CE64),$H64:$CE$82,((COUNT($G$6:$G$81)+2)-$G64),FALSE)+1,FALSE)*B64)</f>
        <v>0</v>
      </c>
      <c r="CI64" s="9">
        <f>VLOOKUP($G64,$G$6:$CE$82,HLOOKUP(MIN(H64:CE64),$H64:$CE$82,((COUNT($G$6:$G$81)+2)-$G64),FALSE)+1,FALSE)</f>
        <v>1000</v>
      </c>
      <c r="CJ64" s="7">
        <f>HLOOKUP(MIN(H64:CE64),$H64:$CE$82,((COUNT($G$6:$G$81)+2)-$G64),FALSE)</f>
        <v>1</v>
      </c>
      <c r="CK64">
        <f>CI64*Coords[[#This Row],[Demand]]</f>
        <v>0</v>
      </c>
    </row>
    <row r="65" spans="1:89" x14ac:dyDescent="0.25">
      <c r="A65" s="8">
        <v>60</v>
      </c>
      <c r="B65" s="3"/>
      <c r="C65" s="3"/>
      <c r="D65" s="3"/>
      <c r="E65" s="3"/>
      <c r="G65" s="4">
        <v>60</v>
      </c>
      <c r="H65" s="10">
        <f>IF($G65=H$5,1000,IF(H$4=0,1000,SQRT((VLOOKUP($G65,Coords[],3,FALSE)-VLOOKUP(H$5,Coords[],3,FALSE))^2+(VLOOKUP($G65,Coords[],4,FALSE)-VLOOKUP(H$5,Coords[],4,FALSE))^2)))</f>
        <v>1000</v>
      </c>
      <c r="I65" s="10">
        <f>IF($G65=I$5,1000,IF(I$4=0,1000,SQRT((VLOOKUP($G65,Coords[],3,FALSE)-VLOOKUP(I$5,Coords[],3,FALSE))^2+(VLOOKUP($G65,Coords[],4,FALSE)-VLOOKUP(I$5,Coords[],4,FALSE))^2)))</f>
        <v>1000</v>
      </c>
      <c r="J65" s="10">
        <f>IF($G65=J$5,1000,IF(J$4=0,1000,SQRT((VLOOKUP($G65,Coords[],3,FALSE)-VLOOKUP(J$5,Coords[],3,FALSE))^2+(VLOOKUP($G65,Coords[],4,FALSE)-VLOOKUP(J$5,Coords[],4,FALSE))^2)))</f>
        <v>1000</v>
      </c>
      <c r="K65" s="10">
        <f>IF($G65=K$5,1000,IF(K$4=0,1000,SQRT((VLOOKUP($G65,Coords[],3,FALSE)-VLOOKUP(K$5,Coords[],3,FALSE))^2+(VLOOKUP($G65,Coords[],4,FALSE)-VLOOKUP(K$5,Coords[],4,FALSE))^2)))</f>
        <v>1000</v>
      </c>
      <c r="L65" s="10">
        <f>IF($G65=L$5,1000,IF(L$4=0,1000,SQRT((VLOOKUP($G65,Coords[],3,FALSE)-VLOOKUP(L$5,Coords[],3,FALSE))^2+(VLOOKUP($G65,Coords[],4,FALSE)-VLOOKUP(L$5,Coords[],4,FALSE))^2)))</f>
        <v>1000</v>
      </c>
      <c r="M65" s="10">
        <f>IF($G65=M$5,1000,IF(M$4=0,1000,SQRT((VLOOKUP($G65,Coords[],3,FALSE)-VLOOKUP(M$5,Coords[],3,FALSE))^2+(VLOOKUP($G65,Coords[],4,FALSE)-VLOOKUP(M$5,Coords[],4,FALSE))^2)))</f>
        <v>1000</v>
      </c>
      <c r="N65" s="10">
        <f>IF($G65=N$5,1000,IF(N$4=0,1000,SQRT((VLOOKUP($G65,Coords[],3,FALSE)-VLOOKUP(N$5,Coords[],3,FALSE))^2+(VLOOKUP($G65,Coords[],4,FALSE)-VLOOKUP(N$5,Coords[],4,FALSE))^2)))</f>
        <v>1000</v>
      </c>
      <c r="O65" s="10">
        <f>IF($G65=O$5,1000,IF(O$4=0,1000,SQRT((VLOOKUP($G65,Coords[],3,FALSE)-VLOOKUP(O$5,Coords[],3,FALSE))^2+(VLOOKUP($G65,Coords[],4,FALSE)-VLOOKUP(O$5,Coords[],4,FALSE))^2)))</f>
        <v>1000</v>
      </c>
      <c r="P65" s="10">
        <f>IF($G65=P$5,1000,IF(P$4=0,1000,SQRT((VLOOKUP($G65,Coords[],3,FALSE)-VLOOKUP(P$5,Coords[],3,FALSE))^2+(VLOOKUP($G65,Coords[],4,FALSE)-VLOOKUP(P$5,Coords[],4,FALSE))^2)))</f>
        <v>1000</v>
      </c>
      <c r="Q65" s="10">
        <f>IF($G65=Q$5,1000,IF(Q$4=0,1000,SQRT((VLOOKUP($G65,Coords[],3,FALSE)-VLOOKUP(Q$5,Coords[],3,FALSE))^2+(VLOOKUP($G65,Coords[],4,FALSE)-VLOOKUP(Q$5,Coords[],4,FALSE))^2)))</f>
        <v>1000</v>
      </c>
      <c r="R65" s="10">
        <f>IF($G65=R$5,1000,IF(R$4=0,1000,SQRT((VLOOKUP($G65,Coords[],3,FALSE)-VLOOKUP(R$5,Coords[],3,FALSE))^2+(VLOOKUP($G65,Coords[],4,FALSE)-VLOOKUP(R$5,Coords[],4,FALSE))^2)))</f>
        <v>1000</v>
      </c>
      <c r="S65" s="10">
        <f>IF($G65=S$5,1000,IF(S$4=0,1000,SQRT((VLOOKUP($G65,Coords[],3,FALSE)-VLOOKUP(S$5,Coords[],3,FALSE))^2+(VLOOKUP($G65,Coords[],4,FALSE)-VLOOKUP(S$5,Coords[],4,FALSE))^2)))</f>
        <v>1000</v>
      </c>
      <c r="T65" s="10">
        <f>IF($G65=T$5,1000,IF(T$4=0,1000,SQRT((VLOOKUP($G65,Coords[],3,FALSE)-VLOOKUP(T$5,Coords[],3,FALSE))^2+(VLOOKUP($G65,Coords[],4,FALSE)-VLOOKUP(T$5,Coords[],4,FALSE))^2)))</f>
        <v>1000</v>
      </c>
      <c r="U65" s="10">
        <f>IF($G65=U$5,1000,IF(U$4=0,1000,SQRT((VLOOKUP($G65,Coords[],3,FALSE)-VLOOKUP(U$5,Coords[],3,FALSE))^2+(VLOOKUP($G65,Coords[],4,FALSE)-VLOOKUP(U$5,Coords[],4,FALSE))^2)))</f>
        <v>1000</v>
      </c>
      <c r="V65" s="10">
        <f>IF($G65=V$5,1000,IF(V$4=0,1000,SQRT((VLOOKUP($G65,Coords[],3,FALSE)-VLOOKUP(V$5,Coords[],3,FALSE))^2+(VLOOKUP($G65,Coords[],4,FALSE)-VLOOKUP(V$5,Coords[],4,FALSE))^2)))</f>
        <v>1000</v>
      </c>
      <c r="W65" s="10">
        <f>IF($G65=W$5,1000,IF(W$4=0,1000,SQRT((VLOOKUP($G65,Coords[],3,FALSE)-VLOOKUP(W$5,Coords[],3,FALSE))^2+(VLOOKUP($G65,Coords[],4,FALSE)-VLOOKUP(W$5,Coords[],4,FALSE))^2)))</f>
        <v>1000</v>
      </c>
      <c r="X65" s="10">
        <f>IF($G65=X$5,1000,IF(X$4=0,1000,SQRT((VLOOKUP($G65,Coords[],3,FALSE)-VLOOKUP(X$5,Coords[],3,FALSE))^2+(VLOOKUP($G65,Coords[],4,FALSE)-VLOOKUP(X$5,Coords[],4,FALSE))^2)))</f>
        <v>1000</v>
      </c>
      <c r="Y65" s="10">
        <f>IF($G65=Y$5,1000,IF(Y$4=0,1000,SQRT((VLOOKUP($G65,Coords[],3,FALSE)-VLOOKUP(Y$5,Coords[],3,FALSE))^2+(VLOOKUP($G65,Coords[],4,FALSE)-VLOOKUP(Y$5,Coords[],4,FALSE))^2)))</f>
        <v>1000</v>
      </c>
      <c r="Z65" s="10">
        <f>IF($G65=Z$5,1000,IF(Z$4=0,1000,SQRT((VLOOKUP($G65,Coords[],3,FALSE)-VLOOKUP(Z$5,Coords[],3,FALSE))^2+(VLOOKUP($G65,Coords[],4,FALSE)-VLOOKUP(Z$5,Coords[],4,FALSE))^2)))</f>
        <v>1000</v>
      </c>
      <c r="AA65" s="10">
        <f>IF($G65=AA$5,1000,IF(AA$4=0,1000,SQRT((VLOOKUP($G65,Coords[],3,FALSE)-VLOOKUP(AA$5,Coords[],3,FALSE))^2+(VLOOKUP($G65,Coords[],4,FALSE)-VLOOKUP(AA$5,Coords[],4,FALSE))^2)))</f>
        <v>1000</v>
      </c>
      <c r="AB65" s="10">
        <f>IF($G65=AB$5,1000,IF(AB$4=0,1000,SQRT((VLOOKUP($G65,Coords[],3,FALSE)-VLOOKUP(AB$5,Coords[],3,FALSE))^2+(VLOOKUP($G65,Coords[],4,FALSE)-VLOOKUP(AB$5,Coords[],4,FALSE))^2)))</f>
        <v>1000</v>
      </c>
      <c r="AC65" s="10">
        <f>IF($G65=AC$5,1000,IF(AC$4=0,1000,SQRT((VLOOKUP($G65,Coords[],3,FALSE)-VLOOKUP(AC$5,Coords[],3,FALSE))^2+(VLOOKUP($G65,Coords[],4,FALSE)-VLOOKUP(AC$5,Coords[],4,FALSE))^2)))</f>
        <v>1000</v>
      </c>
      <c r="AD65" s="10">
        <f>IF($G65=AD$5,1000,IF(AD$4=0,1000,SQRT((VLOOKUP($G65,Coords[],3,FALSE)-VLOOKUP(AD$5,Coords[],3,FALSE))^2+(VLOOKUP($G65,Coords[],4,FALSE)-VLOOKUP(AD$5,Coords[],4,FALSE))^2)))</f>
        <v>1000</v>
      </c>
      <c r="AE65" s="10">
        <f>IF($G65=AE$5,1000,IF(AE$4=0,1000,SQRT((VLOOKUP($G65,Coords[],3,FALSE)-VLOOKUP(AE$5,Coords[],3,FALSE))^2+(VLOOKUP($G65,Coords[],4,FALSE)-VLOOKUP(AE$5,Coords[],4,FALSE))^2)))</f>
        <v>1000</v>
      </c>
      <c r="AF65" s="10">
        <f>IF($G65=AF$5,1000,IF(AF$4=0,1000,SQRT((VLOOKUP($G65,Coords[],3,FALSE)-VLOOKUP(AF$5,Coords[],3,FALSE))^2+(VLOOKUP($G65,Coords[],4,FALSE)-VLOOKUP(AF$5,Coords[],4,FALSE))^2)))</f>
        <v>1000</v>
      </c>
      <c r="AG65" s="10">
        <f>IF($G65=AG$5,1000,IF(AG$4=0,1000,SQRT((VLOOKUP($G65,Coords[],3,FALSE)-VLOOKUP(AG$5,Coords[],3,FALSE))^2+(VLOOKUP($G65,Coords[],4,FALSE)-VLOOKUP(AG$5,Coords[],4,FALSE))^2)))</f>
        <v>1000</v>
      </c>
      <c r="AH65" s="10">
        <f>IF($G65=AH$5,1000,IF(AH$4=0,1000,SQRT((VLOOKUP($G65,Coords[],3,FALSE)-VLOOKUP(AH$5,Coords[],3,FALSE))^2+(VLOOKUP($G65,Coords[],4,FALSE)-VLOOKUP(AH$5,Coords[],4,FALSE))^2)))</f>
        <v>1000</v>
      </c>
      <c r="AI65" s="10">
        <f>IF($G65=AI$5,1000,IF(AI$4=0,1000,SQRT((VLOOKUP($G65,Coords[],3,FALSE)-VLOOKUP(AI$5,Coords[],3,FALSE))^2+(VLOOKUP($G65,Coords[],4,FALSE)-VLOOKUP(AI$5,Coords[],4,FALSE))^2)))</f>
        <v>1000</v>
      </c>
      <c r="AJ65" s="10">
        <f>IF($G65=AJ$5,1000,IF(AJ$4=0,1000,SQRT((VLOOKUP($G65,Coords[],3,FALSE)-VLOOKUP(AJ$5,Coords[],3,FALSE))^2+(VLOOKUP($G65,Coords[],4,FALSE)-VLOOKUP(AJ$5,Coords[],4,FALSE))^2)))</f>
        <v>1000</v>
      </c>
      <c r="AK65" s="10">
        <f>IF($G65=AK$5,1000,IF(AK$4=0,1000,SQRT((VLOOKUP($G65,Coords[],3,FALSE)-VLOOKUP(AK$5,Coords[],3,FALSE))^2+(VLOOKUP($G65,Coords[],4,FALSE)-VLOOKUP(AK$5,Coords[],4,FALSE))^2)))</f>
        <v>1000</v>
      </c>
      <c r="AL65" s="10">
        <f>IF($G65=AL$5,1000,IF(AL$4=0,1000,SQRT((VLOOKUP($G65,Coords[],3,FALSE)-VLOOKUP(AL$5,Coords[],3,FALSE))^2+(VLOOKUP($G65,Coords[],4,FALSE)-VLOOKUP(AL$5,Coords[],4,FALSE))^2)))</f>
        <v>1000</v>
      </c>
      <c r="AM65" s="10">
        <f>IF($G65=AM$5,1000,IF(AM$4=0,1000,SQRT((VLOOKUP($G65,Coords[],3,FALSE)-VLOOKUP(AM$5,Coords[],3,FALSE))^2+(VLOOKUP($G65,Coords[],4,FALSE)-VLOOKUP(AM$5,Coords[],4,FALSE))^2)))</f>
        <v>1000</v>
      </c>
      <c r="AN65" s="10">
        <f>IF($G65=AN$5,1000,IF(AN$4=0,1000,SQRT((VLOOKUP($G65,Coords[],3,FALSE)-VLOOKUP(AN$5,Coords[],3,FALSE))^2+(VLOOKUP($G65,Coords[],4,FALSE)-VLOOKUP(AN$5,Coords[],4,FALSE))^2)))</f>
        <v>1000</v>
      </c>
      <c r="AO65" s="10">
        <f>IF($G65=AO$5,1000,IF(AO$4=0,1000,SQRT((VLOOKUP($G65,Coords[],3,FALSE)-VLOOKUP(AO$5,Coords[],3,FALSE))^2+(VLOOKUP($G65,Coords[],4,FALSE)-VLOOKUP(AO$5,Coords[],4,FALSE))^2)))</f>
        <v>1000</v>
      </c>
      <c r="AP65" s="10">
        <f>IF($G65=AP$5,1000,IF(AP$4=0,1000,SQRT((VLOOKUP($G65,Coords[],3,FALSE)-VLOOKUP(AP$5,Coords[],3,FALSE))^2+(VLOOKUP($G65,Coords[],4,FALSE)-VLOOKUP(AP$5,Coords[],4,FALSE))^2)))</f>
        <v>1000</v>
      </c>
      <c r="AQ65" s="10">
        <f>IF($G65=AQ$5,1000,IF(AQ$4=0,1000,SQRT((VLOOKUP($G65,Coords[],3,FALSE)-VLOOKUP(AQ$5,Coords[],3,FALSE))^2+(VLOOKUP($G65,Coords[],4,FALSE)-VLOOKUP(AQ$5,Coords[],4,FALSE))^2)))</f>
        <v>1000</v>
      </c>
      <c r="AR65" s="10">
        <f>IF($G65=AR$5,1000,IF(AR$4=0,1000,SQRT((VLOOKUP($G65,Coords[],3,FALSE)-VLOOKUP(AR$5,Coords[],3,FALSE))^2+(VLOOKUP($G65,Coords[],4,FALSE)-VLOOKUP(AR$5,Coords[],4,FALSE))^2)))</f>
        <v>1000</v>
      </c>
      <c r="AS65" s="10">
        <f>IF($G65=AS$5,1000,IF(AS$4=0,1000,SQRT((VLOOKUP($G65,Coords[],3,FALSE)-VLOOKUP(AS$5,Coords[],3,FALSE))^2+(VLOOKUP($G65,Coords[],4,FALSE)-VLOOKUP(AS$5,Coords[],4,FALSE))^2)))</f>
        <v>1000</v>
      </c>
      <c r="AT65" s="10">
        <f>IF($G65=AT$5,1000,IF(AT$4=0,1000,SQRT((VLOOKUP($G65,Coords[],3,FALSE)-VLOOKUP(AT$5,Coords[],3,FALSE))^2+(VLOOKUP($G65,Coords[],4,FALSE)-VLOOKUP(AT$5,Coords[],4,FALSE))^2)))</f>
        <v>1000</v>
      </c>
      <c r="AU65" s="10">
        <f>IF($G65=AU$5,1000,IF(AU$4=0,1000,SQRT((VLOOKUP($G65,Coords[],3,FALSE)-VLOOKUP(AU$5,Coords[],3,FALSE))^2+(VLOOKUP($G65,Coords[],4,FALSE)-VLOOKUP(AU$5,Coords[],4,FALSE))^2)))</f>
        <v>1000</v>
      </c>
      <c r="AV65" s="10">
        <f>IF($G65=AV$5,1000,IF(AV$4=0,1000,SQRT((VLOOKUP($G65,Coords[],3,FALSE)-VLOOKUP(AV$5,Coords[],3,FALSE))^2+(VLOOKUP($G65,Coords[],4,FALSE)-VLOOKUP(AV$5,Coords[],4,FALSE))^2)))</f>
        <v>1000</v>
      </c>
      <c r="AW65" s="10">
        <f>IF($G65=AW$5,1000,IF(AW$4=0,1000,SQRT((VLOOKUP($G65,Coords[],3,FALSE)-VLOOKUP(AW$5,Coords[],3,FALSE))^2+(VLOOKUP($G65,Coords[],4,FALSE)-VLOOKUP(AW$5,Coords[],4,FALSE))^2)))</f>
        <v>1000</v>
      </c>
      <c r="AX65" s="10">
        <f>IF($G65=AX$5,1000,IF(AX$4=0,1000,SQRT((VLOOKUP($G65,Coords[],3,FALSE)-VLOOKUP(AX$5,Coords[],3,FALSE))^2+(VLOOKUP($G65,Coords[],4,FALSE)-VLOOKUP(AX$5,Coords[],4,FALSE))^2)))</f>
        <v>1000</v>
      </c>
      <c r="AY65" s="10">
        <f>IF($G65=AY$5,1000,IF(AY$4=0,1000,SQRT((VLOOKUP($G65,Coords[],3,FALSE)-VLOOKUP(AY$5,Coords[],3,FALSE))^2+(VLOOKUP($G65,Coords[],4,FALSE)-VLOOKUP(AY$5,Coords[],4,FALSE))^2)))</f>
        <v>1000</v>
      </c>
      <c r="AZ65" s="10">
        <f>IF($G65=AZ$5,1000,IF(AZ$4=0,1000,SQRT((VLOOKUP($G65,Coords[],3,FALSE)-VLOOKUP(AZ$5,Coords[],3,FALSE))^2+(VLOOKUP($G65,Coords[],4,FALSE)-VLOOKUP(AZ$5,Coords[],4,FALSE))^2)))</f>
        <v>1000</v>
      </c>
      <c r="BA65" s="10">
        <f>IF($G65=BA$5,1000,IF(BA$4=0,1000,SQRT((VLOOKUP($G65,Coords[],3,FALSE)-VLOOKUP(BA$5,Coords[],3,FALSE))^2+(VLOOKUP($G65,Coords[],4,FALSE)-VLOOKUP(BA$5,Coords[],4,FALSE))^2)))</f>
        <v>1000</v>
      </c>
      <c r="BB65" s="10">
        <f>IF($G65=BB$5,1000,IF(BB$4=0,1000,SQRT((VLOOKUP($G65,Coords[],3,FALSE)-VLOOKUP(BB$5,Coords[],3,FALSE))^2+(VLOOKUP($G65,Coords[],4,FALSE)-VLOOKUP(BB$5,Coords[],4,FALSE))^2)))</f>
        <v>1000</v>
      </c>
      <c r="BC65" s="10">
        <f>IF($G65=BC$5,1000,IF(BC$4=0,1000,SQRT((VLOOKUP($G65,Coords[],3,FALSE)-VLOOKUP(BC$5,Coords[],3,FALSE))^2+(VLOOKUP($G65,Coords[],4,FALSE)-VLOOKUP(BC$5,Coords[],4,FALSE))^2)))</f>
        <v>1000</v>
      </c>
      <c r="BD65" s="10">
        <f>IF($G65=BD$5,1000,IF(BD$4=0,1000,SQRT((VLOOKUP($G65,Coords[],3,FALSE)-VLOOKUP(BD$5,Coords[],3,FALSE))^2+(VLOOKUP($G65,Coords[],4,FALSE)-VLOOKUP(BD$5,Coords[],4,FALSE))^2)))</f>
        <v>1000</v>
      </c>
      <c r="BE65" s="10">
        <f>IF($G65=BE$5,1000,IF(BE$4=0,1000,SQRT((VLOOKUP($G65,Coords[],3,FALSE)-VLOOKUP(BE$5,Coords[],3,FALSE))^2+(VLOOKUP($G65,Coords[],4,FALSE)-VLOOKUP(BE$5,Coords[],4,FALSE))^2)))</f>
        <v>1000</v>
      </c>
      <c r="BF65" s="10">
        <f>IF($G65=BF$5,1000,IF(BF$4=0,1000,SQRT((VLOOKUP($G65,Coords[],3,FALSE)-VLOOKUP(BF$5,Coords[],3,FALSE))^2+(VLOOKUP($G65,Coords[],4,FALSE)-VLOOKUP(BF$5,Coords[],4,FALSE))^2)))</f>
        <v>1000</v>
      </c>
      <c r="BG65" s="10">
        <f>IF($G65=BG$5,1000,IF(BG$4=0,1000,SQRT((VLOOKUP($G65,Coords[],3,FALSE)-VLOOKUP(BG$5,Coords[],3,FALSE))^2+(VLOOKUP($G65,Coords[],4,FALSE)-VLOOKUP(BG$5,Coords[],4,FALSE))^2)))</f>
        <v>1000</v>
      </c>
      <c r="BH65" s="10">
        <f>IF($G65=BH$5,1000,IF(BH$4=0,1000,SQRT((VLOOKUP($G65,Coords[],3,FALSE)-VLOOKUP(BH$5,Coords[],3,FALSE))^2+(VLOOKUP($G65,Coords[],4,FALSE)-VLOOKUP(BH$5,Coords[],4,FALSE))^2)))</f>
        <v>1000</v>
      </c>
      <c r="BI65" s="10">
        <f>IF($G65=BI$5,1000,IF(BI$4=0,1000,SQRT((VLOOKUP($G65,Coords[],3,FALSE)-VLOOKUP(BI$5,Coords[],3,FALSE))^2+(VLOOKUP($G65,Coords[],4,FALSE)-VLOOKUP(BI$5,Coords[],4,FALSE))^2)))</f>
        <v>1000</v>
      </c>
      <c r="BJ65" s="10">
        <f>IF($G65=BJ$5,1000,IF(BJ$4=0,1000,SQRT((VLOOKUP($G65,Coords[],3,FALSE)-VLOOKUP(BJ$5,Coords[],3,FALSE))^2+(VLOOKUP($G65,Coords[],4,FALSE)-VLOOKUP(BJ$5,Coords[],4,FALSE))^2)))</f>
        <v>1000</v>
      </c>
      <c r="BK65" s="10">
        <f>IF($G65=BK$5,1000,IF(BK$4=0,1000,SQRT((VLOOKUP($G65,Coords[],3,FALSE)-VLOOKUP(BK$5,Coords[],3,FALSE))^2+(VLOOKUP($G65,Coords[],4,FALSE)-VLOOKUP(BK$5,Coords[],4,FALSE))^2)))</f>
        <v>1000</v>
      </c>
      <c r="BL65" s="10">
        <f>IF($G65=BL$5,1000,IF(BL$4=0,1000,SQRT((VLOOKUP($G65,Coords[],3,FALSE)-VLOOKUP(BL$5,Coords[],3,FALSE))^2+(VLOOKUP($G65,Coords[],4,FALSE)-VLOOKUP(BL$5,Coords[],4,FALSE))^2)))</f>
        <v>1000</v>
      </c>
      <c r="BM65" s="10">
        <f>IF($G65=BM$5,1000,IF(BM$4=0,1000,SQRT((VLOOKUP($G65,Coords[],3,FALSE)-VLOOKUP(BM$5,Coords[],3,FALSE))^2+(VLOOKUP($G65,Coords[],4,FALSE)-VLOOKUP(BM$5,Coords[],4,FALSE))^2)))</f>
        <v>1000</v>
      </c>
      <c r="BN65" s="10">
        <f>IF($G65=BN$5,1000,IF(BN$4=0,1000,SQRT((VLOOKUP($G65,Coords[],3,FALSE)-VLOOKUP(BN$5,Coords[],3,FALSE))^2+(VLOOKUP($G65,Coords[],4,FALSE)-VLOOKUP(BN$5,Coords[],4,FALSE))^2)))</f>
        <v>1000</v>
      </c>
      <c r="BO65" s="10">
        <f>IF($G65=BO$5,1000,IF(BO$4=0,1000,SQRT((VLOOKUP($G65,Coords[],3,FALSE)-VLOOKUP(BO$5,Coords[],3,FALSE))^2+(VLOOKUP($G65,Coords[],4,FALSE)-VLOOKUP(BO$5,Coords[],4,FALSE))^2)))</f>
        <v>1000</v>
      </c>
      <c r="BP65" s="10">
        <f>IF($G65=BP$5,1000,IF(BP$4=0,1000,SQRT((VLOOKUP($G65,Coords[],3,FALSE)-VLOOKUP(BP$5,Coords[],3,FALSE))^2+(VLOOKUP($G65,Coords[],4,FALSE)-VLOOKUP(BP$5,Coords[],4,FALSE))^2)))</f>
        <v>1000</v>
      </c>
      <c r="BQ65" s="10">
        <f>IF($G65=BQ$5,1000,IF(BQ$4=0,1000,SQRT((VLOOKUP($G65,Coords[],3,FALSE)-VLOOKUP(BQ$5,Coords[],3,FALSE))^2+(VLOOKUP($G65,Coords[],4,FALSE)-VLOOKUP(BQ$5,Coords[],4,FALSE))^2)))</f>
        <v>1000</v>
      </c>
      <c r="BR65" s="10">
        <f>IF($G65=BR$5,1000,IF(BR$4=0,1000,SQRT((VLOOKUP($G65,Coords[],3,FALSE)-VLOOKUP(BR$5,Coords[],3,FALSE))^2+(VLOOKUP($G65,Coords[],4,FALSE)-VLOOKUP(BR$5,Coords[],4,FALSE))^2)))</f>
        <v>1000</v>
      </c>
      <c r="BS65" s="10">
        <f>IF($G65=BS$5,1000,IF(BS$4=0,1000,SQRT((VLOOKUP($G65,Coords[],3,FALSE)-VLOOKUP(BS$5,Coords[],3,FALSE))^2+(VLOOKUP($G65,Coords[],4,FALSE)-VLOOKUP(BS$5,Coords[],4,FALSE))^2)))</f>
        <v>1000</v>
      </c>
      <c r="BT65" s="10">
        <f>IF($G65=BT$5,1000,IF(BT$4=0,1000,SQRT((VLOOKUP($G65,Coords[],3,FALSE)-VLOOKUP(BT$5,Coords[],3,FALSE))^2+(VLOOKUP($G65,Coords[],4,FALSE)-VLOOKUP(BT$5,Coords[],4,FALSE))^2)))</f>
        <v>1000</v>
      </c>
      <c r="BU65" s="10">
        <f>IF($G65=BU$5,1000,IF(BU$4=0,1000,SQRT((VLOOKUP($G65,Coords[],3,FALSE)-VLOOKUP(BU$5,Coords[],3,FALSE))^2+(VLOOKUP($G65,Coords[],4,FALSE)-VLOOKUP(BU$5,Coords[],4,FALSE))^2)))</f>
        <v>1000</v>
      </c>
      <c r="BV65" s="10">
        <f>IF($G65=BV$5,1000,IF(BV$4=0,1000,SQRT((VLOOKUP($G65,Coords[],3,FALSE)-VLOOKUP(BV$5,Coords[],3,FALSE))^2+(VLOOKUP($G65,Coords[],4,FALSE)-VLOOKUP(BV$5,Coords[],4,FALSE))^2)))</f>
        <v>1000</v>
      </c>
      <c r="BW65" s="10">
        <f>IF($G65=BW$5,1000,IF(BW$4=0,1000,SQRT((VLOOKUP($G65,Coords[],3,FALSE)-VLOOKUP(BW$5,Coords[],3,FALSE))^2+(VLOOKUP($G65,Coords[],4,FALSE)-VLOOKUP(BW$5,Coords[],4,FALSE))^2)))</f>
        <v>1000</v>
      </c>
      <c r="BX65" s="10">
        <f>IF($G65=BX$5,1000,IF(BX$4=0,1000,SQRT((VLOOKUP($G65,Coords[],3,FALSE)-VLOOKUP(BX$5,Coords[],3,FALSE))^2+(VLOOKUP($G65,Coords[],4,FALSE)-VLOOKUP(BX$5,Coords[],4,FALSE))^2)))</f>
        <v>1000</v>
      </c>
      <c r="BY65" s="10">
        <f>IF($G65=BY$5,1000,IF(BY$4=0,1000,SQRT((VLOOKUP($G65,Coords[],3,FALSE)-VLOOKUP(BY$5,Coords[],3,FALSE))^2+(VLOOKUP($G65,Coords[],4,FALSE)-VLOOKUP(BY$5,Coords[],4,FALSE))^2)))</f>
        <v>1000</v>
      </c>
      <c r="BZ65" s="10">
        <f>IF($G65=BZ$5,1000,IF(BZ$4=0,1000,SQRT((VLOOKUP($G65,Coords[],3,FALSE)-VLOOKUP(BZ$5,Coords[],3,FALSE))^2+(VLOOKUP($G65,Coords[],4,FALSE)-VLOOKUP(BZ$5,Coords[],4,FALSE))^2)))</f>
        <v>1000</v>
      </c>
      <c r="CA65" s="10">
        <f>IF($G65=CA$5,1000,IF(CA$4=0,1000,SQRT((VLOOKUP($G65,Coords[],3,FALSE)-VLOOKUP(CA$5,Coords[],3,FALSE))^2+(VLOOKUP($G65,Coords[],4,FALSE)-VLOOKUP(CA$5,Coords[],4,FALSE))^2)))</f>
        <v>1000</v>
      </c>
      <c r="CB65" s="10">
        <f>IF($G65=CB$5,1000,IF(CB$4=0,1000,SQRT((VLOOKUP($G65,Coords[],3,FALSE)-VLOOKUP(CB$5,Coords[],3,FALSE))^2+(VLOOKUP($G65,Coords[],4,FALSE)-VLOOKUP(CB$5,Coords[],4,FALSE))^2)))</f>
        <v>1000</v>
      </c>
      <c r="CC65" s="10">
        <f>IF($G65=CC$5,1000,IF(CC$4=0,1000,SQRT((VLOOKUP($G65,Coords[],3,FALSE)-VLOOKUP(CC$5,Coords[],3,FALSE))^2+(VLOOKUP($G65,Coords[],4,FALSE)-VLOOKUP(CC$5,Coords[],4,FALSE))^2)))</f>
        <v>1000</v>
      </c>
      <c r="CD65" s="10">
        <f>IF($G65=CD$5,1000,IF(CD$4=0,1000,SQRT((VLOOKUP($G65,Coords[],3,FALSE)-VLOOKUP(CD$5,Coords[],3,FALSE))^2+(VLOOKUP($G65,Coords[],4,FALSE)-VLOOKUP(CD$5,Coords[],4,FALSE))^2)))</f>
        <v>1000</v>
      </c>
      <c r="CE65" s="10">
        <f>IF($G65=CE$5,1000,IF(CE$4=0,1000,SQRT((VLOOKUP($G65,Coords[],3,FALSE)-VLOOKUP(CE$5,Coords[],3,FALSE))^2+(VLOOKUP($G65,Coords[],4,FALSE)-VLOOKUP(CE$5,Coords[],4,FALSE))^2)))</f>
        <v>1000</v>
      </c>
      <c r="CF65" s="4">
        <v>60</v>
      </c>
      <c r="CH65" s="5">
        <f>IF(E65=1,0,VLOOKUP($G65,$G$6:$CE$82,HLOOKUP(MIN(H65:CE65),$H65:$CE$82,((COUNT($G$6:$G$81)+2)-$G65),FALSE)+1,FALSE)*B65)</f>
        <v>0</v>
      </c>
      <c r="CI65" s="9">
        <f>VLOOKUP($G65,$G$6:$CE$82,HLOOKUP(MIN(H65:CE65),$H65:$CE$82,((COUNT($G$6:$G$81)+2)-$G65),FALSE)+1,FALSE)</f>
        <v>1000</v>
      </c>
      <c r="CJ65" s="7">
        <f>HLOOKUP(MIN(H65:CE65),$H65:$CE$82,((COUNT($G$6:$G$81)+2)-$G65),FALSE)</f>
        <v>1</v>
      </c>
      <c r="CK65">
        <f>CI65*Coords[[#This Row],[Demand]]</f>
        <v>0</v>
      </c>
    </row>
    <row r="66" spans="1:89" x14ac:dyDescent="0.25">
      <c r="A66" s="8">
        <v>61</v>
      </c>
      <c r="B66" s="3"/>
      <c r="C66" s="3"/>
      <c r="D66" s="3"/>
      <c r="E66" s="3"/>
      <c r="G66" s="4">
        <v>61</v>
      </c>
      <c r="H66" s="10">
        <f>IF($G66=H$5,1000,IF(H$4=0,1000,SQRT((VLOOKUP($G66,Coords[],3,FALSE)-VLOOKUP(H$5,Coords[],3,FALSE))^2+(VLOOKUP($G66,Coords[],4,FALSE)-VLOOKUP(H$5,Coords[],4,FALSE))^2)))</f>
        <v>1000</v>
      </c>
      <c r="I66" s="10">
        <f>IF($G66=I$5,1000,IF(I$4=0,1000,SQRT((VLOOKUP($G66,Coords[],3,FALSE)-VLOOKUP(I$5,Coords[],3,FALSE))^2+(VLOOKUP($G66,Coords[],4,FALSE)-VLOOKUP(I$5,Coords[],4,FALSE))^2)))</f>
        <v>1000</v>
      </c>
      <c r="J66" s="10">
        <f>IF($G66=J$5,1000,IF(J$4=0,1000,SQRT((VLOOKUP($G66,Coords[],3,FALSE)-VLOOKUP(J$5,Coords[],3,FALSE))^2+(VLOOKUP($G66,Coords[],4,FALSE)-VLOOKUP(J$5,Coords[],4,FALSE))^2)))</f>
        <v>1000</v>
      </c>
      <c r="K66" s="10">
        <f>IF($G66=K$5,1000,IF(K$4=0,1000,SQRT((VLOOKUP($G66,Coords[],3,FALSE)-VLOOKUP(K$5,Coords[],3,FALSE))^2+(VLOOKUP($G66,Coords[],4,FALSE)-VLOOKUP(K$5,Coords[],4,FALSE))^2)))</f>
        <v>1000</v>
      </c>
      <c r="L66" s="10">
        <f>IF($G66=L$5,1000,IF(L$4=0,1000,SQRT((VLOOKUP($G66,Coords[],3,FALSE)-VLOOKUP(L$5,Coords[],3,FALSE))^2+(VLOOKUP($G66,Coords[],4,FALSE)-VLOOKUP(L$5,Coords[],4,FALSE))^2)))</f>
        <v>1000</v>
      </c>
      <c r="M66" s="10">
        <f>IF($G66=M$5,1000,IF(M$4=0,1000,SQRT((VLOOKUP($G66,Coords[],3,FALSE)-VLOOKUP(M$5,Coords[],3,FALSE))^2+(VLOOKUP($G66,Coords[],4,FALSE)-VLOOKUP(M$5,Coords[],4,FALSE))^2)))</f>
        <v>1000</v>
      </c>
      <c r="N66" s="10">
        <f>IF($G66=N$5,1000,IF(N$4=0,1000,SQRT((VLOOKUP($G66,Coords[],3,FALSE)-VLOOKUP(N$5,Coords[],3,FALSE))^2+(VLOOKUP($G66,Coords[],4,FALSE)-VLOOKUP(N$5,Coords[],4,FALSE))^2)))</f>
        <v>1000</v>
      </c>
      <c r="O66" s="10">
        <f>IF($G66=O$5,1000,IF(O$4=0,1000,SQRT((VLOOKUP($G66,Coords[],3,FALSE)-VLOOKUP(O$5,Coords[],3,FALSE))^2+(VLOOKUP($G66,Coords[],4,FALSE)-VLOOKUP(O$5,Coords[],4,FALSE))^2)))</f>
        <v>1000</v>
      </c>
      <c r="P66" s="10">
        <f>IF($G66=P$5,1000,IF(P$4=0,1000,SQRT((VLOOKUP($G66,Coords[],3,FALSE)-VLOOKUP(P$5,Coords[],3,FALSE))^2+(VLOOKUP($G66,Coords[],4,FALSE)-VLOOKUP(P$5,Coords[],4,FALSE))^2)))</f>
        <v>1000</v>
      </c>
      <c r="Q66" s="10">
        <f>IF($G66=Q$5,1000,IF(Q$4=0,1000,SQRT((VLOOKUP($G66,Coords[],3,FALSE)-VLOOKUP(Q$5,Coords[],3,FALSE))^2+(VLOOKUP($G66,Coords[],4,FALSE)-VLOOKUP(Q$5,Coords[],4,FALSE))^2)))</f>
        <v>1000</v>
      </c>
      <c r="R66" s="10">
        <f>IF($G66=R$5,1000,IF(R$4=0,1000,SQRT((VLOOKUP($G66,Coords[],3,FALSE)-VLOOKUP(R$5,Coords[],3,FALSE))^2+(VLOOKUP($G66,Coords[],4,FALSE)-VLOOKUP(R$5,Coords[],4,FALSE))^2)))</f>
        <v>1000</v>
      </c>
      <c r="S66" s="10">
        <f>IF($G66=S$5,1000,IF(S$4=0,1000,SQRT((VLOOKUP($G66,Coords[],3,FALSE)-VLOOKUP(S$5,Coords[],3,FALSE))^2+(VLOOKUP($G66,Coords[],4,FALSE)-VLOOKUP(S$5,Coords[],4,FALSE))^2)))</f>
        <v>1000</v>
      </c>
      <c r="T66" s="10">
        <f>IF($G66=T$5,1000,IF(T$4=0,1000,SQRT((VLOOKUP($G66,Coords[],3,FALSE)-VLOOKUP(T$5,Coords[],3,FALSE))^2+(VLOOKUP($G66,Coords[],4,FALSE)-VLOOKUP(T$5,Coords[],4,FALSE))^2)))</f>
        <v>1000</v>
      </c>
      <c r="U66" s="10">
        <f>IF($G66=U$5,1000,IF(U$4=0,1000,SQRT((VLOOKUP($G66,Coords[],3,FALSE)-VLOOKUP(U$5,Coords[],3,FALSE))^2+(VLOOKUP($G66,Coords[],4,FALSE)-VLOOKUP(U$5,Coords[],4,FALSE))^2)))</f>
        <v>1000</v>
      </c>
      <c r="V66" s="10">
        <f>IF($G66=V$5,1000,IF(V$4=0,1000,SQRT((VLOOKUP($G66,Coords[],3,FALSE)-VLOOKUP(V$5,Coords[],3,FALSE))^2+(VLOOKUP($G66,Coords[],4,FALSE)-VLOOKUP(V$5,Coords[],4,FALSE))^2)))</f>
        <v>1000</v>
      </c>
      <c r="W66" s="10">
        <f>IF($G66=W$5,1000,IF(W$4=0,1000,SQRT((VLOOKUP($G66,Coords[],3,FALSE)-VLOOKUP(W$5,Coords[],3,FALSE))^2+(VLOOKUP($G66,Coords[],4,FALSE)-VLOOKUP(W$5,Coords[],4,FALSE))^2)))</f>
        <v>1000</v>
      </c>
      <c r="X66" s="10">
        <f>IF($G66=X$5,1000,IF(X$4=0,1000,SQRT((VLOOKUP($G66,Coords[],3,FALSE)-VLOOKUP(X$5,Coords[],3,FALSE))^2+(VLOOKUP($G66,Coords[],4,FALSE)-VLOOKUP(X$5,Coords[],4,FALSE))^2)))</f>
        <v>1000</v>
      </c>
      <c r="Y66" s="10">
        <f>IF($G66=Y$5,1000,IF(Y$4=0,1000,SQRT((VLOOKUP($G66,Coords[],3,FALSE)-VLOOKUP(Y$5,Coords[],3,FALSE))^2+(VLOOKUP($G66,Coords[],4,FALSE)-VLOOKUP(Y$5,Coords[],4,FALSE))^2)))</f>
        <v>1000</v>
      </c>
      <c r="Z66" s="10">
        <f>IF($G66=Z$5,1000,IF(Z$4=0,1000,SQRT((VLOOKUP($G66,Coords[],3,FALSE)-VLOOKUP(Z$5,Coords[],3,FALSE))^2+(VLOOKUP($G66,Coords[],4,FALSE)-VLOOKUP(Z$5,Coords[],4,FALSE))^2)))</f>
        <v>1000</v>
      </c>
      <c r="AA66" s="10">
        <f>IF($G66=AA$5,1000,IF(AA$4=0,1000,SQRT((VLOOKUP($G66,Coords[],3,FALSE)-VLOOKUP(AA$5,Coords[],3,FALSE))^2+(VLOOKUP($G66,Coords[],4,FALSE)-VLOOKUP(AA$5,Coords[],4,FALSE))^2)))</f>
        <v>1000</v>
      </c>
      <c r="AB66" s="10">
        <f>IF($G66=AB$5,1000,IF(AB$4=0,1000,SQRT((VLOOKUP($G66,Coords[],3,FALSE)-VLOOKUP(AB$5,Coords[],3,FALSE))^2+(VLOOKUP($G66,Coords[],4,FALSE)-VLOOKUP(AB$5,Coords[],4,FALSE))^2)))</f>
        <v>1000</v>
      </c>
      <c r="AC66" s="10">
        <f>IF($G66=AC$5,1000,IF(AC$4=0,1000,SQRT((VLOOKUP($G66,Coords[],3,FALSE)-VLOOKUP(AC$5,Coords[],3,FALSE))^2+(VLOOKUP($G66,Coords[],4,FALSE)-VLOOKUP(AC$5,Coords[],4,FALSE))^2)))</f>
        <v>1000</v>
      </c>
      <c r="AD66" s="10">
        <f>IF($G66=AD$5,1000,IF(AD$4=0,1000,SQRT((VLOOKUP($G66,Coords[],3,FALSE)-VLOOKUP(AD$5,Coords[],3,FALSE))^2+(VLOOKUP($G66,Coords[],4,FALSE)-VLOOKUP(AD$5,Coords[],4,FALSE))^2)))</f>
        <v>1000</v>
      </c>
      <c r="AE66" s="10">
        <f>IF($G66=AE$5,1000,IF(AE$4=0,1000,SQRT((VLOOKUP($G66,Coords[],3,FALSE)-VLOOKUP(AE$5,Coords[],3,FALSE))^2+(VLOOKUP($G66,Coords[],4,FALSE)-VLOOKUP(AE$5,Coords[],4,FALSE))^2)))</f>
        <v>1000</v>
      </c>
      <c r="AF66" s="10">
        <f>IF($G66=AF$5,1000,IF(AF$4=0,1000,SQRT((VLOOKUP($G66,Coords[],3,FALSE)-VLOOKUP(AF$5,Coords[],3,FALSE))^2+(VLOOKUP($G66,Coords[],4,FALSE)-VLOOKUP(AF$5,Coords[],4,FALSE))^2)))</f>
        <v>1000</v>
      </c>
      <c r="AG66" s="10">
        <f>IF($G66=AG$5,1000,IF(AG$4=0,1000,SQRT((VLOOKUP($G66,Coords[],3,FALSE)-VLOOKUP(AG$5,Coords[],3,FALSE))^2+(VLOOKUP($G66,Coords[],4,FALSE)-VLOOKUP(AG$5,Coords[],4,FALSE))^2)))</f>
        <v>1000</v>
      </c>
      <c r="AH66" s="10">
        <f>IF($G66=AH$5,1000,IF(AH$4=0,1000,SQRT((VLOOKUP($G66,Coords[],3,FALSE)-VLOOKUP(AH$5,Coords[],3,FALSE))^2+(VLOOKUP($G66,Coords[],4,FALSE)-VLOOKUP(AH$5,Coords[],4,FALSE))^2)))</f>
        <v>1000</v>
      </c>
      <c r="AI66" s="10">
        <f>IF($G66=AI$5,1000,IF(AI$4=0,1000,SQRT((VLOOKUP($G66,Coords[],3,FALSE)-VLOOKUP(AI$5,Coords[],3,FALSE))^2+(VLOOKUP($G66,Coords[],4,FALSE)-VLOOKUP(AI$5,Coords[],4,FALSE))^2)))</f>
        <v>1000</v>
      </c>
      <c r="AJ66" s="10">
        <f>IF($G66=AJ$5,1000,IF(AJ$4=0,1000,SQRT((VLOOKUP($G66,Coords[],3,FALSE)-VLOOKUP(AJ$5,Coords[],3,FALSE))^2+(VLOOKUP($G66,Coords[],4,FALSE)-VLOOKUP(AJ$5,Coords[],4,FALSE))^2)))</f>
        <v>1000</v>
      </c>
      <c r="AK66" s="10">
        <f>IF($G66=AK$5,1000,IF(AK$4=0,1000,SQRT((VLOOKUP($G66,Coords[],3,FALSE)-VLOOKUP(AK$5,Coords[],3,FALSE))^2+(VLOOKUP($G66,Coords[],4,FALSE)-VLOOKUP(AK$5,Coords[],4,FALSE))^2)))</f>
        <v>1000</v>
      </c>
      <c r="AL66" s="10">
        <f>IF($G66=AL$5,1000,IF(AL$4=0,1000,SQRT((VLOOKUP($G66,Coords[],3,FALSE)-VLOOKUP(AL$5,Coords[],3,FALSE))^2+(VLOOKUP($G66,Coords[],4,FALSE)-VLOOKUP(AL$5,Coords[],4,FALSE))^2)))</f>
        <v>1000</v>
      </c>
      <c r="AM66" s="10">
        <f>IF($G66=AM$5,1000,IF(AM$4=0,1000,SQRT((VLOOKUP($G66,Coords[],3,FALSE)-VLOOKUP(AM$5,Coords[],3,FALSE))^2+(VLOOKUP($G66,Coords[],4,FALSE)-VLOOKUP(AM$5,Coords[],4,FALSE))^2)))</f>
        <v>1000</v>
      </c>
      <c r="AN66" s="10">
        <f>IF($G66=AN$5,1000,IF(AN$4=0,1000,SQRT((VLOOKUP($G66,Coords[],3,FALSE)-VLOOKUP(AN$5,Coords[],3,FALSE))^2+(VLOOKUP($G66,Coords[],4,FALSE)-VLOOKUP(AN$5,Coords[],4,FALSE))^2)))</f>
        <v>1000</v>
      </c>
      <c r="AO66" s="10">
        <f>IF($G66=AO$5,1000,IF(AO$4=0,1000,SQRT((VLOOKUP($G66,Coords[],3,FALSE)-VLOOKUP(AO$5,Coords[],3,FALSE))^2+(VLOOKUP($G66,Coords[],4,FALSE)-VLOOKUP(AO$5,Coords[],4,FALSE))^2)))</f>
        <v>1000</v>
      </c>
      <c r="AP66" s="10">
        <f>IF($G66=AP$5,1000,IF(AP$4=0,1000,SQRT((VLOOKUP($G66,Coords[],3,FALSE)-VLOOKUP(AP$5,Coords[],3,FALSE))^2+(VLOOKUP($G66,Coords[],4,FALSE)-VLOOKUP(AP$5,Coords[],4,FALSE))^2)))</f>
        <v>1000</v>
      </c>
      <c r="AQ66" s="10">
        <f>IF($G66=AQ$5,1000,IF(AQ$4=0,1000,SQRT((VLOOKUP($G66,Coords[],3,FALSE)-VLOOKUP(AQ$5,Coords[],3,FALSE))^2+(VLOOKUP($G66,Coords[],4,FALSE)-VLOOKUP(AQ$5,Coords[],4,FALSE))^2)))</f>
        <v>1000</v>
      </c>
      <c r="AR66" s="10">
        <f>IF($G66=AR$5,1000,IF(AR$4=0,1000,SQRT((VLOOKUP($G66,Coords[],3,FALSE)-VLOOKUP(AR$5,Coords[],3,FALSE))^2+(VLOOKUP($G66,Coords[],4,FALSE)-VLOOKUP(AR$5,Coords[],4,FALSE))^2)))</f>
        <v>1000</v>
      </c>
      <c r="AS66" s="10">
        <f>IF($G66=AS$5,1000,IF(AS$4=0,1000,SQRT((VLOOKUP($G66,Coords[],3,FALSE)-VLOOKUP(AS$5,Coords[],3,FALSE))^2+(VLOOKUP($G66,Coords[],4,FALSE)-VLOOKUP(AS$5,Coords[],4,FALSE))^2)))</f>
        <v>1000</v>
      </c>
      <c r="AT66" s="10">
        <f>IF($G66=AT$5,1000,IF(AT$4=0,1000,SQRT((VLOOKUP($G66,Coords[],3,FALSE)-VLOOKUP(AT$5,Coords[],3,FALSE))^2+(VLOOKUP($G66,Coords[],4,FALSE)-VLOOKUP(AT$5,Coords[],4,FALSE))^2)))</f>
        <v>1000</v>
      </c>
      <c r="AU66" s="10">
        <f>IF($G66=AU$5,1000,IF(AU$4=0,1000,SQRT((VLOOKUP($G66,Coords[],3,FALSE)-VLOOKUP(AU$5,Coords[],3,FALSE))^2+(VLOOKUP($G66,Coords[],4,FALSE)-VLOOKUP(AU$5,Coords[],4,FALSE))^2)))</f>
        <v>1000</v>
      </c>
      <c r="AV66" s="10">
        <f>IF($G66=AV$5,1000,IF(AV$4=0,1000,SQRT((VLOOKUP($G66,Coords[],3,FALSE)-VLOOKUP(AV$5,Coords[],3,FALSE))^2+(VLOOKUP($G66,Coords[],4,FALSE)-VLOOKUP(AV$5,Coords[],4,FALSE))^2)))</f>
        <v>1000</v>
      </c>
      <c r="AW66" s="10">
        <f>IF($G66=AW$5,1000,IF(AW$4=0,1000,SQRT((VLOOKUP($G66,Coords[],3,FALSE)-VLOOKUP(AW$5,Coords[],3,FALSE))^2+(VLOOKUP($G66,Coords[],4,FALSE)-VLOOKUP(AW$5,Coords[],4,FALSE))^2)))</f>
        <v>1000</v>
      </c>
      <c r="AX66" s="10">
        <f>IF($G66=AX$5,1000,IF(AX$4=0,1000,SQRT((VLOOKUP($G66,Coords[],3,FALSE)-VLOOKUP(AX$5,Coords[],3,FALSE))^2+(VLOOKUP($G66,Coords[],4,FALSE)-VLOOKUP(AX$5,Coords[],4,FALSE))^2)))</f>
        <v>1000</v>
      </c>
      <c r="AY66" s="10">
        <f>IF($G66=AY$5,1000,IF(AY$4=0,1000,SQRT((VLOOKUP($G66,Coords[],3,FALSE)-VLOOKUP(AY$5,Coords[],3,FALSE))^2+(VLOOKUP($G66,Coords[],4,FALSE)-VLOOKUP(AY$5,Coords[],4,FALSE))^2)))</f>
        <v>1000</v>
      </c>
      <c r="AZ66" s="10">
        <f>IF($G66=AZ$5,1000,IF(AZ$4=0,1000,SQRT((VLOOKUP($G66,Coords[],3,FALSE)-VLOOKUP(AZ$5,Coords[],3,FALSE))^2+(VLOOKUP($G66,Coords[],4,FALSE)-VLOOKUP(AZ$5,Coords[],4,FALSE))^2)))</f>
        <v>1000</v>
      </c>
      <c r="BA66" s="10">
        <f>IF($G66=BA$5,1000,IF(BA$4=0,1000,SQRT((VLOOKUP($G66,Coords[],3,FALSE)-VLOOKUP(BA$5,Coords[],3,FALSE))^2+(VLOOKUP($G66,Coords[],4,FALSE)-VLOOKUP(BA$5,Coords[],4,FALSE))^2)))</f>
        <v>1000</v>
      </c>
      <c r="BB66" s="10">
        <f>IF($G66=BB$5,1000,IF(BB$4=0,1000,SQRT((VLOOKUP($G66,Coords[],3,FALSE)-VLOOKUP(BB$5,Coords[],3,FALSE))^2+(VLOOKUP($G66,Coords[],4,FALSE)-VLOOKUP(BB$5,Coords[],4,FALSE))^2)))</f>
        <v>1000</v>
      </c>
      <c r="BC66" s="10">
        <f>IF($G66=BC$5,1000,IF(BC$4=0,1000,SQRT((VLOOKUP($G66,Coords[],3,FALSE)-VLOOKUP(BC$5,Coords[],3,FALSE))^2+(VLOOKUP($G66,Coords[],4,FALSE)-VLOOKUP(BC$5,Coords[],4,FALSE))^2)))</f>
        <v>1000</v>
      </c>
      <c r="BD66" s="10">
        <f>IF($G66=BD$5,1000,IF(BD$4=0,1000,SQRT((VLOOKUP($G66,Coords[],3,FALSE)-VLOOKUP(BD$5,Coords[],3,FALSE))^2+(VLOOKUP($G66,Coords[],4,FALSE)-VLOOKUP(BD$5,Coords[],4,FALSE))^2)))</f>
        <v>1000</v>
      </c>
      <c r="BE66" s="10">
        <f>IF($G66=BE$5,1000,IF(BE$4=0,1000,SQRT((VLOOKUP($G66,Coords[],3,FALSE)-VLOOKUP(BE$5,Coords[],3,FALSE))^2+(VLOOKUP($G66,Coords[],4,FALSE)-VLOOKUP(BE$5,Coords[],4,FALSE))^2)))</f>
        <v>1000</v>
      </c>
      <c r="BF66" s="10">
        <f>IF($G66=BF$5,1000,IF(BF$4=0,1000,SQRT((VLOOKUP($G66,Coords[],3,FALSE)-VLOOKUP(BF$5,Coords[],3,FALSE))^2+(VLOOKUP($G66,Coords[],4,FALSE)-VLOOKUP(BF$5,Coords[],4,FALSE))^2)))</f>
        <v>1000</v>
      </c>
      <c r="BG66" s="10">
        <f>IF($G66=BG$5,1000,IF(BG$4=0,1000,SQRT((VLOOKUP($G66,Coords[],3,FALSE)-VLOOKUP(BG$5,Coords[],3,FALSE))^2+(VLOOKUP($G66,Coords[],4,FALSE)-VLOOKUP(BG$5,Coords[],4,FALSE))^2)))</f>
        <v>1000</v>
      </c>
      <c r="BH66" s="10">
        <f>IF($G66=BH$5,1000,IF(BH$4=0,1000,SQRT((VLOOKUP($G66,Coords[],3,FALSE)-VLOOKUP(BH$5,Coords[],3,FALSE))^2+(VLOOKUP($G66,Coords[],4,FALSE)-VLOOKUP(BH$5,Coords[],4,FALSE))^2)))</f>
        <v>1000</v>
      </c>
      <c r="BI66" s="10">
        <f>IF($G66=BI$5,1000,IF(BI$4=0,1000,SQRT((VLOOKUP($G66,Coords[],3,FALSE)-VLOOKUP(BI$5,Coords[],3,FALSE))^2+(VLOOKUP($G66,Coords[],4,FALSE)-VLOOKUP(BI$5,Coords[],4,FALSE))^2)))</f>
        <v>1000</v>
      </c>
      <c r="BJ66" s="10">
        <f>IF($G66=BJ$5,1000,IF(BJ$4=0,1000,SQRT((VLOOKUP($G66,Coords[],3,FALSE)-VLOOKUP(BJ$5,Coords[],3,FALSE))^2+(VLOOKUP($G66,Coords[],4,FALSE)-VLOOKUP(BJ$5,Coords[],4,FALSE))^2)))</f>
        <v>1000</v>
      </c>
      <c r="BK66" s="10">
        <f>IF($G66=BK$5,1000,IF(BK$4=0,1000,SQRT((VLOOKUP($G66,Coords[],3,FALSE)-VLOOKUP(BK$5,Coords[],3,FALSE))^2+(VLOOKUP($G66,Coords[],4,FALSE)-VLOOKUP(BK$5,Coords[],4,FALSE))^2)))</f>
        <v>1000</v>
      </c>
      <c r="BL66" s="10">
        <f>IF($G66=BL$5,1000,IF(BL$4=0,1000,SQRT((VLOOKUP($G66,Coords[],3,FALSE)-VLOOKUP(BL$5,Coords[],3,FALSE))^2+(VLOOKUP($G66,Coords[],4,FALSE)-VLOOKUP(BL$5,Coords[],4,FALSE))^2)))</f>
        <v>1000</v>
      </c>
      <c r="BM66" s="10">
        <f>IF($G66=BM$5,1000,IF(BM$4=0,1000,SQRT((VLOOKUP($G66,Coords[],3,FALSE)-VLOOKUP(BM$5,Coords[],3,FALSE))^2+(VLOOKUP($G66,Coords[],4,FALSE)-VLOOKUP(BM$5,Coords[],4,FALSE))^2)))</f>
        <v>1000</v>
      </c>
      <c r="BN66" s="10">
        <f>IF($G66=BN$5,1000,IF(BN$4=0,1000,SQRT((VLOOKUP($G66,Coords[],3,FALSE)-VLOOKUP(BN$5,Coords[],3,FALSE))^2+(VLOOKUP($G66,Coords[],4,FALSE)-VLOOKUP(BN$5,Coords[],4,FALSE))^2)))</f>
        <v>1000</v>
      </c>
      <c r="BO66" s="10">
        <f>IF($G66=BO$5,1000,IF(BO$4=0,1000,SQRT((VLOOKUP($G66,Coords[],3,FALSE)-VLOOKUP(BO$5,Coords[],3,FALSE))^2+(VLOOKUP($G66,Coords[],4,FALSE)-VLOOKUP(BO$5,Coords[],4,FALSE))^2)))</f>
        <v>1000</v>
      </c>
      <c r="BP66" s="10">
        <f>IF($G66=BP$5,1000,IF(BP$4=0,1000,SQRT((VLOOKUP($G66,Coords[],3,FALSE)-VLOOKUP(BP$5,Coords[],3,FALSE))^2+(VLOOKUP($G66,Coords[],4,FALSE)-VLOOKUP(BP$5,Coords[],4,FALSE))^2)))</f>
        <v>1000</v>
      </c>
      <c r="BQ66" s="10">
        <f>IF($G66=BQ$5,1000,IF(BQ$4=0,1000,SQRT((VLOOKUP($G66,Coords[],3,FALSE)-VLOOKUP(BQ$5,Coords[],3,FALSE))^2+(VLOOKUP($G66,Coords[],4,FALSE)-VLOOKUP(BQ$5,Coords[],4,FALSE))^2)))</f>
        <v>1000</v>
      </c>
      <c r="BR66" s="10">
        <f>IF($G66=BR$5,1000,IF(BR$4=0,1000,SQRT((VLOOKUP($G66,Coords[],3,FALSE)-VLOOKUP(BR$5,Coords[],3,FALSE))^2+(VLOOKUP($G66,Coords[],4,FALSE)-VLOOKUP(BR$5,Coords[],4,FALSE))^2)))</f>
        <v>1000</v>
      </c>
      <c r="BS66" s="10">
        <f>IF($G66=BS$5,1000,IF(BS$4=0,1000,SQRT((VLOOKUP($G66,Coords[],3,FALSE)-VLOOKUP(BS$5,Coords[],3,FALSE))^2+(VLOOKUP($G66,Coords[],4,FALSE)-VLOOKUP(BS$5,Coords[],4,FALSE))^2)))</f>
        <v>1000</v>
      </c>
      <c r="BT66" s="10">
        <f>IF($G66=BT$5,1000,IF(BT$4=0,1000,SQRT((VLOOKUP($G66,Coords[],3,FALSE)-VLOOKUP(BT$5,Coords[],3,FALSE))^2+(VLOOKUP($G66,Coords[],4,FALSE)-VLOOKUP(BT$5,Coords[],4,FALSE))^2)))</f>
        <v>1000</v>
      </c>
      <c r="BU66" s="10">
        <f>IF($G66=BU$5,1000,IF(BU$4=0,1000,SQRT((VLOOKUP($G66,Coords[],3,FALSE)-VLOOKUP(BU$5,Coords[],3,FALSE))^2+(VLOOKUP($G66,Coords[],4,FALSE)-VLOOKUP(BU$5,Coords[],4,FALSE))^2)))</f>
        <v>1000</v>
      </c>
      <c r="BV66" s="10">
        <f>IF($G66=BV$5,1000,IF(BV$4=0,1000,SQRT((VLOOKUP($G66,Coords[],3,FALSE)-VLOOKUP(BV$5,Coords[],3,FALSE))^2+(VLOOKUP($G66,Coords[],4,FALSE)-VLOOKUP(BV$5,Coords[],4,FALSE))^2)))</f>
        <v>1000</v>
      </c>
      <c r="BW66" s="10">
        <f>IF($G66=BW$5,1000,IF(BW$4=0,1000,SQRT((VLOOKUP($G66,Coords[],3,FALSE)-VLOOKUP(BW$5,Coords[],3,FALSE))^2+(VLOOKUP($G66,Coords[],4,FALSE)-VLOOKUP(BW$5,Coords[],4,FALSE))^2)))</f>
        <v>1000</v>
      </c>
      <c r="BX66" s="10">
        <f>IF($G66=BX$5,1000,IF(BX$4=0,1000,SQRT((VLOOKUP($G66,Coords[],3,FALSE)-VLOOKUP(BX$5,Coords[],3,FALSE))^2+(VLOOKUP($G66,Coords[],4,FALSE)-VLOOKUP(BX$5,Coords[],4,FALSE))^2)))</f>
        <v>1000</v>
      </c>
      <c r="BY66" s="10">
        <f>IF($G66=BY$5,1000,IF(BY$4=0,1000,SQRT((VLOOKUP($G66,Coords[],3,FALSE)-VLOOKUP(BY$5,Coords[],3,FALSE))^2+(VLOOKUP($G66,Coords[],4,FALSE)-VLOOKUP(BY$5,Coords[],4,FALSE))^2)))</f>
        <v>1000</v>
      </c>
      <c r="BZ66" s="10">
        <f>IF($G66=BZ$5,1000,IF(BZ$4=0,1000,SQRT((VLOOKUP($G66,Coords[],3,FALSE)-VLOOKUP(BZ$5,Coords[],3,FALSE))^2+(VLOOKUP($G66,Coords[],4,FALSE)-VLOOKUP(BZ$5,Coords[],4,FALSE))^2)))</f>
        <v>1000</v>
      </c>
      <c r="CA66" s="10">
        <f>IF($G66=CA$5,1000,IF(CA$4=0,1000,SQRT((VLOOKUP($G66,Coords[],3,FALSE)-VLOOKUP(CA$5,Coords[],3,FALSE))^2+(VLOOKUP($G66,Coords[],4,FALSE)-VLOOKUP(CA$5,Coords[],4,FALSE))^2)))</f>
        <v>1000</v>
      </c>
      <c r="CB66" s="10">
        <f>IF($G66=CB$5,1000,IF(CB$4=0,1000,SQRT((VLOOKUP($G66,Coords[],3,FALSE)-VLOOKUP(CB$5,Coords[],3,FALSE))^2+(VLOOKUP($G66,Coords[],4,FALSE)-VLOOKUP(CB$5,Coords[],4,FALSE))^2)))</f>
        <v>1000</v>
      </c>
      <c r="CC66" s="10">
        <f>IF($G66=CC$5,1000,IF(CC$4=0,1000,SQRT((VLOOKUP($G66,Coords[],3,FALSE)-VLOOKUP(CC$5,Coords[],3,FALSE))^2+(VLOOKUP($G66,Coords[],4,FALSE)-VLOOKUP(CC$5,Coords[],4,FALSE))^2)))</f>
        <v>1000</v>
      </c>
      <c r="CD66" s="10">
        <f>IF($G66=CD$5,1000,IF(CD$4=0,1000,SQRT((VLOOKUP($G66,Coords[],3,FALSE)-VLOOKUP(CD$5,Coords[],3,FALSE))^2+(VLOOKUP($G66,Coords[],4,FALSE)-VLOOKUP(CD$5,Coords[],4,FALSE))^2)))</f>
        <v>1000</v>
      </c>
      <c r="CE66" s="10">
        <f>IF($G66=CE$5,1000,IF(CE$4=0,1000,SQRT((VLOOKUP($G66,Coords[],3,FALSE)-VLOOKUP(CE$5,Coords[],3,FALSE))^2+(VLOOKUP($G66,Coords[],4,FALSE)-VLOOKUP(CE$5,Coords[],4,FALSE))^2)))</f>
        <v>1000</v>
      </c>
      <c r="CF66" s="4">
        <v>61</v>
      </c>
      <c r="CH66" s="5">
        <f>IF(E66=1,0,VLOOKUP($G66,$G$6:$CE$82,HLOOKUP(MIN(H66:CE66),$H66:$CE$82,((COUNT($G$6:$G$81)+2)-$G66),FALSE)+1,FALSE)*B66)</f>
        <v>0</v>
      </c>
      <c r="CI66" s="9">
        <f>VLOOKUP($G66,$G$6:$CE$82,HLOOKUP(MIN(H66:CE66),$H66:$CE$82,((COUNT($G$6:$G$81)+2)-$G66),FALSE)+1,FALSE)</f>
        <v>1000</v>
      </c>
      <c r="CJ66" s="7">
        <f>HLOOKUP(MIN(H66:CE66),$H66:$CE$82,((COUNT($G$6:$G$81)+2)-$G66),FALSE)</f>
        <v>1</v>
      </c>
      <c r="CK66">
        <f>CI66*Coords[[#This Row],[Demand]]</f>
        <v>0</v>
      </c>
    </row>
    <row r="67" spans="1:89" x14ac:dyDescent="0.25">
      <c r="A67" s="8">
        <v>62</v>
      </c>
      <c r="B67" s="3"/>
      <c r="C67" s="3"/>
      <c r="D67" s="3"/>
      <c r="E67" s="3"/>
      <c r="G67" s="4">
        <v>62</v>
      </c>
      <c r="H67" s="10">
        <f>IF($G67=H$5,1000,IF(H$4=0,1000,SQRT((VLOOKUP($G67,Coords[],3,FALSE)-VLOOKUP(H$5,Coords[],3,FALSE))^2+(VLOOKUP($G67,Coords[],4,FALSE)-VLOOKUP(H$5,Coords[],4,FALSE))^2)))</f>
        <v>1000</v>
      </c>
      <c r="I67" s="10">
        <f>IF($G67=I$5,1000,IF(I$4=0,1000,SQRT((VLOOKUP($G67,Coords[],3,FALSE)-VLOOKUP(I$5,Coords[],3,FALSE))^2+(VLOOKUP($G67,Coords[],4,FALSE)-VLOOKUP(I$5,Coords[],4,FALSE))^2)))</f>
        <v>1000</v>
      </c>
      <c r="J67" s="10">
        <f>IF($G67=J$5,1000,IF(J$4=0,1000,SQRT((VLOOKUP($G67,Coords[],3,FALSE)-VLOOKUP(J$5,Coords[],3,FALSE))^2+(VLOOKUP($G67,Coords[],4,FALSE)-VLOOKUP(J$5,Coords[],4,FALSE))^2)))</f>
        <v>1000</v>
      </c>
      <c r="K67" s="10">
        <f>IF($G67=K$5,1000,IF(K$4=0,1000,SQRT((VLOOKUP($G67,Coords[],3,FALSE)-VLOOKUP(K$5,Coords[],3,FALSE))^2+(VLOOKUP($G67,Coords[],4,FALSE)-VLOOKUP(K$5,Coords[],4,FALSE))^2)))</f>
        <v>1000</v>
      </c>
      <c r="L67" s="10">
        <f>IF($G67=L$5,1000,IF(L$4=0,1000,SQRT((VLOOKUP($G67,Coords[],3,FALSE)-VLOOKUP(L$5,Coords[],3,FALSE))^2+(VLOOKUP($G67,Coords[],4,FALSE)-VLOOKUP(L$5,Coords[],4,FALSE))^2)))</f>
        <v>1000</v>
      </c>
      <c r="M67" s="10">
        <f>IF($G67=M$5,1000,IF(M$4=0,1000,SQRT((VLOOKUP($G67,Coords[],3,FALSE)-VLOOKUP(M$5,Coords[],3,FALSE))^2+(VLOOKUP($G67,Coords[],4,FALSE)-VLOOKUP(M$5,Coords[],4,FALSE))^2)))</f>
        <v>1000</v>
      </c>
      <c r="N67" s="10">
        <f>IF($G67=N$5,1000,IF(N$4=0,1000,SQRT((VLOOKUP($G67,Coords[],3,FALSE)-VLOOKUP(N$5,Coords[],3,FALSE))^2+(VLOOKUP($G67,Coords[],4,FALSE)-VLOOKUP(N$5,Coords[],4,FALSE))^2)))</f>
        <v>1000</v>
      </c>
      <c r="O67" s="10">
        <f>IF($G67=O$5,1000,IF(O$4=0,1000,SQRT((VLOOKUP($G67,Coords[],3,FALSE)-VLOOKUP(O$5,Coords[],3,FALSE))^2+(VLOOKUP($G67,Coords[],4,FALSE)-VLOOKUP(O$5,Coords[],4,FALSE))^2)))</f>
        <v>1000</v>
      </c>
      <c r="P67" s="10">
        <f>IF($G67=P$5,1000,IF(P$4=0,1000,SQRT((VLOOKUP($G67,Coords[],3,FALSE)-VLOOKUP(P$5,Coords[],3,FALSE))^2+(VLOOKUP($G67,Coords[],4,FALSE)-VLOOKUP(P$5,Coords[],4,FALSE))^2)))</f>
        <v>1000</v>
      </c>
      <c r="Q67" s="10">
        <f>IF($G67=Q$5,1000,IF(Q$4=0,1000,SQRT((VLOOKUP($G67,Coords[],3,FALSE)-VLOOKUP(Q$5,Coords[],3,FALSE))^2+(VLOOKUP($G67,Coords[],4,FALSE)-VLOOKUP(Q$5,Coords[],4,FALSE))^2)))</f>
        <v>1000</v>
      </c>
      <c r="R67" s="10">
        <f>IF($G67=R$5,1000,IF(R$4=0,1000,SQRT((VLOOKUP($G67,Coords[],3,FALSE)-VLOOKUP(R$5,Coords[],3,FALSE))^2+(VLOOKUP($G67,Coords[],4,FALSE)-VLOOKUP(R$5,Coords[],4,FALSE))^2)))</f>
        <v>1000</v>
      </c>
      <c r="S67" s="10">
        <f>IF($G67=S$5,1000,IF(S$4=0,1000,SQRT((VLOOKUP($G67,Coords[],3,FALSE)-VLOOKUP(S$5,Coords[],3,FALSE))^2+(VLOOKUP($G67,Coords[],4,FALSE)-VLOOKUP(S$5,Coords[],4,FALSE))^2)))</f>
        <v>1000</v>
      </c>
      <c r="T67" s="10">
        <f>IF($G67=T$5,1000,IF(T$4=0,1000,SQRT((VLOOKUP($G67,Coords[],3,FALSE)-VLOOKUP(T$5,Coords[],3,FALSE))^2+(VLOOKUP($G67,Coords[],4,FALSE)-VLOOKUP(T$5,Coords[],4,FALSE))^2)))</f>
        <v>1000</v>
      </c>
      <c r="U67" s="10">
        <f>IF($G67=U$5,1000,IF(U$4=0,1000,SQRT((VLOOKUP($G67,Coords[],3,FALSE)-VLOOKUP(U$5,Coords[],3,FALSE))^2+(VLOOKUP($G67,Coords[],4,FALSE)-VLOOKUP(U$5,Coords[],4,FALSE))^2)))</f>
        <v>1000</v>
      </c>
      <c r="V67" s="10">
        <f>IF($G67=V$5,1000,IF(V$4=0,1000,SQRT((VLOOKUP($G67,Coords[],3,FALSE)-VLOOKUP(V$5,Coords[],3,FALSE))^2+(VLOOKUP($G67,Coords[],4,FALSE)-VLOOKUP(V$5,Coords[],4,FALSE))^2)))</f>
        <v>1000</v>
      </c>
      <c r="W67" s="10">
        <f>IF($G67=W$5,1000,IF(W$4=0,1000,SQRT((VLOOKUP($G67,Coords[],3,FALSE)-VLOOKUP(W$5,Coords[],3,FALSE))^2+(VLOOKUP($G67,Coords[],4,FALSE)-VLOOKUP(W$5,Coords[],4,FALSE))^2)))</f>
        <v>1000</v>
      </c>
      <c r="X67" s="10">
        <f>IF($G67=X$5,1000,IF(X$4=0,1000,SQRT((VLOOKUP($G67,Coords[],3,FALSE)-VLOOKUP(X$5,Coords[],3,FALSE))^2+(VLOOKUP($G67,Coords[],4,FALSE)-VLOOKUP(X$5,Coords[],4,FALSE))^2)))</f>
        <v>1000</v>
      </c>
      <c r="Y67" s="10">
        <f>IF($G67=Y$5,1000,IF(Y$4=0,1000,SQRT((VLOOKUP($G67,Coords[],3,FALSE)-VLOOKUP(Y$5,Coords[],3,FALSE))^2+(VLOOKUP($G67,Coords[],4,FALSE)-VLOOKUP(Y$5,Coords[],4,FALSE))^2)))</f>
        <v>1000</v>
      </c>
      <c r="Z67" s="10">
        <f>IF($G67=Z$5,1000,IF(Z$4=0,1000,SQRT((VLOOKUP($G67,Coords[],3,FALSE)-VLOOKUP(Z$5,Coords[],3,FALSE))^2+(VLOOKUP($G67,Coords[],4,FALSE)-VLOOKUP(Z$5,Coords[],4,FALSE))^2)))</f>
        <v>1000</v>
      </c>
      <c r="AA67" s="10">
        <f>IF($G67=AA$5,1000,IF(AA$4=0,1000,SQRT((VLOOKUP($G67,Coords[],3,FALSE)-VLOOKUP(AA$5,Coords[],3,FALSE))^2+(VLOOKUP($G67,Coords[],4,FALSE)-VLOOKUP(AA$5,Coords[],4,FALSE))^2)))</f>
        <v>1000</v>
      </c>
      <c r="AB67" s="10">
        <f>IF($G67=AB$5,1000,IF(AB$4=0,1000,SQRT((VLOOKUP($G67,Coords[],3,FALSE)-VLOOKUP(AB$5,Coords[],3,FALSE))^2+(VLOOKUP($G67,Coords[],4,FALSE)-VLOOKUP(AB$5,Coords[],4,FALSE))^2)))</f>
        <v>1000</v>
      </c>
      <c r="AC67" s="10">
        <f>IF($G67=AC$5,1000,IF(AC$4=0,1000,SQRT((VLOOKUP($G67,Coords[],3,FALSE)-VLOOKUP(AC$5,Coords[],3,FALSE))^2+(VLOOKUP($G67,Coords[],4,FALSE)-VLOOKUP(AC$5,Coords[],4,FALSE))^2)))</f>
        <v>1000</v>
      </c>
      <c r="AD67" s="10">
        <f>IF($G67=AD$5,1000,IF(AD$4=0,1000,SQRT((VLOOKUP($G67,Coords[],3,FALSE)-VLOOKUP(AD$5,Coords[],3,FALSE))^2+(VLOOKUP($G67,Coords[],4,FALSE)-VLOOKUP(AD$5,Coords[],4,FALSE))^2)))</f>
        <v>1000</v>
      </c>
      <c r="AE67" s="10">
        <f>IF($G67=AE$5,1000,IF(AE$4=0,1000,SQRT((VLOOKUP($G67,Coords[],3,FALSE)-VLOOKUP(AE$5,Coords[],3,FALSE))^2+(VLOOKUP($G67,Coords[],4,FALSE)-VLOOKUP(AE$5,Coords[],4,FALSE))^2)))</f>
        <v>1000</v>
      </c>
      <c r="AF67" s="10">
        <f>IF($G67=AF$5,1000,IF(AF$4=0,1000,SQRT((VLOOKUP($G67,Coords[],3,FALSE)-VLOOKUP(AF$5,Coords[],3,FALSE))^2+(VLOOKUP($G67,Coords[],4,FALSE)-VLOOKUP(AF$5,Coords[],4,FALSE))^2)))</f>
        <v>1000</v>
      </c>
      <c r="AG67" s="10">
        <f>IF($G67=AG$5,1000,IF(AG$4=0,1000,SQRT((VLOOKUP($G67,Coords[],3,FALSE)-VLOOKUP(AG$5,Coords[],3,FALSE))^2+(VLOOKUP($G67,Coords[],4,FALSE)-VLOOKUP(AG$5,Coords[],4,FALSE))^2)))</f>
        <v>1000</v>
      </c>
      <c r="AH67" s="10">
        <f>IF($G67=AH$5,1000,IF(AH$4=0,1000,SQRT((VLOOKUP($G67,Coords[],3,FALSE)-VLOOKUP(AH$5,Coords[],3,FALSE))^2+(VLOOKUP($G67,Coords[],4,FALSE)-VLOOKUP(AH$5,Coords[],4,FALSE))^2)))</f>
        <v>1000</v>
      </c>
      <c r="AI67" s="10">
        <f>IF($G67=AI$5,1000,IF(AI$4=0,1000,SQRT((VLOOKUP($G67,Coords[],3,FALSE)-VLOOKUP(AI$5,Coords[],3,FALSE))^2+(VLOOKUP($G67,Coords[],4,FALSE)-VLOOKUP(AI$5,Coords[],4,FALSE))^2)))</f>
        <v>1000</v>
      </c>
      <c r="AJ67" s="10">
        <f>IF($G67=AJ$5,1000,IF(AJ$4=0,1000,SQRT((VLOOKUP($G67,Coords[],3,FALSE)-VLOOKUP(AJ$5,Coords[],3,FALSE))^2+(VLOOKUP($G67,Coords[],4,FALSE)-VLOOKUP(AJ$5,Coords[],4,FALSE))^2)))</f>
        <v>1000</v>
      </c>
      <c r="AK67" s="10">
        <f>IF($G67=AK$5,1000,IF(AK$4=0,1000,SQRT((VLOOKUP($G67,Coords[],3,FALSE)-VLOOKUP(AK$5,Coords[],3,FALSE))^2+(VLOOKUP($G67,Coords[],4,FALSE)-VLOOKUP(AK$5,Coords[],4,FALSE))^2)))</f>
        <v>1000</v>
      </c>
      <c r="AL67" s="10">
        <f>IF($G67=AL$5,1000,IF(AL$4=0,1000,SQRT((VLOOKUP($G67,Coords[],3,FALSE)-VLOOKUP(AL$5,Coords[],3,FALSE))^2+(VLOOKUP($G67,Coords[],4,FALSE)-VLOOKUP(AL$5,Coords[],4,FALSE))^2)))</f>
        <v>1000</v>
      </c>
      <c r="AM67" s="10">
        <f>IF($G67=AM$5,1000,IF(AM$4=0,1000,SQRT((VLOOKUP($G67,Coords[],3,FALSE)-VLOOKUP(AM$5,Coords[],3,FALSE))^2+(VLOOKUP($G67,Coords[],4,FALSE)-VLOOKUP(AM$5,Coords[],4,FALSE))^2)))</f>
        <v>1000</v>
      </c>
      <c r="AN67" s="10">
        <f>IF($G67=AN$5,1000,IF(AN$4=0,1000,SQRT((VLOOKUP($G67,Coords[],3,FALSE)-VLOOKUP(AN$5,Coords[],3,FALSE))^2+(VLOOKUP($G67,Coords[],4,FALSE)-VLOOKUP(AN$5,Coords[],4,FALSE))^2)))</f>
        <v>1000</v>
      </c>
      <c r="AO67" s="10">
        <f>IF($G67=AO$5,1000,IF(AO$4=0,1000,SQRT((VLOOKUP($G67,Coords[],3,FALSE)-VLOOKUP(AO$5,Coords[],3,FALSE))^2+(VLOOKUP($G67,Coords[],4,FALSE)-VLOOKUP(AO$5,Coords[],4,FALSE))^2)))</f>
        <v>1000</v>
      </c>
      <c r="AP67" s="10">
        <f>IF($G67=AP$5,1000,IF(AP$4=0,1000,SQRT((VLOOKUP($G67,Coords[],3,FALSE)-VLOOKUP(AP$5,Coords[],3,FALSE))^2+(VLOOKUP($G67,Coords[],4,FALSE)-VLOOKUP(AP$5,Coords[],4,FALSE))^2)))</f>
        <v>1000</v>
      </c>
      <c r="AQ67" s="10">
        <f>IF($G67=AQ$5,1000,IF(AQ$4=0,1000,SQRT((VLOOKUP($G67,Coords[],3,FALSE)-VLOOKUP(AQ$5,Coords[],3,FALSE))^2+(VLOOKUP($G67,Coords[],4,FALSE)-VLOOKUP(AQ$5,Coords[],4,FALSE))^2)))</f>
        <v>1000</v>
      </c>
      <c r="AR67" s="10">
        <f>IF($G67=AR$5,1000,IF(AR$4=0,1000,SQRT((VLOOKUP($G67,Coords[],3,FALSE)-VLOOKUP(AR$5,Coords[],3,FALSE))^2+(VLOOKUP($G67,Coords[],4,FALSE)-VLOOKUP(AR$5,Coords[],4,FALSE))^2)))</f>
        <v>1000</v>
      </c>
      <c r="AS67" s="10">
        <f>IF($G67=AS$5,1000,IF(AS$4=0,1000,SQRT((VLOOKUP($G67,Coords[],3,FALSE)-VLOOKUP(AS$5,Coords[],3,FALSE))^2+(VLOOKUP($G67,Coords[],4,FALSE)-VLOOKUP(AS$5,Coords[],4,FALSE))^2)))</f>
        <v>1000</v>
      </c>
      <c r="AT67" s="10">
        <f>IF($G67=AT$5,1000,IF(AT$4=0,1000,SQRT((VLOOKUP($G67,Coords[],3,FALSE)-VLOOKUP(AT$5,Coords[],3,FALSE))^2+(VLOOKUP($G67,Coords[],4,FALSE)-VLOOKUP(AT$5,Coords[],4,FALSE))^2)))</f>
        <v>1000</v>
      </c>
      <c r="AU67" s="10">
        <f>IF($G67=AU$5,1000,IF(AU$4=0,1000,SQRT((VLOOKUP($G67,Coords[],3,FALSE)-VLOOKUP(AU$5,Coords[],3,FALSE))^2+(VLOOKUP($G67,Coords[],4,FALSE)-VLOOKUP(AU$5,Coords[],4,FALSE))^2)))</f>
        <v>1000</v>
      </c>
      <c r="AV67" s="10">
        <f>IF($G67=AV$5,1000,IF(AV$4=0,1000,SQRT((VLOOKUP($G67,Coords[],3,FALSE)-VLOOKUP(AV$5,Coords[],3,FALSE))^2+(VLOOKUP($G67,Coords[],4,FALSE)-VLOOKUP(AV$5,Coords[],4,FALSE))^2)))</f>
        <v>1000</v>
      </c>
      <c r="AW67" s="10">
        <f>IF($G67=AW$5,1000,IF(AW$4=0,1000,SQRT((VLOOKUP($G67,Coords[],3,FALSE)-VLOOKUP(AW$5,Coords[],3,FALSE))^2+(VLOOKUP($G67,Coords[],4,FALSE)-VLOOKUP(AW$5,Coords[],4,FALSE))^2)))</f>
        <v>1000</v>
      </c>
      <c r="AX67" s="10">
        <f>IF($G67=AX$5,1000,IF(AX$4=0,1000,SQRT((VLOOKUP($G67,Coords[],3,FALSE)-VLOOKUP(AX$5,Coords[],3,FALSE))^2+(VLOOKUP($G67,Coords[],4,FALSE)-VLOOKUP(AX$5,Coords[],4,FALSE))^2)))</f>
        <v>1000</v>
      </c>
      <c r="AY67" s="10">
        <f>IF($G67=AY$5,1000,IF(AY$4=0,1000,SQRT((VLOOKUP($G67,Coords[],3,FALSE)-VLOOKUP(AY$5,Coords[],3,FALSE))^2+(VLOOKUP($G67,Coords[],4,FALSE)-VLOOKUP(AY$5,Coords[],4,FALSE))^2)))</f>
        <v>1000</v>
      </c>
      <c r="AZ67" s="10">
        <f>IF($G67=AZ$5,1000,IF(AZ$4=0,1000,SQRT((VLOOKUP($G67,Coords[],3,FALSE)-VLOOKUP(AZ$5,Coords[],3,FALSE))^2+(VLOOKUP($G67,Coords[],4,FALSE)-VLOOKUP(AZ$5,Coords[],4,FALSE))^2)))</f>
        <v>1000</v>
      </c>
      <c r="BA67" s="10">
        <f>IF($G67=BA$5,1000,IF(BA$4=0,1000,SQRT((VLOOKUP($G67,Coords[],3,FALSE)-VLOOKUP(BA$5,Coords[],3,FALSE))^2+(VLOOKUP($G67,Coords[],4,FALSE)-VLOOKUP(BA$5,Coords[],4,FALSE))^2)))</f>
        <v>1000</v>
      </c>
      <c r="BB67" s="10">
        <f>IF($G67=BB$5,1000,IF(BB$4=0,1000,SQRT((VLOOKUP($G67,Coords[],3,FALSE)-VLOOKUP(BB$5,Coords[],3,FALSE))^2+(VLOOKUP($G67,Coords[],4,FALSE)-VLOOKUP(BB$5,Coords[],4,FALSE))^2)))</f>
        <v>1000</v>
      </c>
      <c r="BC67" s="10">
        <f>IF($G67=BC$5,1000,IF(BC$4=0,1000,SQRT((VLOOKUP($G67,Coords[],3,FALSE)-VLOOKUP(BC$5,Coords[],3,FALSE))^2+(VLOOKUP($G67,Coords[],4,FALSE)-VLOOKUP(BC$5,Coords[],4,FALSE))^2)))</f>
        <v>1000</v>
      </c>
      <c r="BD67" s="10">
        <f>IF($G67=BD$5,1000,IF(BD$4=0,1000,SQRT((VLOOKUP($G67,Coords[],3,FALSE)-VLOOKUP(BD$5,Coords[],3,FALSE))^2+(VLOOKUP($G67,Coords[],4,FALSE)-VLOOKUP(BD$5,Coords[],4,FALSE))^2)))</f>
        <v>1000</v>
      </c>
      <c r="BE67" s="10">
        <f>IF($G67=BE$5,1000,IF(BE$4=0,1000,SQRT((VLOOKUP($G67,Coords[],3,FALSE)-VLOOKUP(BE$5,Coords[],3,FALSE))^2+(VLOOKUP($G67,Coords[],4,FALSE)-VLOOKUP(BE$5,Coords[],4,FALSE))^2)))</f>
        <v>1000</v>
      </c>
      <c r="BF67" s="10">
        <f>IF($G67=BF$5,1000,IF(BF$4=0,1000,SQRT((VLOOKUP($G67,Coords[],3,FALSE)-VLOOKUP(BF$5,Coords[],3,FALSE))^2+(VLOOKUP($G67,Coords[],4,FALSE)-VLOOKUP(BF$5,Coords[],4,FALSE))^2)))</f>
        <v>1000</v>
      </c>
      <c r="BG67" s="10">
        <f>IF($G67=BG$5,1000,IF(BG$4=0,1000,SQRT((VLOOKUP($G67,Coords[],3,FALSE)-VLOOKUP(BG$5,Coords[],3,FALSE))^2+(VLOOKUP($G67,Coords[],4,FALSE)-VLOOKUP(BG$5,Coords[],4,FALSE))^2)))</f>
        <v>1000</v>
      </c>
      <c r="BH67" s="10">
        <f>IF($G67=BH$5,1000,IF(BH$4=0,1000,SQRT((VLOOKUP($G67,Coords[],3,FALSE)-VLOOKUP(BH$5,Coords[],3,FALSE))^2+(VLOOKUP($G67,Coords[],4,FALSE)-VLOOKUP(BH$5,Coords[],4,FALSE))^2)))</f>
        <v>1000</v>
      </c>
      <c r="BI67" s="10">
        <f>IF($G67=BI$5,1000,IF(BI$4=0,1000,SQRT((VLOOKUP($G67,Coords[],3,FALSE)-VLOOKUP(BI$5,Coords[],3,FALSE))^2+(VLOOKUP($G67,Coords[],4,FALSE)-VLOOKUP(BI$5,Coords[],4,FALSE))^2)))</f>
        <v>1000</v>
      </c>
      <c r="BJ67" s="10">
        <f>IF($G67=BJ$5,1000,IF(BJ$4=0,1000,SQRT((VLOOKUP($G67,Coords[],3,FALSE)-VLOOKUP(BJ$5,Coords[],3,FALSE))^2+(VLOOKUP($G67,Coords[],4,FALSE)-VLOOKUP(BJ$5,Coords[],4,FALSE))^2)))</f>
        <v>1000</v>
      </c>
      <c r="BK67" s="10">
        <f>IF($G67=BK$5,1000,IF(BK$4=0,1000,SQRT((VLOOKUP($G67,Coords[],3,FALSE)-VLOOKUP(BK$5,Coords[],3,FALSE))^2+(VLOOKUP($G67,Coords[],4,FALSE)-VLOOKUP(BK$5,Coords[],4,FALSE))^2)))</f>
        <v>1000</v>
      </c>
      <c r="BL67" s="10">
        <f>IF($G67=BL$5,1000,IF(BL$4=0,1000,SQRT((VLOOKUP($G67,Coords[],3,FALSE)-VLOOKUP(BL$5,Coords[],3,FALSE))^2+(VLOOKUP($G67,Coords[],4,FALSE)-VLOOKUP(BL$5,Coords[],4,FALSE))^2)))</f>
        <v>1000</v>
      </c>
      <c r="BM67" s="10">
        <f>IF($G67=BM$5,1000,IF(BM$4=0,1000,SQRT((VLOOKUP($G67,Coords[],3,FALSE)-VLOOKUP(BM$5,Coords[],3,FALSE))^2+(VLOOKUP($G67,Coords[],4,FALSE)-VLOOKUP(BM$5,Coords[],4,FALSE))^2)))</f>
        <v>1000</v>
      </c>
      <c r="BN67" s="10">
        <f>IF($G67=BN$5,1000,IF(BN$4=0,1000,SQRT((VLOOKUP($G67,Coords[],3,FALSE)-VLOOKUP(BN$5,Coords[],3,FALSE))^2+(VLOOKUP($G67,Coords[],4,FALSE)-VLOOKUP(BN$5,Coords[],4,FALSE))^2)))</f>
        <v>1000</v>
      </c>
      <c r="BO67" s="10">
        <f>IF($G67=BO$5,1000,IF(BO$4=0,1000,SQRT((VLOOKUP($G67,Coords[],3,FALSE)-VLOOKUP(BO$5,Coords[],3,FALSE))^2+(VLOOKUP($G67,Coords[],4,FALSE)-VLOOKUP(BO$5,Coords[],4,FALSE))^2)))</f>
        <v>1000</v>
      </c>
      <c r="BP67" s="10">
        <f>IF($G67=BP$5,1000,IF(BP$4=0,1000,SQRT((VLOOKUP($G67,Coords[],3,FALSE)-VLOOKUP(BP$5,Coords[],3,FALSE))^2+(VLOOKUP($G67,Coords[],4,FALSE)-VLOOKUP(BP$5,Coords[],4,FALSE))^2)))</f>
        <v>1000</v>
      </c>
      <c r="BQ67" s="10">
        <f>IF($G67=BQ$5,1000,IF(BQ$4=0,1000,SQRT((VLOOKUP($G67,Coords[],3,FALSE)-VLOOKUP(BQ$5,Coords[],3,FALSE))^2+(VLOOKUP($G67,Coords[],4,FALSE)-VLOOKUP(BQ$5,Coords[],4,FALSE))^2)))</f>
        <v>1000</v>
      </c>
      <c r="BR67" s="10">
        <f>IF($G67=BR$5,1000,IF(BR$4=0,1000,SQRT((VLOOKUP($G67,Coords[],3,FALSE)-VLOOKUP(BR$5,Coords[],3,FALSE))^2+(VLOOKUP($G67,Coords[],4,FALSE)-VLOOKUP(BR$5,Coords[],4,FALSE))^2)))</f>
        <v>1000</v>
      </c>
      <c r="BS67" s="10">
        <f>IF($G67=BS$5,1000,IF(BS$4=0,1000,SQRT((VLOOKUP($G67,Coords[],3,FALSE)-VLOOKUP(BS$5,Coords[],3,FALSE))^2+(VLOOKUP($G67,Coords[],4,FALSE)-VLOOKUP(BS$5,Coords[],4,FALSE))^2)))</f>
        <v>1000</v>
      </c>
      <c r="BT67" s="10">
        <f>IF($G67=BT$5,1000,IF(BT$4=0,1000,SQRT((VLOOKUP($G67,Coords[],3,FALSE)-VLOOKUP(BT$5,Coords[],3,FALSE))^2+(VLOOKUP($G67,Coords[],4,FALSE)-VLOOKUP(BT$5,Coords[],4,FALSE))^2)))</f>
        <v>1000</v>
      </c>
      <c r="BU67" s="10">
        <f>IF($G67=BU$5,1000,IF(BU$4=0,1000,SQRT((VLOOKUP($G67,Coords[],3,FALSE)-VLOOKUP(BU$5,Coords[],3,FALSE))^2+(VLOOKUP($G67,Coords[],4,FALSE)-VLOOKUP(BU$5,Coords[],4,FALSE))^2)))</f>
        <v>1000</v>
      </c>
      <c r="BV67" s="10">
        <f>IF($G67=BV$5,1000,IF(BV$4=0,1000,SQRT((VLOOKUP($G67,Coords[],3,FALSE)-VLOOKUP(BV$5,Coords[],3,FALSE))^2+(VLOOKUP($G67,Coords[],4,FALSE)-VLOOKUP(BV$5,Coords[],4,FALSE))^2)))</f>
        <v>1000</v>
      </c>
      <c r="BW67" s="10">
        <f>IF($G67=BW$5,1000,IF(BW$4=0,1000,SQRT((VLOOKUP($G67,Coords[],3,FALSE)-VLOOKUP(BW$5,Coords[],3,FALSE))^2+(VLOOKUP($G67,Coords[],4,FALSE)-VLOOKUP(BW$5,Coords[],4,FALSE))^2)))</f>
        <v>1000</v>
      </c>
      <c r="BX67" s="10">
        <f>IF($G67=BX$5,1000,IF(BX$4=0,1000,SQRT((VLOOKUP($G67,Coords[],3,FALSE)-VLOOKUP(BX$5,Coords[],3,FALSE))^2+(VLOOKUP($G67,Coords[],4,FALSE)-VLOOKUP(BX$5,Coords[],4,FALSE))^2)))</f>
        <v>1000</v>
      </c>
      <c r="BY67" s="10">
        <f>IF($G67=BY$5,1000,IF(BY$4=0,1000,SQRT((VLOOKUP($G67,Coords[],3,FALSE)-VLOOKUP(BY$5,Coords[],3,FALSE))^2+(VLOOKUP($G67,Coords[],4,FALSE)-VLOOKUP(BY$5,Coords[],4,FALSE))^2)))</f>
        <v>1000</v>
      </c>
      <c r="BZ67" s="10">
        <f>IF($G67=BZ$5,1000,IF(BZ$4=0,1000,SQRT((VLOOKUP($G67,Coords[],3,FALSE)-VLOOKUP(BZ$5,Coords[],3,FALSE))^2+(VLOOKUP($G67,Coords[],4,FALSE)-VLOOKUP(BZ$5,Coords[],4,FALSE))^2)))</f>
        <v>1000</v>
      </c>
      <c r="CA67" s="10">
        <f>IF($G67=CA$5,1000,IF(CA$4=0,1000,SQRT((VLOOKUP($G67,Coords[],3,FALSE)-VLOOKUP(CA$5,Coords[],3,FALSE))^2+(VLOOKUP($G67,Coords[],4,FALSE)-VLOOKUP(CA$5,Coords[],4,FALSE))^2)))</f>
        <v>1000</v>
      </c>
      <c r="CB67" s="10">
        <f>IF($G67=CB$5,1000,IF(CB$4=0,1000,SQRT((VLOOKUP($G67,Coords[],3,FALSE)-VLOOKUP(CB$5,Coords[],3,FALSE))^2+(VLOOKUP($G67,Coords[],4,FALSE)-VLOOKUP(CB$5,Coords[],4,FALSE))^2)))</f>
        <v>1000</v>
      </c>
      <c r="CC67" s="10">
        <f>IF($G67=CC$5,1000,IF(CC$4=0,1000,SQRT((VLOOKUP($G67,Coords[],3,FALSE)-VLOOKUP(CC$5,Coords[],3,FALSE))^2+(VLOOKUP($G67,Coords[],4,FALSE)-VLOOKUP(CC$5,Coords[],4,FALSE))^2)))</f>
        <v>1000</v>
      </c>
      <c r="CD67" s="10">
        <f>IF($G67=CD$5,1000,IF(CD$4=0,1000,SQRT((VLOOKUP($G67,Coords[],3,FALSE)-VLOOKUP(CD$5,Coords[],3,FALSE))^2+(VLOOKUP($G67,Coords[],4,FALSE)-VLOOKUP(CD$5,Coords[],4,FALSE))^2)))</f>
        <v>1000</v>
      </c>
      <c r="CE67" s="10">
        <f>IF($G67=CE$5,1000,IF(CE$4=0,1000,SQRT((VLOOKUP($G67,Coords[],3,FALSE)-VLOOKUP(CE$5,Coords[],3,FALSE))^2+(VLOOKUP($G67,Coords[],4,FALSE)-VLOOKUP(CE$5,Coords[],4,FALSE))^2)))</f>
        <v>1000</v>
      </c>
      <c r="CF67" s="4">
        <v>62</v>
      </c>
      <c r="CH67" s="5">
        <f>IF(E67=1,0,VLOOKUP($G67,$G$6:$CE$82,HLOOKUP(MIN(H67:CE67),$H67:$CE$82,((COUNT($G$6:$G$81)+2)-$G67),FALSE)+1,FALSE)*B67)</f>
        <v>0</v>
      </c>
      <c r="CI67" s="9">
        <f>VLOOKUP($G67,$G$6:$CE$82,HLOOKUP(MIN(H67:CE67),$H67:$CE$82,((COUNT($G$6:$G$81)+2)-$G67),FALSE)+1,FALSE)</f>
        <v>1000</v>
      </c>
      <c r="CJ67" s="7">
        <f>HLOOKUP(MIN(H67:CE67),$H67:$CE$82,((COUNT($G$6:$G$81)+2)-$G67),FALSE)</f>
        <v>1</v>
      </c>
      <c r="CK67">
        <f>CI67*Coords[[#This Row],[Demand]]</f>
        <v>0</v>
      </c>
    </row>
    <row r="68" spans="1:89" x14ac:dyDescent="0.25">
      <c r="A68" s="8">
        <v>63</v>
      </c>
      <c r="B68" s="3"/>
      <c r="C68" s="3"/>
      <c r="D68" s="3"/>
      <c r="E68" s="3"/>
      <c r="G68" s="4">
        <v>63</v>
      </c>
      <c r="H68" s="10">
        <f>IF($G68=H$5,1000,IF(H$4=0,1000,SQRT((VLOOKUP($G68,Coords[],3,FALSE)-VLOOKUP(H$5,Coords[],3,FALSE))^2+(VLOOKUP($G68,Coords[],4,FALSE)-VLOOKUP(H$5,Coords[],4,FALSE))^2)))</f>
        <v>1000</v>
      </c>
      <c r="I68" s="10">
        <f>IF($G68=I$5,1000,IF(I$4=0,1000,SQRT((VLOOKUP($G68,Coords[],3,FALSE)-VLOOKUP(I$5,Coords[],3,FALSE))^2+(VLOOKUP($G68,Coords[],4,FALSE)-VLOOKUP(I$5,Coords[],4,FALSE))^2)))</f>
        <v>1000</v>
      </c>
      <c r="J68" s="10">
        <f>IF($G68=J$5,1000,IF(J$4=0,1000,SQRT((VLOOKUP($G68,Coords[],3,FALSE)-VLOOKUP(J$5,Coords[],3,FALSE))^2+(VLOOKUP($G68,Coords[],4,FALSE)-VLOOKUP(J$5,Coords[],4,FALSE))^2)))</f>
        <v>1000</v>
      </c>
      <c r="K68" s="10">
        <f>IF($G68=K$5,1000,IF(K$4=0,1000,SQRT((VLOOKUP($G68,Coords[],3,FALSE)-VLOOKUP(K$5,Coords[],3,FALSE))^2+(VLOOKUP($G68,Coords[],4,FALSE)-VLOOKUP(K$5,Coords[],4,FALSE))^2)))</f>
        <v>1000</v>
      </c>
      <c r="L68" s="10">
        <f>IF($G68=L$5,1000,IF(L$4=0,1000,SQRT((VLOOKUP($G68,Coords[],3,FALSE)-VLOOKUP(L$5,Coords[],3,FALSE))^2+(VLOOKUP($G68,Coords[],4,FALSE)-VLOOKUP(L$5,Coords[],4,FALSE))^2)))</f>
        <v>1000</v>
      </c>
      <c r="M68" s="10">
        <f>IF($G68=M$5,1000,IF(M$4=0,1000,SQRT((VLOOKUP($G68,Coords[],3,FALSE)-VLOOKUP(M$5,Coords[],3,FALSE))^2+(VLOOKUP($G68,Coords[],4,FALSE)-VLOOKUP(M$5,Coords[],4,FALSE))^2)))</f>
        <v>1000</v>
      </c>
      <c r="N68" s="10">
        <f>IF($G68=N$5,1000,IF(N$4=0,1000,SQRT((VLOOKUP($G68,Coords[],3,FALSE)-VLOOKUP(N$5,Coords[],3,FALSE))^2+(VLOOKUP($G68,Coords[],4,FALSE)-VLOOKUP(N$5,Coords[],4,FALSE))^2)))</f>
        <v>1000</v>
      </c>
      <c r="O68" s="10">
        <f>IF($G68=O$5,1000,IF(O$4=0,1000,SQRT((VLOOKUP($G68,Coords[],3,FALSE)-VLOOKUP(O$5,Coords[],3,FALSE))^2+(VLOOKUP($G68,Coords[],4,FALSE)-VLOOKUP(O$5,Coords[],4,FALSE))^2)))</f>
        <v>1000</v>
      </c>
      <c r="P68" s="10">
        <f>IF($G68=P$5,1000,IF(P$4=0,1000,SQRT((VLOOKUP($G68,Coords[],3,FALSE)-VLOOKUP(P$5,Coords[],3,FALSE))^2+(VLOOKUP($G68,Coords[],4,FALSE)-VLOOKUP(P$5,Coords[],4,FALSE))^2)))</f>
        <v>1000</v>
      </c>
      <c r="Q68" s="10">
        <f>IF($G68=Q$5,1000,IF(Q$4=0,1000,SQRT((VLOOKUP($G68,Coords[],3,FALSE)-VLOOKUP(Q$5,Coords[],3,FALSE))^2+(VLOOKUP($G68,Coords[],4,FALSE)-VLOOKUP(Q$5,Coords[],4,FALSE))^2)))</f>
        <v>1000</v>
      </c>
      <c r="R68" s="10">
        <f>IF($G68=R$5,1000,IF(R$4=0,1000,SQRT((VLOOKUP($G68,Coords[],3,FALSE)-VLOOKUP(R$5,Coords[],3,FALSE))^2+(VLOOKUP($G68,Coords[],4,FALSE)-VLOOKUP(R$5,Coords[],4,FALSE))^2)))</f>
        <v>1000</v>
      </c>
      <c r="S68" s="10">
        <f>IF($G68=S$5,1000,IF(S$4=0,1000,SQRT((VLOOKUP($G68,Coords[],3,FALSE)-VLOOKUP(S$5,Coords[],3,FALSE))^2+(VLOOKUP($G68,Coords[],4,FALSE)-VLOOKUP(S$5,Coords[],4,FALSE))^2)))</f>
        <v>1000</v>
      </c>
      <c r="T68" s="10">
        <f>IF($G68=T$5,1000,IF(T$4=0,1000,SQRT((VLOOKUP($G68,Coords[],3,FALSE)-VLOOKUP(T$5,Coords[],3,FALSE))^2+(VLOOKUP($G68,Coords[],4,FALSE)-VLOOKUP(T$5,Coords[],4,FALSE))^2)))</f>
        <v>1000</v>
      </c>
      <c r="U68" s="10">
        <f>IF($G68=U$5,1000,IF(U$4=0,1000,SQRT((VLOOKUP($G68,Coords[],3,FALSE)-VLOOKUP(U$5,Coords[],3,FALSE))^2+(VLOOKUP($G68,Coords[],4,FALSE)-VLOOKUP(U$5,Coords[],4,FALSE))^2)))</f>
        <v>1000</v>
      </c>
      <c r="V68" s="10">
        <f>IF($G68=V$5,1000,IF(V$4=0,1000,SQRT((VLOOKUP($G68,Coords[],3,FALSE)-VLOOKUP(V$5,Coords[],3,FALSE))^2+(VLOOKUP($G68,Coords[],4,FALSE)-VLOOKUP(V$5,Coords[],4,FALSE))^2)))</f>
        <v>1000</v>
      </c>
      <c r="W68" s="10">
        <f>IF($G68=W$5,1000,IF(W$4=0,1000,SQRT((VLOOKUP($G68,Coords[],3,FALSE)-VLOOKUP(W$5,Coords[],3,FALSE))^2+(VLOOKUP($G68,Coords[],4,FALSE)-VLOOKUP(W$5,Coords[],4,FALSE))^2)))</f>
        <v>1000</v>
      </c>
      <c r="X68" s="10">
        <f>IF($G68=X$5,1000,IF(X$4=0,1000,SQRT((VLOOKUP($G68,Coords[],3,FALSE)-VLOOKUP(X$5,Coords[],3,FALSE))^2+(VLOOKUP($G68,Coords[],4,FALSE)-VLOOKUP(X$5,Coords[],4,FALSE))^2)))</f>
        <v>1000</v>
      </c>
      <c r="Y68" s="10">
        <f>IF($G68=Y$5,1000,IF(Y$4=0,1000,SQRT((VLOOKUP($G68,Coords[],3,FALSE)-VLOOKUP(Y$5,Coords[],3,FALSE))^2+(VLOOKUP($G68,Coords[],4,FALSE)-VLOOKUP(Y$5,Coords[],4,FALSE))^2)))</f>
        <v>1000</v>
      </c>
      <c r="Z68" s="10">
        <f>IF($G68=Z$5,1000,IF(Z$4=0,1000,SQRT((VLOOKUP($G68,Coords[],3,FALSE)-VLOOKUP(Z$5,Coords[],3,FALSE))^2+(VLOOKUP($G68,Coords[],4,FALSE)-VLOOKUP(Z$5,Coords[],4,FALSE))^2)))</f>
        <v>1000</v>
      </c>
      <c r="AA68" s="10">
        <f>IF($G68=AA$5,1000,IF(AA$4=0,1000,SQRT((VLOOKUP($G68,Coords[],3,FALSE)-VLOOKUP(AA$5,Coords[],3,FALSE))^2+(VLOOKUP($G68,Coords[],4,FALSE)-VLOOKUP(AA$5,Coords[],4,FALSE))^2)))</f>
        <v>1000</v>
      </c>
      <c r="AB68" s="10">
        <f>IF($G68=AB$5,1000,IF(AB$4=0,1000,SQRT((VLOOKUP($G68,Coords[],3,FALSE)-VLOOKUP(AB$5,Coords[],3,FALSE))^2+(VLOOKUP($G68,Coords[],4,FALSE)-VLOOKUP(AB$5,Coords[],4,FALSE))^2)))</f>
        <v>1000</v>
      </c>
      <c r="AC68" s="10">
        <f>IF($G68=AC$5,1000,IF(AC$4=0,1000,SQRT((VLOOKUP($G68,Coords[],3,FALSE)-VLOOKUP(AC$5,Coords[],3,FALSE))^2+(VLOOKUP($G68,Coords[],4,FALSE)-VLOOKUP(AC$5,Coords[],4,FALSE))^2)))</f>
        <v>1000</v>
      </c>
      <c r="AD68" s="10">
        <f>IF($G68=AD$5,1000,IF(AD$4=0,1000,SQRT((VLOOKUP($G68,Coords[],3,FALSE)-VLOOKUP(AD$5,Coords[],3,FALSE))^2+(VLOOKUP($G68,Coords[],4,FALSE)-VLOOKUP(AD$5,Coords[],4,FALSE))^2)))</f>
        <v>1000</v>
      </c>
      <c r="AE68" s="10">
        <f>IF($G68=AE$5,1000,IF(AE$4=0,1000,SQRT((VLOOKUP($G68,Coords[],3,FALSE)-VLOOKUP(AE$5,Coords[],3,FALSE))^2+(VLOOKUP($G68,Coords[],4,FALSE)-VLOOKUP(AE$5,Coords[],4,FALSE))^2)))</f>
        <v>1000</v>
      </c>
      <c r="AF68" s="10">
        <f>IF($G68=AF$5,1000,IF(AF$4=0,1000,SQRT((VLOOKUP($G68,Coords[],3,FALSE)-VLOOKUP(AF$5,Coords[],3,FALSE))^2+(VLOOKUP($G68,Coords[],4,FALSE)-VLOOKUP(AF$5,Coords[],4,FALSE))^2)))</f>
        <v>1000</v>
      </c>
      <c r="AG68" s="10">
        <f>IF($G68=AG$5,1000,IF(AG$4=0,1000,SQRT((VLOOKUP($G68,Coords[],3,FALSE)-VLOOKUP(AG$5,Coords[],3,FALSE))^2+(VLOOKUP($G68,Coords[],4,FALSE)-VLOOKUP(AG$5,Coords[],4,FALSE))^2)))</f>
        <v>1000</v>
      </c>
      <c r="AH68" s="10">
        <f>IF($G68=AH$5,1000,IF(AH$4=0,1000,SQRT((VLOOKUP($G68,Coords[],3,FALSE)-VLOOKUP(AH$5,Coords[],3,FALSE))^2+(VLOOKUP($G68,Coords[],4,FALSE)-VLOOKUP(AH$5,Coords[],4,FALSE))^2)))</f>
        <v>1000</v>
      </c>
      <c r="AI68" s="10">
        <f>IF($G68=AI$5,1000,IF(AI$4=0,1000,SQRT((VLOOKUP($G68,Coords[],3,FALSE)-VLOOKUP(AI$5,Coords[],3,FALSE))^2+(VLOOKUP($G68,Coords[],4,FALSE)-VLOOKUP(AI$5,Coords[],4,FALSE))^2)))</f>
        <v>1000</v>
      </c>
      <c r="AJ68" s="10">
        <f>IF($G68=AJ$5,1000,IF(AJ$4=0,1000,SQRT((VLOOKUP($G68,Coords[],3,FALSE)-VLOOKUP(AJ$5,Coords[],3,FALSE))^2+(VLOOKUP($G68,Coords[],4,FALSE)-VLOOKUP(AJ$5,Coords[],4,FALSE))^2)))</f>
        <v>1000</v>
      </c>
      <c r="AK68" s="10">
        <f>IF($G68=AK$5,1000,IF(AK$4=0,1000,SQRT((VLOOKUP($G68,Coords[],3,FALSE)-VLOOKUP(AK$5,Coords[],3,FALSE))^2+(VLOOKUP($G68,Coords[],4,FALSE)-VLOOKUP(AK$5,Coords[],4,FALSE))^2)))</f>
        <v>1000</v>
      </c>
      <c r="AL68" s="10">
        <f>IF($G68=AL$5,1000,IF(AL$4=0,1000,SQRT((VLOOKUP($G68,Coords[],3,FALSE)-VLOOKUP(AL$5,Coords[],3,FALSE))^2+(VLOOKUP($G68,Coords[],4,FALSE)-VLOOKUP(AL$5,Coords[],4,FALSE))^2)))</f>
        <v>1000</v>
      </c>
      <c r="AM68" s="10">
        <f>IF($G68=AM$5,1000,IF(AM$4=0,1000,SQRT((VLOOKUP($G68,Coords[],3,FALSE)-VLOOKUP(AM$5,Coords[],3,FALSE))^2+(VLOOKUP($G68,Coords[],4,FALSE)-VLOOKUP(AM$5,Coords[],4,FALSE))^2)))</f>
        <v>1000</v>
      </c>
      <c r="AN68" s="10">
        <f>IF($G68=AN$5,1000,IF(AN$4=0,1000,SQRT((VLOOKUP($G68,Coords[],3,FALSE)-VLOOKUP(AN$5,Coords[],3,FALSE))^2+(VLOOKUP($G68,Coords[],4,FALSE)-VLOOKUP(AN$5,Coords[],4,FALSE))^2)))</f>
        <v>1000</v>
      </c>
      <c r="AO68" s="10">
        <f>IF($G68=AO$5,1000,IF(AO$4=0,1000,SQRT((VLOOKUP($G68,Coords[],3,FALSE)-VLOOKUP(AO$5,Coords[],3,FALSE))^2+(VLOOKUP($G68,Coords[],4,FALSE)-VLOOKUP(AO$5,Coords[],4,FALSE))^2)))</f>
        <v>1000</v>
      </c>
      <c r="AP68" s="10">
        <f>IF($G68=AP$5,1000,IF(AP$4=0,1000,SQRT((VLOOKUP($G68,Coords[],3,FALSE)-VLOOKUP(AP$5,Coords[],3,FALSE))^2+(VLOOKUP($G68,Coords[],4,FALSE)-VLOOKUP(AP$5,Coords[],4,FALSE))^2)))</f>
        <v>1000</v>
      </c>
      <c r="AQ68" s="10">
        <f>IF($G68=AQ$5,1000,IF(AQ$4=0,1000,SQRT((VLOOKUP($G68,Coords[],3,FALSE)-VLOOKUP(AQ$5,Coords[],3,FALSE))^2+(VLOOKUP($G68,Coords[],4,FALSE)-VLOOKUP(AQ$5,Coords[],4,FALSE))^2)))</f>
        <v>1000</v>
      </c>
      <c r="AR68" s="10">
        <f>IF($G68=AR$5,1000,IF(AR$4=0,1000,SQRT((VLOOKUP($G68,Coords[],3,FALSE)-VLOOKUP(AR$5,Coords[],3,FALSE))^2+(VLOOKUP($G68,Coords[],4,FALSE)-VLOOKUP(AR$5,Coords[],4,FALSE))^2)))</f>
        <v>1000</v>
      </c>
      <c r="AS68" s="10">
        <f>IF($G68=AS$5,1000,IF(AS$4=0,1000,SQRT((VLOOKUP($G68,Coords[],3,FALSE)-VLOOKUP(AS$5,Coords[],3,FALSE))^2+(VLOOKUP($G68,Coords[],4,FALSE)-VLOOKUP(AS$5,Coords[],4,FALSE))^2)))</f>
        <v>1000</v>
      </c>
      <c r="AT68" s="10">
        <f>IF($G68=AT$5,1000,IF(AT$4=0,1000,SQRT((VLOOKUP($G68,Coords[],3,FALSE)-VLOOKUP(AT$5,Coords[],3,FALSE))^2+(VLOOKUP($G68,Coords[],4,FALSE)-VLOOKUP(AT$5,Coords[],4,FALSE))^2)))</f>
        <v>1000</v>
      </c>
      <c r="AU68" s="10">
        <f>IF($G68=AU$5,1000,IF(AU$4=0,1000,SQRT((VLOOKUP($G68,Coords[],3,FALSE)-VLOOKUP(AU$5,Coords[],3,FALSE))^2+(VLOOKUP($G68,Coords[],4,FALSE)-VLOOKUP(AU$5,Coords[],4,FALSE))^2)))</f>
        <v>1000</v>
      </c>
      <c r="AV68" s="10">
        <f>IF($G68=AV$5,1000,IF(AV$4=0,1000,SQRT((VLOOKUP($G68,Coords[],3,FALSE)-VLOOKUP(AV$5,Coords[],3,FALSE))^2+(VLOOKUP($G68,Coords[],4,FALSE)-VLOOKUP(AV$5,Coords[],4,FALSE))^2)))</f>
        <v>1000</v>
      </c>
      <c r="AW68" s="10">
        <f>IF($G68=AW$5,1000,IF(AW$4=0,1000,SQRT((VLOOKUP($G68,Coords[],3,FALSE)-VLOOKUP(AW$5,Coords[],3,FALSE))^2+(VLOOKUP($G68,Coords[],4,FALSE)-VLOOKUP(AW$5,Coords[],4,FALSE))^2)))</f>
        <v>1000</v>
      </c>
      <c r="AX68" s="10">
        <f>IF($G68=AX$5,1000,IF(AX$4=0,1000,SQRT((VLOOKUP($G68,Coords[],3,FALSE)-VLOOKUP(AX$5,Coords[],3,FALSE))^2+(VLOOKUP($G68,Coords[],4,FALSE)-VLOOKUP(AX$5,Coords[],4,FALSE))^2)))</f>
        <v>1000</v>
      </c>
      <c r="AY68" s="10">
        <f>IF($G68=AY$5,1000,IF(AY$4=0,1000,SQRT((VLOOKUP($G68,Coords[],3,FALSE)-VLOOKUP(AY$5,Coords[],3,FALSE))^2+(VLOOKUP($G68,Coords[],4,FALSE)-VLOOKUP(AY$5,Coords[],4,FALSE))^2)))</f>
        <v>1000</v>
      </c>
      <c r="AZ68" s="10">
        <f>IF($G68=AZ$5,1000,IF(AZ$4=0,1000,SQRT((VLOOKUP($G68,Coords[],3,FALSE)-VLOOKUP(AZ$5,Coords[],3,FALSE))^2+(VLOOKUP($G68,Coords[],4,FALSE)-VLOOKUP(AZ$5,Coords[],4,FALSE))^2)))</f>
        <v>1000</v>
      </c>
      <c r="BA68" s="10">
        <f>IF($G68=BA$5,1000,IF(BA$4=0,1000,SQRT((VLOOKUP($G68,Coords[],3,FALSE)-VLOOKUP(BA$5,Coords[],3,FALSE))^2+(VLOOKUP($G68,Coords[],4,FALSE)-VLOOKUP(BA$5,Coords[],4,FALSE))^2)))</f>
        <v>1000</v>
      </c>
      <c r="BB68" s="10">
        <f>IF($G68=BB$5,1000,IF(BB$4=0,1000,SQRT((VLOOKUP($G68,Coords[],3,FALSE)-VLOOKUP(BB$5,Coords[],3,FALSE))^2+(VLOOKUP($G68,Coords[],4,FALSE)-VLOOKUP(BB$5,Coords[],4,FALSE))^2)))</f>
        <v>1000</v>
      </c>
      <c r="BC68" s="10">
        <f>IF($G68=BC$5,1000,IF(BC$4=0,1000,SQRT((VLOOKUP($G68,Coords[],3,FALSE)-VLOOKUP(BC$5,Coords[],3,FALSE))^2+(VLOOKUP($G68,Coords[],4,FALSE)-VLOOKUP(BC$5,Coords[],4,FALSE))^2)))</f>
        <v>1000</v>
      </c>
      <c r="BD68" s="10">
        <f>IF($G68=BD$5,1000,IF(BD$4=0,1000,SQRT((VLOOKUP($G68,Coords[],3,FALSE)-VLOOKUP(BD$5,Coords[],3,FALSE))^2+(VLOOKUP($G68,Coords[],4,FALSE)-VLOOKUP(BD$5,Coords[],4,FALSE))^2)))</f>
        <v>1000</v>
      </c>
      <c r="BE68" s="10">
        <f>IF($G68=BE$5,1000,IF(BE$4=0,1000,SQRT((VLOOKUP($G68,Coords[],3,FALSE)-VLOOKUP(BE$5,Coords[],3,FALSE))^2+(VLOOKUP($G68,Coords[],4,FALSE)-VLOOKUP(BE$5,Coords[],4,FALSE))^2)))</f>
        <v>1000</v>
      </c>
      <c r="BF68" s="10">
        <f>IF($G68=BF$5,1000,IF(BF$4=0,1000,SQRT((VLOOKUP($G68,Coords[],3,FALSE)-VLOOKUP(BF$5,Coords[],3,FALSE))^2+(VLOOKUP($G68,Coords[],4,FALSE)-VLOOKUP(BF$5,Coords[],4,FALSE))^2)))</f>
        <v>1000</v>
      </c>
      <c r="BG68" s="10">
        <f>IF($G68=BG$5,1000,IF(BG$4=0,1000,SQRT((VLOOKUP($G68,Coords[],3,FALSE)-VLOOKUP(BG$5,Coords[],3,FALSE))^2+(VLOOKUP($G68,Coords[],4,FALSE)-VLOOKUP(BG$5,Coords[],4,FALSE))^2)))</f>
        <v>1000</v>
      </c>
      <c r="BH68" s="10">
        <f>IF($G68=BH$5,1000,IF(BH$4=0,1000,SQRT((VLOOKUP($G68,Coords[],3,FALSE)-VLOOKUP(BH$5,Coords[],3,FALSE))^2+(VLOOKUP($G68,Coords[],4,FALSE)-VLOOKUP(BH$5,Coords[],4,FALSE))^2)))</f>
        <v>1000</v>
      </c>
      <c r="BI68" s="10">
        <f>IF($G68=BI$5,1000,IF(BI$4=0,1000,SQRT((VLOOKUP($G68,Coords[],3,FALSE)-VLOOKUP(BI$5,Coords[],3,FALSE))^2+(VLOOKUP($G68,Coords[],4,FALSE)-VLOOKUP(BI$5,Coords[],4,FALSE))^2)))</f>
        <v>1000</v>
      </c>
      <c r="BJ68" s="10">
        <f>IF($G68=BJ$5,1000,IF(BJ$4=0,1000,SQRT((VLOOKUP($G68,Coords[],3,FALSE)-VLOOKUP(BJ$5,Coords[],3,FALSE))^2+(VLOOKUP($G68,Coords[],4,FALSE)-VLOOKUP(BJ$5,Coords[],4,FALSE))^2)))</f>
        <v>1000</v>
      </c>
      <c r="BK68" s="10">
        <f>IF($G68=BK$5,1000,IF(BK$4=0,1000,SQRT((VLOOKUP($G68,Coords[],3,FALSE)-VLOOKUP(BK$5,Coords[],3,FALSE))^2+(VLOOKUP($G68,Coords[],4,FALSE)-VLOOKUP(BK$5,Coords[],4,FALSE))^2)))</f>
        <v>1000</v>
      </c>
      <c r="BL68" s="10">
        <f>IF($G68=BL$5,1000,IF(BL$4=0,1000,SQRT((VLOOKUP($G68,Coords[],3,FALSE)-VLOOKUP(BL$5,Coords[],3,FALSE))^2+(VLOOKUP($G68,Coords[],4,FALSE)-VLOOKUP(BL$5,Coords[],4,FALSE))^2)))</f>
        <v>1000</v>
      </c>
      <c r="BM68" s="10">
        <f>IF($G68=BM$5,1000,IF(BM$4=0,1000,SQRT((VLOOKUP($G68,Coords[],3,FALSE)-VLOOKUP(BM$5,Coords[],3,FALSE))^2+(VLOOKUP($G68,Coords[],4,FALSE)-VLOOKUP(BM$5,Coords[],4,FALSE))^2)))</f>
        <v>1000</v>
      </c>
      <c r="BN68" s="10">
        <f>IF($G68=BN$5,1000,IF(BN$4=0,1000,SQRT((VLOOKUP($G68,Coords[],3,FALSE)-VLOOKUP(BN$5,Coords[],3,FALSE))^2+(VLOOKUP($G68,Coords[],4,FALSE)-VLOOKUP(BN$5,Coords[],4,FALSE))^2)))</f>
        <v>1000</v>
      </c>
      <c r="BO68" s="10">
        <f>IF($G68=BO$5,1000,IF(BO$4=0,1000,SQRT((VLOOKUP($G68,Coords[],3,FALSE)-VLOOKUP(BO$5,Coords[],3,FALSE))^2+(VLOOKUP($G68,Coords[],4,FALSE)-VLOOKUP(BO$5,Coords[],4,FALSE))^2)))</f>
        <v>1000</v>
      </c>
      <c r="BP68" s="10">
        <f>IF($G68=BP$5,1000,IF(BP$4=0,1000,SQRT((VLOOKUP($G68,Coords[],3,FALSE)-VLOOKUP(BP$5,Coords[],3,FALSE))^2+(VLOOKUP($G68,Coords[],4,FALSE)-VLOOKUP(BP$5,Coords[],4,FALSE))^2)))</f>
        <v>1000</v>
      </c>
      <c r="BQ68" s="10">
        <f>IF($G68=BQ$5,1000,IF(BQ$4=0,1000,SQRT((VLOOKUP($G68,Coords[],3,FALSE)-VLOOKUP(BQ$5,Coords[],3,FALSE))^2+(VLOOKUP($G68,Coords[],4,FALSE)-VLOOKUP(BQ$5,Coords[],4,FALSE))^2)))</f>
        <v>1000</v>
      </c>
      <c r="BR68" s="10">
        <f>IF($G68=BR$5,1000,IF(BR$4=0,1000,SQRT((VLOOKUP($G68,Coords[],3,FALSE)-VLOOKUP(BR$5,Coords[],3,FALSE))^2+(VLOOKUP($G68,Coords[],4,FALSE)-VLOOKUP(BR$5,Coords[],4,FALSE))^2)))</f>
        <v>1000</v>
      </c>
      <c r="BS68" s="10">
        <f>IF($G68=BS$5,1000,IF(BS$4=0,1000,SQRT((VLOOKUP($G68,Coords[],3,FALSE)-VLOOKUP(BS$5,Coords[],3,FALSE))^2+(VLOOKUP($G68,Coords[],4,FALSE)-VLOOKUP(BS$5,Coords[],4,FALSE))^2)))</f>
        <v>1000</v>
      </c>
      <c r="BT68" s="10">
        <f>IF($G68=BT$5,1000,IF(BT$4=0,1000,SQRT((VLOOKUP($G68,Coords[],3,FALSE)-VLOOKUP(BT$5,Coords[],3,FALSE))^2+(VLOOKUP($G68,Coords[],4,FALSE)-VLOOKUP(BT$5,Coords[],4,FALSE))^2)))</f>
        <v>1000</v>
      </c>
      <c r="BU68" s="10">
        <f>IF($G68=BU$5,1000,IF(BU$4=0,1000,SQRT((VLOOKUP($G68,Coords[],3,FALSE)-VLOOKUP(BU$5,Coords[],3,FALSE))^2+(VLOOKUP($G68,Coords[],4,FALSE)-VLOOKUP(BU$5,Coords[],4,FALSE))^2)))</f>
        <v>1000</v>
      </c>
      <c r="BV68" s="10">
        <f>IF($G68=BV$5,1000,IF(BV$4=0,1000,SQRT((VLOOKUP($G68,Coords[],3,FALSE)-VLOOKUP(BV$5,Coords[],3,FALSE))^2+(VLOOKUP($G68,Coords[],4,FALSE)-VLOOKUP(BV$5,Coords[],4,FALSE))^2)))</f>
        <v>1000</v>
      </c>
      <c r="BW68" s="10">
        <f>IF($G68=BW$5,1000,IF(BW$4=0,1000,SQRT((VLOOKUP($G68,Coords[],3,FALSE)-VLOOKUP(BW$5,Coords[],3,FALSE))^2+(VLOOKUP($G68,Coords[],4,FALSE)-VLOOKUP(BW$5,Coords[],4,FALSE))^2)))</f>
        <v>1000</v>
      </c>
      <c r="BX68" s="10">
        <f>IF($G68=BX$5,1000,IF(BX$4=0,1000,SQRT((VLOOKUP($G68,Coords[],3,FALSE)-VLOOKUP(BX$5,Coords[],3,FALSE))^2+(VLOOKUP($G68,Coords[],4,FALSE)-VLOOKUP(BX$5,Coords[],4,FALSE))^2)))</f>
        <v>1000</v>
      </c>
      <c r="BY68" s="10">
        <f>IF($G68=BY$5,1000,IF(BY$4=0,1000,SQRT((VLOOKUP($G68,Coords[],3,FALSE)-VLOOKUP(BY$5,Coords[],3,FALSE))^2+(VLOOKUP($G68,Coords[],4,FALSE)-VLOOKUP(BY$5,Coords[],4,FALSE))^2)))</f>
        <v>1000</v>
      </c>
      <c r="BZ68" s="10">
        <f>IF($G68=BZ$5,1000,IF(BZ$4=0,1000,SQRT((VLOOKUP($G68,Coords[],3,FALSE)-VLOOKUP(BZ$5,Coords[],3,FALSE))^2+(VLOOKUP($G68,Coords[],4,FALSE)-VLOOKUP(BZ$5,Coords[],4,FALSE))^2)))</f>
        <v>1000</v>
      </c>
      <c r="CA68" s="10">
        <f>IF($G68=CA$5,1000,IF(CA$4=0,1000,SQRT((VLOOKUP($G68,Coords[],3,FALSE)-VLOOKUP(CA$5,Coords[],3,FALSE))^2+(VLOOKUP($G68,Coords[],4,FALSE)-VLOOKUP(CA$5,Coords[],4,FALSE))^2)))</f>
        <v>1000</v>
      </c>
      <c r="CB68" s="10">
        <f>IF($G68=CB$5,1000,IF(CB$4=0,1000,SQRT((VLOOKUP($G68,Coords[],3,FALSE)-VLOOKUP(CB$5,Coords[],3,FALSE))^2+(VLOOKUP($G68,Coords[],4,FALSE)-VLOOKUP(CB$5,Coords[],4,FALSE))^2)))</f>
        <v>1000</v>
      </c>
      <c r="CC68" s="10">
        <f>IF($G68=CC$5,1000,IF(CC$4=0,1000,SQRT((VLOOKUP($G68,Coords[],3,FALSE)-VLOOKUP(CC$5,Coords[],3,FALSE))^2+(VLOOKUP($G68,Coords[],4,FALSE)-VLOOKUP(CC$5,Coords[],4,FALSE))^2)))</f>
        <v>1000</v>
      </c>
      <c r="CD68" s="10">
        <f>IF($G68=CD$5,1000,IF(CD$4=0,1000,SQRT((VLOOKUP($G68,Coords[],3,FALSE)-VLOOKUP(CD$5,Coords[],3,FALSE))^2+(VLOOKUP($G68,Coords[],4,FALSE)-VLOOKUP(CD$5,Coords[],4,FALSE))^2)))</f>
        <v>1000</v>
      </c>
      <c r="CE68" s="10">
        <f>IF($G68=CE$5,1000,IF(CE$4=0,1000,SQRT((VLOOKUP($G68,Coords[],3,FALSE)-VLOOKUP(CE$5,Coords[],3,FALSE))^2+(VLOOKUP($G68,Coords[],4,FALSE)-VLOOKUP(CE$5,Coords[],4,FALSE))^2)))</f>
        <v>1000</v>
      </c>
      <c r="CF68" s="4">
        <v>63</v>
      </c>
      <c r="CH68" s="5">
        <f>IF(E68=1,0,VLOOKUP($G68,$G$6:$CE$82,HLOOKUP(MIN(H68:CE68),$H68:$CE$82,((COUNT($G$6:$G$81)+2)-$G68),FALSE)+1,FALSE)*B68)</f>
        <v>0</v>
      </c>
      <c r="CI68" s="9">
        <f>VLOOKUP($G68,$G$6:$CE$82,HLOOKUP(MIN(H68:CE68),$H68:$CE$82,((COUNT($G$6:$G$81)+2)-$G68),FALSE)+1,FALSE)</f>
        <v>1000</v>
      </c>
      <c r="CJ68" s="7">
        <f>HLOOKUP(MIN(H68:CE68),$H68:$CE$82,((COUNT($G$6:$G$81)+2)-$G68),FALSE)</f>
        <v>1</v>
      </c>
      <c r="CK68">
        <f>CI68*Coords[[#This Row],[Demand]]</f>
        <v>0</v>
      </c>
    </row>
    <row r="69" spans="1:89" x14ac:dyDescent="0.25">
      <c r="A69" s="8">
        <v>64</v>
      </c>
      <c r="B69" s="3"/>
      <c r="C69" s="3"/>
      <c r="D69" s="3"/>
      <c r="E69" s="3"/>
      <c r="G69" s="4">
        <v>64</v>
      </c>
      <c r="H69" s="10">
        <f>IF($G69=H$5,1000,IF(H$4=0,1000,SQRT((VLOOKUP($G69,Coords[],3,FALSE)-VLOOKUP(H$5,Coords[],3,FALSE))^2+(VLOOKUP($G69,Coords[],4,FALSE)-VLOOKUP(H$5,Coords[],4,FALSE))^2)))</f>
        <v>1000</v>
      </c>
      <c r="I69" s="10">
        <f>IF($G69=I$5,1000,IF(I$4=0,1000,SQRT((VLOOKUP($G69,Coords[],3,FALSE)-VLOOKUP(I$5,Coords[],3,FALSE))^2+(VLOOKUP($G69,Coords[],4,FALSE)-VLOOKUP(I$5,Coords[],4,FALSE))^2)))</f>
        <v>1000</v>
      </c>
      <c r="J69" s="10">
        <f>IF($G69=J$5,1000,IF(J$4=0,1000,SQRT((VLOOKUP($G69,Coords[],3,FALSE)-VLOOKUP(J$5,Coords[],3,FALSE))^2+(VLOOKUP($G69,Coords[],4,FALSE)-VLOOKUP(J$5,Coords[],4,FALSE))^2)))</f>
        <v>1000</v>
      </c>
      <c r="K69" s="10">
        <f>IF($G69=K$5,1000,IF(K$4=0,1000,SQRT((VLOOKUP($G69,Coords[],3,FALSE)-VLOOKUP(K$5,Coords[],3,FALSE))^2+(VLOOKUP($G69,Coords[],4,FALSE)-VLOOKUP(K$5,Coords[],4,FALSE))^2)))</f>
        <v>1000</v>
      </c>
      <c r="L69" s="10">
        <f>IF($G69=L$5,1000,IF(L$4=0,1000,SQRT((VLOOKUP($G69,Coords[],3,FALSE)-VLOOKUP(L$5,Coords[],3,FALSE))^2+(VLOOKUP($G69,Coords[],4,FALSE)-VLOOKUP(L$5,Coords[],4,FALSE))^2)))</f>
        <v>1000</v>
      </c>
      <c r="M69" s="10">
        <f>IF($G69=M$5,1000,IF(M$4=0,1000,SQRT((VLOOKUP($G69,Coords[],3,FALSE)-VLOOKUP(M$5,Coords[],3,FALSE))^2+(VLOOKUP($G69,Coords[],4,FALSE)-VLOOKUP(M$5,Coords[],4,FALSE))^2)))</f>
        <v>1000</v>
      </c>
      <c r="N69" s="10">
        <f>IF($G69=N$5,1000,IF(N$4=0,1000,SQRT((VLOOKUP($G69,Coords[],3,FALSE)-VLOOKUP(N$5,Coords[],3,FALSE))^2+(VLOOKUP($G69,Coords[],4,FALSE)-VLOOKUP(N$5,Coords[],4,FALSE))^2)))</f>
        <v>1000</v>
      </c>
      <c r="O69" s="10">
        <f>IF($G69=O$5,1000,IF(O$4=0,1000,SQRT((VLOOKUP($G69,Coords[],3,FALSE)-VLOOKUP(O$5,Coords[],3,FALSE))^2+(VLOOKUP($G69,Coords[],4,FALSE)-VLOOKUP(O$5,Coords[],4,FALSE))^2)))</f>
        <v>1000</v>
      </c>
      <c r="P69" s="10">
        <f>IF($G69=P$5,1000,IF(P$4=0,1000,SQRT((VLOOKUP($G69,Coords[],3,FALSE)-VLOOKUP(P$5,Coords[],3,FALSE))^2+(VLOOKUP($G69,Coords[],4,FALSE)-VLOOKUP(P$5,Coords[],4,FALSE))^2)))</f>
        <v>1000</v>
      </c>
      <c r="Q69" s="10">
        <f>IF($G69=Q$5,1000,IF(Q$4=0,1000,SQRT((VLOOKUP($G69,Coords[],3,FALSE)-VLOOKUP(Q$5,Coords[],3,FALSE))^2+(VLOOKUP($G69,Coords[],4,FALSE)-VLOOKUP(Q$5,Coords[],4,FALSE))^2)))</f>
        <v>1000</v>
      </c>
      <c r="R69" s="10">
        <f>IF($G69=R$5,1000,IF(R$4=0,1000,SQRT((VLOOKUP($G69,Coords[],3,FALSE)-VLOOKUP(R$5,Coords[],3,FALSE))^2+(VLOOKUP($G69,Coords[],4,FALSE)-VLOOKUP(R$5,Coords[],4,FALSE))^2)))</f>
        <v>1000</v>
      </c>
      <c r="S69" s="10">
        <f>IF($G69=S$5,1000,IF(S$4=0,1000,SQRT((VLOOKUP($G69,Coords[],3,FALSE)-VLOOKUP(S$5,Coords[],3,FALSE))^2+(VLOOKUP($G69,Coords[],4,FALSE)-VLOOKUP(S$5,Coords[],4,FALSE))^2)))</f>
        <v>1000</v>
      </c>
      <c r="T69" s="10">
        <f>IF($G69=T$5,1000,IF(T$4=0,1000,SQRT((VLOOKUP($G69,Coords[],3,FALSE)-VLOOKUP(T$5,Coords[],3,FALSE))^2+(VLOOKUP($G69,Coords[],4,FALSE)-VLOOKUP(T$5,Coords[],4,FALSE))^2)))</f>
        <v>1000</v>
      </c>
      <c r="U69" s="10">
        <f>IF($G69=U$5,1000,IF(U$4=0,1000,SQRT((VLOOKUP($G69,Coords[],3,FALSE)-VLOOKUP(U$5,Coords[],3,FALSE))^2+(VLOOKUP($G69,Coords[],4,FALSE)-VLOOKUP(U$5,Coords[],4,FALSE))^2)))</f>
        <v>1000</v>
      </c>
      <c r="V69" s="10">
        <f>IF($G69=V$5,1000,IF(V$4=0,1000,SQRT((VLOOKUP($G69,Coords[],3,FALSE)-VLOOKUP(V$5,Coords[],3,FALSE))^2+(VLOOKUP($G69,Coords[],4,FALSE)-VLOOKUP(V$5,Coords[],4,FALSE))^2)))</f>
        <v>1000</v>
      </c>
      <c r="W69" s="10">
        <f>IF($G69=W$5,1000,IF(W$4=0,1000,SQRT((VLOOKUP($G69,Coords[],3,FALSE)-VLOOKUP(W$5,Coords[],3,FALSE))^2+(VLOOKUP($G69,Coords[],4,FALSE)-VLOOKUP(W$5,Coords[],4,FALSE))^2)))</f>
        <v>1000</v>
      </c>
      <c r="X69" s="10">
        <f>IF($G69=X$5,1000,IF(X$4=0,1000,SQRT((VLOOKUP($G69,Coords[],3,FALSE)-VLOOKUP(X$5,Coords[],3,FALSE))^2+(VLOOKUP($G69,Coords[],4,FALSE)-VLOOKUP(X$5,Coords[],4,FALSE))^2)))</f>
        <v>1000</v>
      </c>
      <c r="Y69" s="10">
        <f>IF($G69=Y$5,1000,IF(Y$4=0,1000,SQRT((VLOOKUP($G69,Coords[],3,FALSE)-VLOOKUP(Y$5,Coords[],3,FALSE))^2+(VLOOKUP($G69,Coords[],4,FALSE)-VLOOKUP(Y$5,Coords[],4,FALSE))^2)))</f>
        <v>1000</v>
      </c>
      <c r="Z69" s="10">
        <f>IF($G69=Z$5,1000,IF(Z$4=0,1000,SQRT((VLOOKUP($G69,Coords[],3,FALSE)-VLOOKUP(Z$5,Coords[],3,FALSE))^2+(VLOOKUP($G69,Coords[],4,FALSE)-VLOOKUP(Z$5,Coords[],4,FALSE))^2)))</f>
        <v>1000</v>
      </c>
      <c r="AA69" s="10">
        <f>IF($G69=AA$5,1000,IF(AA$4=0,1000,SQRT((VLOOKUP($G69,Coords[],3,FALSE)-VLOOKUP(AA$5,Coords[],3,FALSE))^2+(VLOOKUP($G69,Coords[],4,FALSE)-VLOOKUP(AA$5,Coords[],4,FALSE))^2)))</f>
        <v>1000</v>
      </c>
      <c r="AB69" s="10">
        <f>IF($G69=AB$5,1000,IF(AB$4=0,1000,SQRT((VLOOKUP($G69,Coords[],3,FALSE)-VLOOKUP(AB$5,Coords[],3,FALSE))^2+(VLOOKUP($G69,Coords[],4,FALSE)-VLOOKUP(AB$5,Coords[],4,FALSE))^2)))</f>
        <v>1000</v>
      </c>
      <c r="AC69" s="10">
        <f>IF($G69=AC$5,1000,IF(AC$4=0,1000,SQRT((VLOOKUP($G69,Coords[],3,FALSE)-VLOOKUP(AC$5,Coords[],3,FALSE))^2+(VLOOKUP($G69,Coords[],4,FALSE)-VLOOKUP(AC$5,Coords[],4,FALSE))^2)))</f>
        <v>1000</v>
      </c>
      <c r="AD69" s="10">
        <f>IF($G69=AD$5,1000,IF(AD$4=0,1000,SQRT((VLOOKUP($G69,Coords[],3,FALSE)-VLOOKUP(AD$5,Coords[],3,FALSE))^2+(VLOOKUP($G69,Coords[],4,FALSE)-VLOOKUP(AD$5,Coords[],4,FALSE))^2)))</f>
        <v>1000</v>
      </c>
      <c r="AE69" s="10">
        <f>IF($G69=AE$5,1000,IF(AE$4=0,1000,SQRT((VLOOKUP($G69,Coords[],3,FALSE)-VLOOKUP(AE$5,Coords[],3,FALSE))^2+(VLOOKUP($G69,Coords[],4,FALSE)-VLOOKUP(AE$5,Coords[],4,FALSE))^2)))</f>
        <v>1000</v>
      </c>
      <c r="AF69" s="10">
        <f>IF($G69=AF$5,1000,IF(AF$4=0,1000,SQRT((VLOOKUP($G69,Coords[],3,FALSE)-VLOOKUP(AF$5,Coords[],3,FALSE))^2+(VLOOKUP($G69,Coords[],4,FALSE)-VLOOKUP(AF$5,Coords[],4,FALSE))^2)))</f>
        <v>1000</v>
      </c>
      <c r="AG69" s="10">
        <f>IF($G69=AG$5,1000,IF(AG$4=0,1000,SQRT((VLOOKUP($G69,Coords[],3,FALSE)-VLOOKUP(AG$5,Coords[],3,FALSE))^2+(VLOOKUP($G69,Coords[],4,FALSE)-VLOOKUP(AG$5,Coords[],4,FALSE))^2)))</f>
        <v>1000</v>
      </c>
      <c r="AH69" s="10">
        <f>IF($G69=AH$5,1000,IF(AH$4=0,1000,SQRT((VLOOKUP($G69,Coords[],3,FALSE)-VLOOKUP(AH$5,Coords[],3,FALSE))^2+(VLOOKUP($G69,Coords[],4,FALSE)-VLOOKUP(AH$5,Coords[],4,FALSE))^2)))</f>
        <v>1000</v>
      </c>
      <c r="AI69" s="10">
        <f>IF($G69=AI$5,1000,IF(AI$4=0,1000,SQRT((VLOOKUP($G69,Coords[],3,FALSE)-VLOOKUP(AI$5,Coords[],3,FALSE))^2+(VLOOKUP($G69,Coords[],4,FALSE)-VLOOKUP(AI$5,Coords[],4,FALSE))^2)))</f>
        <v>1000</v>
      </c>
      <c r="AJ69" s="10">
        <f>IF($G69=AJ$5,1000,IF(AJ$4=0,1000,SQRT((VLOOKUP($G69,Coords[],3,FALSE)-VLOOKUP(AJ$5,Coords[],3,FALSE))^2+(VLOOKUP($G69,Coords[],4,FALSE)-VLOOKUP(AJ$5,Coords[],4,FALSE))^2)))</f>
        <v>1000</v>
      </c>
      <c r="AK69" s="10">
        <f>IF($G69=AK$5,1000,IF(AK$4=0,1000,SQRT((VLOOKUP($G69,Coords[],3,FALSE)-VLOOKUP(AK$5,Coords[],3,FALSE))^2+(VLOOKUP($G69,Coords[],4,FALSE)-VLOOKUP(AK$5,Coords[],4,FALSE))^2)))</f>
        <v>1000</v>
      </c>
      <c r="AL69" s="10">
        <f>IF($G69=AL$5,1000,IF(AL$4=0,1000,SQRT((VLOOKUP($G69,Coords[],3,FALSE)-VLOOKUP(AL$5,Coords[],3,FALSE))^2+(VLOOKUP($G69,Coords[],4,FALSE)-VLOOKUP(AL$5,Coords[],4,FALSE))^2)))</f>
        <v>1000</v>
      </c>
      <c r="AM69" s="10">
        <f>IF($G69=AM$5,1000,IF(AM$4=0,1000,SQRT((VLOOKUP($G69,Coords[],3,FALSE)-VLOOKUP(AM$5,Coords[],3,FALSE))^2+(VLOOKUP($G69,Coords[],4,FALSE)-VLOOKUP(AM$5,Coords[],4,FALSE))^2)))</f>
        <v>1000</v>
      </c>
      <c r="AN69" s="10">
        <f>IF($G69=AN$5,1000,IF(AN$4=0,1000,SQRT((VLOOKUP($G69,Coords[],3,FALSE)-VLOOKUP(AN$5,Coords[],3,FALSE))^2+(VLOOKUP($G69,Coords[],4,FALSE)-VLOOKUP(AN$5,Coords[],4,FALSE))^2)))</f>
        <v>1000</v>
      </c>
      <c r="AO69" s="10">
        <f>IF($G69=AO$5,1000,IF(AO$4=0,1000,SQRT((VLOOKUP($G69,Coords[],3,FALSE)-VLOOKUP(AO$5,Coords[],3,FALSE))^2+(VLOOKUP($G69,Coords[],4,FALSE)-VLOOKUP(AO$5,Coords[],4,FALSE))^2)))</f>
        <v>1000</v>
      </c>
      <c r="AP69" s="10">
        <f>IF($G69=AP$5,1000,IF(AP$4=0,1000,SQRT((VLOOKUP($G69,Coords[],3,FALSE)-VLOOKUP(AP$5,Coords[],3,FALSE))^2+(VLOOKUP($G69,Coords[],4,FALSE)-VLOOKUP(AP$5,Coords[],4,FALSE))^2)))</f>
        <v>1000</v>
      </c>
      <c r="AQ69" s="10">
        <f>IF($G69=AQ$5,1000,IF(AQ$4=0,1000,SQRT((VLOOKUP($G69,Coords[],3,FALSE)-VLOOKUP(AQ$5,Coords[],3,FALSE))^2+(VLOOKUP($G69,Coords[],4,FALSE)-VLOOKUP(AQ$5,Coords[],4,FALSE))^2)))</f>
        <v>1000</v>
      </c>
      <c r="AR69" s="10">
        <f>IF($G69=AR$5,1000,IF(AR$4=0,1000,SQRT((VLOOKUP($G69,Coords[],3,FALSE)-VLOOKUP(AR$5,Coords[],3,FALSE))^2+(VLOOKUP($G69,Coords[],4,FALSE)-VLOOKUP(AR$5,Coords[],4,FALSE))^2)))</f>
        <v>1000</v>
      </c>
      <c r="AS69" s="10">
        <f>IF($G69=AS$5,1000,IF(AS$4=0,1000,SQRT((VLOOKUP($G69,Coords[],3,FALSE)-VLOOKUP(AS$5,Coords[],3,FALSE))^2+(VLOOKUP($G69,Coords[],4,FALSE)-VLOOKUP(AS$5,Coords[],4,FALSE))^2)))</f>
        <v>1000</v>
      </c>
      <c r="AT69" s="10">
        <f>IF($G69=AT$5,1000,IF(AT$4=0,1000,SQRT((VLOOKUP($G69,Coords[],3,FALSE)-VLOOKUP(AT$5,Coords[],3,FALSE))^2+(VLOOKUP($G69,Coords[],4,FALSE)-VLOOKUP(AT$5,Coords[],4,FALSE))^2)))</f>
        <v>1000</v>
      </c>
      <c r="AU69" s="10">
        <f>IF($G69=AU$5,1000,IF(AU$4=0,1000,SQRT((VLOOKUP($G69,Coords[],3,FALSE)-VLOOKUP(AU$5,Coords[],3,FALSE))^2+(VLOOKUP($G69,Coords[],4,FALSE)-VLOOKUP(AU$5,Coords[],4,FALSE))^2)))</f>
        <v>1000</v>
      </c>
      <c r="AV69" s="10">
        <f>IF($G69=AV$5,1000,IF(AV$4=0,1000,SQRT((VLOOKUP($G69,Coords[],3,FALSE)-VLOOKUP(AV$5,Coords[],3,FALSE))^2+(VLOOKUP($G69,Coords[],4,FALSE)-VLOOKUP(AV$5,Coords[],4,FALSE))^2)))</f>
        <v>1000</v>
      </c>
      <c r="AW69" s="10">
        <f>IF($G69=AW$5,1000,IF(AW$4=0,1000,SQRT((VLOOKUP($G69,Coords[],3,FALSE)-VLOOKUP(AW$5,Coords[],3,FALSE))^2+(VLOOKUP($G69,Coords[],4,FALSE)-VLOOKUP(AW$5,Coords[],4,FALSE))^2)))</f>
        <v>1000</v>
      </c>
      <c r="AX69" s="10">
        <f>IF($G69=AX$5,1000,IF(AX$4=0,1000,SQRT((VLOOKUP($G69,Coords[],3,FALSE)-VLOOKUP(AX$5,Coords[],3,FALSE))^2+(VLOOKUP($G69,Coords[],4,FALSE)-VLOOKUP(AX$5,Coords[],4,FALSE))^2)))</f>
        <v>1000</v>
      </c>
      <c r="AY69" s="10">
        <f>IF($G69=AY$5,1000,IF(AY$4=0,1000,SQRT((VLOOKUP($G69,Coords[],3,FALSE)-VLOOKUP(AY$5,Coords[],3,FALSE))^2+(VLOOKUP($G69,Coords[],4,FALSE)-VLOOKUP(AY$5,Coords[],4,FALSE))^2)))</f>
        <v>1000</v>
      </c>
      <c r="AZ69" s="10">
        <f>IF($G69=AZ$5,1000,IF(AZ$4=0,1000,SQRT((VLOOKUP($G69,Coords[],3,FALSE)-VLOOKUP(AZ$5,Coords[],3,FALSE))^2+(VLOOKUP($G69,Coords[],4,FALSE)-VLOOKUP(AZ$5,Coords[],4,FALSE))^2)))</f>
        <v>1000</v>
      </c>
      <c r="BA69" s="10">
        <f>IF($G69=BA$5,1000,IF(BA$4=0,1000,SQRT((VLOOKUP($G69,Coords[],3,FALSE)-VLOOKUP(BA$5,Coords[],3,FALSE))^2+(VLOOKUP($G69,Coords[],4,FALSE)-VLOOKUP(BA$5,Coords[],4,FALSE))^2)))</f>
        <v>1000</v>
      </c>
      <c r="BB69" s="10">
        <f>IF($G69=BB$5,1000,IF(BB$4=0,1000,SQRT((VLOOKUP($G69,Coords[],3,FALSE)-VLOOKUP(BB$5,Coords[],3,FALSE))^2+(VLOOKUP($G69,Coords[],4,FALSE)-VLOOKUP(BB$5,Coords[],4,FALSE))^2)))</f>
        <v>1000</v>
      </c>
      <c r="BC69" s="10">
        <f>IF($G69=BC$5,1000,IF(BC$4=0,1000,SQRT((VLOOKUP($G69,Coords[],3,FALSE)-VLOOKUP(BC$5,Coords[],3,FALSE))^2+(VLOOKUP($G69,Coords[],4,FALSE)-VLOOKUP(BC$5,Coords[],4,FALSE))^2)))</f>
        <v>1000</v>
      </c>
      <c r="BD69" s="10">
        <f>IF($G69=BD$5,1000,IF(BD$4=0,1000,SQRT((VLOOKUP($G69,Coords[],3,FALSE)-VLOOKUP(BD$5,Coords[],3,FALSE))^2+(VLOOKUP($G69,Coords[],4,FALSE)-VLOOKUP(BD$5,Coords[],4,FALSE))^2)))</f>
        <v>1000</v>
      </c>
      <c r="BE69" s="10">
        <f>IF($G69=BE$5,1000,IF(BE$4=0,1000,SQRT((VLOOKUP($G69,Coords[],3,FALSE)-VLOOKUP(BE$5,Coords[],3,FALSE))^2+(VLOOKUP($G69,Coords[],4,FALSE)-VLOOKUP(BE$5,Coords[],4,FALSE))^2)))</f>
        <v>1000</v>
      </c>
      <c r="BF69" s="10">
        <f>IF($G69=BF$5,1000,IF(BF$4=0,1000,SQRT((VLOOKUP($G69,Coords[],3,FALSE)-VLOOKUP(BF$5,Coords[],3,FALSE))^2+(VLOOKUP($G69,Coords[],4,FALSE)-VLOOKUP(BF$5,Coords[],4,FALSE))^2)))</f>
        <v>1000</v>
      </c>
      <c r="BG69" s="10">
        <f>IF($G69=BG$5,1000,IF(BG$4=0,1000,SQRT((VLOOKUP($G69,Coords[],3,FALSE)-VLOOKUP(BG$5,Coords[],3,FALSE))^2+(VLOOKUP($G69,Coords[],4,FALSE)-VLOOKUP(BG$5,Coords[],4,FALSE))^2)))</f>
        <v>1000</v>
      </c>
      <c r="BH69" s="10">
        <f>IF($G69=BH$5,1000,IF(BH$4=0,1000,SQRT((VLOOKUP($G69,Coords[],3,FALSE)-VLOOKUP(BH$5,Coords[],3,FALSE))^2+(VLOOKUP($G69,Coords[],4,FALSE)-VLOOKUP(BH$5,Coords[],4,FALSE))^2)))</f>
        <v>1000</v>
      </c>
      <c r="BI69" s="10">
        <f>IF($G69=BI$5,1000,IF(BI$4=0,1000,SQRT((VLOOKUP($G69,Coords[],3,FALSE)-VLOOKUP(BI$5,Coords[],3,FALSE))^2+(VLOOKUP($G69,Coords[],4,FALSE)-VLOOKUP(BI$5,Coords[],4,FALSE))^2)))</f>
        <v>1000</v>
      </c>
      <c r="BJ69" s="10">
        <f>IF($G69=BJ$5,1000,IF(BJ$4=0,1000,SQRT((VLOOKUP($G69,Coords[],3,FALSE)-VLOOKUP(BJ$5,Coords[],3,FALSE))^2+(VLOOKUP($G69,Coords[],4,FALSE)-VLOOKUP(BJ$5,Coords[],4,FALSE))^2)))</f>
        <v>1000</v>
      </c>
      <c r="BK69" s="10">
        <f>IF($G69=BK$5,1000,IF(BK$4=0,1000,SQRT((VLOOKUP($G69,Coords[],3,FALSE)-VLOOKUP(BK$5,Coords[],3,FALSE))^2+(VLOOKUP($G69,Coords[],4,FALSE)-VLOOKUP(BK$5,Coords[],4,FALSE))^2)))</f>
        <v>1000</v>
      </c>
      <c r="BL69" s="10">
        <f>IF($G69=BL$5,1000,IF(BL$4=0,1000,SQRT((VLOOKUP($G69,Coords[],3,FALSE)-VLOOKUP(BL$5,Coords[],3,FALSE))^2+(VLOOKUP($G69,Coords[],4,FALSE)-VLOOKUP(BL$5,Coords[],4,FALSE))^2)))</f>
        <v>1000</v>
      </c>
      <c r="BM69" s="10">
        <f>IF($G69=BM$5,1000,IF(BM$4=0,1000,SQRT((VLOOKUP($G69,Coords[],3,FALSE)-VLOOKUP(BM$5,Coords[],3,FALSE))^2+(VLOOKUP($G69,Coords[],4,FALSE)-VLOOKUP(BM$5,Coords[],4,FALSE))^2)))</f>
        <v>1000</v>
      </c>
      <c r="BN69" s="10">
        <f>IF($G69=BN$5,1000,IF(BN$4=0,1000,SQRT((VLOOKUP($G69,Coords[],3,FALSE)-VLOOKUP(BN$5,Coords[],3,FALSE))^2+(VLOOKUP($G69,Coords[],4,FALSE)-VLOOKUP(BN$5,Coords[],4,FALSE))^2)))</f>
        <v>1000</v>
      </c>
      <c r="BO69" s="10">
        <f>IF($G69=BO$5,1000,IF(BO$4=0,1000,SQRT((VLOOKUP($G69,Coords[],3,FALSE)-VLOOKUP(BO$5,Coords[],3,FALSE))^2+(VLOOKUP($G69,Coords[],4,FALSE)-VLOOKUP(BO$5,Coords[],4,FALSE))^2)))</f>
        <v>1000</v>
      </c>
      <c r="BP69" s="10">
        <f>IF($G69=BP$5,1000,IF(BP$4=0,1000,SQRT((VLOOKUP($G69,Coords[],3,FALSE)-VLOOKUP(BP$5,Coords[],3,FALSE))^2+(VLOOKUP($G69,Coords[],4,FALSE)-VLOOKUP(BP$5,Coords[],4,FALSE))^2)))</f>
        <v>1000</v>
      </c>
      <c r="BQ69" s="10">
        <f>IF($G69=BQ$5,1000,IF(BQ$4=0,1000,SQRT((VLOOKUP($G69,Coords[],3,FALSE)-VLOOKUP(BQ$5,Coords[],3,FALSE))^2+(VLOOKUP($G69,Coords[],4,FALSE)-VLOOKUP(BQ$5,Coords[],4,FALSE))^2)))</f>
        <v>1000</v>
      </c>
      <c r="BR69" s="10">
        <f>IF($G69=BR$5,1000,IF(BR$4=0,1000,SQRT((VLOOKUP($G69,Coords[],3,FALSE)-VLOOKUP(BR$5,Coords[],3,FALSE))^2+(VLOOKUP($G69,Coords[],4,FALSE)-VLOOKUP(BR$5,Coords[],4,FALSE))^2)))</f>
        <v>1000</v>
      </c>
      <c r="BS69" s="10">
        <f>IF($G69=BS$5,1000,IF(BS$4=0,1000,SQRT((VLOOKUP($G69,Coords[],3,FALSE)-VLOOKUP(BS$5,Coords[],3,FALSE))^2+(VLOOKUP($G69,Coords[],4,FALSE)-VLOOKUP(BS$5,Coords[],4,FALSE))^2)))</f>
        <v>1000</v>
      </c>
      <c r="BT69" s="10">
        <f>IF($G69=BT$5,1000,IF(BT$4=0,1000,SQRT((VLOOKUP($G69,Coords[],3,FALSE)-VLOOKUP(BT$5,Coords[],3,FALSE))^2+(VLOOKUP($G69,Coords[],4,FALSE)-VLOOKUP(BT$5,Coords[],4,FALSE))^2)))</f>
        <v>1000</v>
      </c>
      <c r="BU69" s="10">
        <f>IF($G69=BU$5,1000,IF(BU$4=0,1000,SQRT((VLOOKUP($G69,Coords[],3,FALSE)-VLOOKUP(BU$5,Coords[],3,FALSE))^2+(VLOOKUP($G69,Coords[],4,FALSE)-VLOOKUP(BU$5,Coords[],4,FALSE))^2)))</f>
        <v>1000</v>
      </c>
      <c r="BV69" s="10">
        <f>IF($G69=BV$5,1000,IF(BV$4=0,1000,SQRT((VLOOKUP($G69,Coords[],3,FALSE)-VLOOKUP(BV$5,Coords[],3,FALSE))^2+(VLOOKUP($G69,Coords[],4,FALSE)-VLOOKUP(BV$5,Coords[],4,FALSE))^2)))</f>
        <v>1000</v>
      </c>
      <c r="BW69" s="10">
        <f>IF($G69=BW$5,1000,IF(BW$4=0,1000,SQRT((VLOOKUP($G69,Coords[],3,FALSE)-VLOOKUP(BW$5,Coords[],3,FALSE))^2+(VLOOKUP($G69,Coords[],4,FALSE)-VLOOKUP(BW$5,Coords[],4,FALSE))^2)))</f>
        <v>1000</v>
      </c>
      <c r="BX69" s="10">
        <f>IF($G69=BX$5,1000,IF(BX$4=0,1000,SQRT((VLOOKUP($G69,Coords[],3,FALSE)-VLOOKUP(BX$5,Coords[],3,FALSE))^2+(VLOOKUP($G69,Coords[],4,FALSE)-VLOOKUP(BX$5,Coords[],4,FALSE))^2)))</f>
        <v>1000</v>
      </c>
      <c r="BY69" s="10">
        <f>IF($G69=BY$5,1000,IF(BY$4=0,1000,SQRT((VLOOKUP($G69,Coords[],3,FALSE)-VLOOKUP(BY$5,Coords[],3,FALSE))^2+(VLOOKUP($G69,Coords[],4,FALSE)-VLOOKUP(BY$5,Coords[],4,FALSE))^2)))</f>
        <v>1000</v>
      </c>
      <c r="BZ69" s="10">
        <f>IF($G69=BZ$5,1000,IF(BZ$4=0,1000,SQRT((VLOOKUP($G69,Coords[],3,FALSE)-VLOOKUP(BZ$5,Coords[],3,FALSE))^2+(VLOOKUP($G69,Coords[],4,FALSE)-VLOOKUP(BZ$5,Coords[],4,FALSE))^2)))</f>
        <v>1000</v>
      </c>
      <c r="CA69" s="10">
        <f>IF($G69=CA$5,1000,IF(CA$4=0,1000,SQRT((VLOOKUP($G69,Coords[],3,FALSE)-VLOOKUP(CA$5,Coords[],3,FALSE))^2+(VLOOKUP($G69,Coords[],4,FALSE)-VLOOKUP(CA$5,Coords[],4,FALSE))^2)))</f>
        <v>1000</v>
      </c>
      <c r="CB69" s="10">
        <f>IF($G69=CB$5,1000,IF(CB$4=0,1000,SQRT((VLOOKUP($G69,Coords[],3,FALSE)-VLOOKUP(CB$5,Coords[],3,FALSE))^2+(VLOOKUP($G69,Coords[],4,FALSE)-VLOOKUP(CB$5,Coords[],4,FALSE))^2)))</f>
        <v>1000</v>
      </c>
      <c r="CC69" s="10">
        <f>IF($G69=CC$5,1000,IF(CC$4=0,1000,SQRT((VLOOKUP($G69,Coords[],3,FALSE)-VLOOKUP(CC$5,Coords[],3,FALSE))^2+(VLOOKUP($G69,Coords[],4,FALSE)-VLOOKUP(CC$5,Coords[],4,FALSE))^2)))</f>
        <v>1000</v>
      </c>
      <c r="CD69" s="10">
        <f>IF($G69=CD$5,1000,IF(CD$4=0,1000,SQRT((VLOOKUP($G69,Coords[],3,FALSE)-VLOOKUP(CD$5,Coords[],3,FALSE))^2+(VLOOKUP($G69,Coords[],4,FALSE)-VLOOKUP(CD$5,Coords[],4,FALSE))^2)))</f>
        <v>1000</v>
      </c>
      <c r="CE69" s="10">
        <f>IF($G69=CE$5,1000,IF(CE$4=0,1000,SQRT((VLOOKUP($G69,Coords[],3,FALSE)-VLOOKUP(CE$5,Coords[],3,FALSE))^2+(VLOOKUP($G69,Coords[],4,FALSE)-VLOOKUP(CE$5,Coords[],4,FALSE))^2)))</f>
        <v>1000</v>
      </c>
      <c r="CF69" s="4">
        <v>64</v>
      </c>
      <c r="CH69" s="5">
        <f>IF(E69=1,0,VLOOKUP($G69,$G$6:$CE$82,HLOOKUP(MIN(H69:CE69),$H69:$CE$82,((COUNT($G$6:$G$81)+2)-$G69),FALSE)+1,FALSE)*B69)</f>
        <v>0</v>
      </c>
      <c r="CI69" s="9">
        <f>VLOOKUP($G69,$G$6:$CE$82,HLOOKUP(MIN(H69:CE69),$H69:$CE$82,((COUNT($G$6:$G$81)+2)-$G69),FALSE)+1,FALSE)</f>
        <v>1000</v>
      </c>
      <c r="CJ69" s="7">
        <f>HLOOKUP(MIN(H69:CE69),$H69:$CE$82,((COUNT($G$6:$G$81)+2)-$G69),FALSE)</f>
        <v>1</v>
      </c>
      <c r="CK69">
        <f>CI69*Coords[[#This Row],[Demand]]</f>
        <v>0</v>
      </c>
    </row>
    <row r="70" spans="1:89" x14ac:dyDescent="0.25">
      <c r="A70" s="8">
        <v>65</v>
      </c>
      <c r="B70" s="3"/>
      <c r="C70" s="3"/>
      <c r="D70" s="3"/>
      <c r="E70" s="3"/>
      <c r="G70" s="4">
        <v>65</v>
      </c>
      <c r="H70" s="10">
        <f>IF($G70=H$5,1000,IF(H$4=0,1000,SQRT((VLOOKUP($G70,Coords[],3,FALSE)-VLOOKUP(H$5,Coords[],3,FALSE))^2+(VLOOKUP($G70,Coords[],4,FALSE)-VLOOKUP(H$5,Coords[],4,FALSE))^2)))</f>
        <v>1000</v>
      </c>
      <c r="I70" s="10">
        <f>IF($G70=I$5,1000,IF(I$4=0,1000,SQRT((VLOOKUP($G70,Coords[],3,FALSE)-VLOOKUP(I$5,Coords[],3,FALSE))^2+(VLOOKUP($G70,Coords[],4,FALSE)-VLOOKUP(I$5,Coords[],4,FALSE))^2)))</f>
        <v>1000</v>
      </c>
      <c r="J70" s="10">
        <f>IF($G70=J$5,1000,IF(J$4=0,1000,SQRT((VLOOKUP($G70,Coords[],3,FALSE)-VLOOKUP(J$5,Coords[],3,FALSE))^2+(VLOOKUP($G70,Coords[],4,FALSE)-VLOOKUP(J$5,Coords[],4,FALSE))^2)))</f>
        <v>1000</v>
      </c>
      <c r="K70" s="10">
        <f>IF($G70=K$5,1000,IF(K$4=0,1000,SQRT((VLOOKUP($G70,Coords[],3,FALSE)-VLOOKUP(K$5,Coords[],3,FALSE))^2+(VLOOKUP($G70,Coords[],4,FALSE)-VLOOKUP(K$5,Coords[],4,FALSE))^2)))</f>
        <v>1000</v>
      </c>
      <c r="L70" s="10">
        <f>IF($G70=L$5,1000,IF(L$4=0,1000,SQRT((VLOOKUP($G70,Coords[],3,FALSE)-VLOOKUP(L$5,Coords[],3,FALSE))^2+(VLOOKUP($G70,Coords[],4,FALSE)-VLOOKUP(L$5,Coords[],4,FALSE))^2)))</f>
        <v>1000</v>
      </c>
      <c r="M70" s="10">
        <f>IF($G70=M$5,1000,IF(M$4=0,1000,SQRT((VLOOKUP($G70,Coords[],3,FALSE)-VLOOKUP(M$5,Coords[],3,FALSE))^2+(VLOOKUP($G70,Coords[],4,FALSE)-VLOOKUP(M$5,Coords[],4,FALSE))^2)))</f>
        <v>1000</v>
      </c>
      <c r="N70" s="10">
        <f>IF($G70=N$5,1000,IF(N$4=0,1000,SQRT((VLOOKUP($G70,Coords[],3,FALSE)-VLOOKUP(N$5,Coords[],3,FALSE))^2+(VLOOKUP($G70,Coords[],4,FALSE)-VLOOKUP(N$5,Coords[],4,FALSE))^2)))</f>
        <v>1000</v>
      </c>
      <c r="O70" s="10">
        <f>IF($G70=O$5,1000,IF(O$4=0,1000,SQRT((VLOOKUP($G70,Coords[],3,FALSE)-VLOOKUP(O$5,Coords[],3,FALSE))^2+(VLOOKUP($G70,Coords[],4,FALSE)-VLOOKUP(O$5,Coords[],4,FALSE))^2)))</f>
        <v>1000</v>
      </c>
      <c r="P70" s="10">
        <f>IF($G70=P$5,1000,IF(P$4=0,1000,SQRT((VLOOKUP($G70,Coords[],3,FALSE)-VLOOKUP(P$5,Coords[],3,FALSE))^2+(VLOOKUP($G70,Coords[],4,FALSE)-VLOOKUP(P$5,Coords[],4,FALSE))^2)))</f>
        <v>1000</v>
      </c>
      <c r="Q70" s="10">
        <f>IF($G70=Q$5,1000,IF(Q$4=0,1000,SQRT((VLOOKUP($G70,Coords[],3,FALSE)-VLOOKUP(Q$5,Coords[],3,FALSE))^2+(VLOOKUP($G70,Coords[],4,FALSE)-VLOOKUP(Q$5,Coords[],4,FALSE))^2)))</f>
        <v>1000</v>
      </c>
      <c r="R70" s="10">
        <f>IF($G70=R$5,1000,IF(R$4=0,1000,SQRT((VLOOKUP($G70,Coords[],3,FALSE)-VLOOKUP(R$5,Coords[],3,FALSE))^2+(VLOOKUP($G70,Coords[],4,FALSE)-VLOOKUP(R$5,Coords[],4,FALSE))^2)))</f>
        <v>1000</v>
      </c>
      <c r="S70" s="10">
        <f>IF($G70=S$5,1000,IF(S$4=0,1000,SQRT((VLOOKUP($G70,Coords[],3,FALSE)-VLOOKUP(S$5,Coords[],3,FALSE))^2+(VLOOKUP($G70,Coords[],4,FALSE)-VLOOKUP(S$5,Coords[],4,FALSE))^2)))</f>
        <v>1000</v>
      </c>
      <c r="T70" s="10">
        <f>IF($G70=T$5,1000,IF(T$4=0,1000,SQRT((VLOOKUP($G70,Coords[],3,FALSE)-VLOOKUP(T$5,Coords[],3,FALSE))^2+(VLOOKUP($G70,Coords[],4,FALSE)-VLOOKUP(T$5,Coords[],4,FALSE))^2)))</f>
        <v>1000</v>
      </c>
      <c r="U70" s="10">
        <f>IF($G70=U$5,1000,IF(U$4=0,1000,SQRT((VLOOKUP($G70,Coords[],3,FALSE)-VLOOKUP(U$5,Coords[],3,FALSE))^2+(VLOOKUP($G70,Coords[],4,FALSE)-VLOOKUP(U$5,Coords[],4,FALSE))^2)))</f>
        <v>1000</v>
      </c>
      <c r="V70" s="10">
        <f>IF($G70=V$5,1000,IF(V$4=0,1000,SQRT((VLOOKUP($G70,Coords[],3,FALSE)-VLOOKUP(V$5,Coords[],3,FALSE))^2+(VLOOKUP($G70,Coords[],4,FALSE)-VLOOKUP(V$5,Coords[],4,FALSE))^2)))</f>
        <v>1000</v>
      </c>
      <c r="W70" s="10">
        <f>IF($G70=W$5,1000,IF(W$4=0,1000,SQRT((VLOOKUP($G70,Coords[],3,FALSE)-VLOOKUP(W$5,Coords[],3,FALSE))^2+(VLOOKUP($G70,Coords[],4,FALSE)-VLOOKUP(W$5,Coords[],4,FALSE))^2)))</f>
        <v>1000</v>
      </c>
      <c r="X70" s="10">
        <f>IF($G70=X$5,1000,IF(X$4=0,1000,SQRT((VLOOKUP($G70,Coords[],3,FALSE)-VLOOKUP(X$5,Coords[],3,FALSE))^2+(VLOOKUP($G70,Coords[],4,FALSE)-VLOOKUP(X$5,Coords[],4,FALSE))^2)))</f>
        <v>1000</v>
      </c>
      <c r="Y70" s="10">
        <f>IF($G70=Y$5,1000,IF(Y$4=0,1000,SQRT((VLOOKUP($G70,Coords[],3,FALSE)-VLOOKUP(Y$5,Coords[],3,FALSE))^2+(VLOOKUP($G70,Coords[],4,FALSE)-VLOOKUP(Y$5,Coords[],4,FALSE))^2)))</f>
        <v>1000</v>
      </c>
      <c r="Z70" s="10">
        <f>IF($G70=Z$5,1000,IF(Z$4=0,1000,SQRT((VLOOKUP($G70,Coords[],3,FALSE)-VLOOKUP(Z$5,Coords[],3,FALSE))^2+(VLOOKUP($G70,Coords[],4,FALSE)-VLOOKUP(Z$5,Coords[],4,FALSE))^2)))</f>
        <v>1000</v>
      </c>
      <c r="AA70" s="10">
        <f>IF($G70=AA$5,1000,IF(AA$4=0,1000,SQRT((VLOOKUP($G70,Coords[],3,FALSE)-VLOOKUP(AA$5,Coords[],3,FALSE))^2+(VLOOKUP($G70,Coords[],4,FALSE)-VLOOKUP(AA$5,Coords[],4,FALSE))^2)))</f>
        <v>1000</v>
      </c>
      <c r="AB70" s="10">
        <f>IF($G70=AB$5,1000,IF(AB$4=0,1000,SQRT((VLOOKUP($G70,Coords[],3,FALSE)-VLOOKUP(AB$5,Coords[],3,FALSE))^2+(VLOOKUP($G70,Coords[],4,FALSE)-VLOOKUP(AB$5,Coords[],4,FALSE))^2)))</f>
        <v>1000</v>
      </c>
      <c r="AC70" s="10">
        <f>IF($G70=AC$5,1000,IF(AC$4=0,1000,SQRT((VLOOKUP($G70,Coords[],3,FALSE)-VLOOKUP(AC$5,Coords[],3,FALSE))^2+(VLOOKUP($G70,Coords[],4,FALSE)-VLOOKUP(AC$5,Coords[],4,FALSE))^2)))</f>
        <v>1000</v>
      </c>
      <c r="AD70" s="10">
        <f>IF($G70=AD$5,1000,IF(AD$4=0,1000,SQRT((VLOOKUP($G70,Coords[],3,FALSE)-VLOOKUP(AD$5,Coords[],3,FALSE))^2+(VLOOKUP($G70,Coords[],4,FALSE)-VLOOKUP(AD$5,Coords[],4,FALSE))^2)))</f>
        <v>1000</v>
      </c>
      <c r="AE70" s="10">
        <f>IF($G70=AE$5,1000,IF(AE$4=0,1000,SQRT((VLOOKUP($G70,Coords[],3,FALSE)-VLOOKUP(AE$5,Coords[],3,FALSE))^2+(VLOOKUP($G70,Coords[],4,FALSE)-VLOOKUP(AE$5,Coords[],4,FALSE))^2)))</f>
        <v>1000</v>
      </c>
      <c r="AF70" s="10">
        <f>IF($G70=AF$5,1000,IF(AF$4=0,1000,SQRT((VLOOKUP($G70,Coords[],3,FALSE)-VLOOKUP(AF$5,Coords[],3,FALSE))^2+(VLOOKUP($G70,Coords[],4,FALSE)-VLOOKUP(AF$5,Coords[],4,FALSE))^2)))</f>
        <v>1000</v>
      </c>
      <c r="AG70" s="10">
        <f>IF($G70=AG$5,1000,IF(AG$4=0,1000,SQRT((VLOOKUP($G70,Coords[],3,FALSE)-VLOOKUP(AG$5,Coords[],3,FALSE))^2+(VLOOKUP($G70,Coords[],4,FALSE)-VLOOKUP(AG$5,Coords[],4,FALSE))^2)))</f>
        <v>1000</v>
      </c>
      <c r="AH70" s="10">
        <f>IF($G70=AH$5,1000,IF(AH$4=0,1000,SQRT((VLOOKUP($G70,Coords[],3,FALSE)-VLOOKUP(AH$5,Coords[],3,FALSE))^2+(VLOOKUP($G70,Coords[],4,FALSE)-VLOOKUP(AH$5,Coords[],4,FALSE))^2)))</f>
        <v>1000</v>
      </c>
      <c r="AI70" s="10">
        <f>IF($G70=AI$5,1000,IF(AI$4=0,1000,SQRT((VLOOKUP($G70,Coords[],3,FALSE)-VLOOKUP(AI$5,Coords[],3,FALSE))^2+(VLOOKUP($G70,Coords[],4,FALSE)-VLOOKUP(AI$5,Coords[],4,FALSE))^2)))</f>
        <v>1000</v>
      </c>
      <c r="AJ70" s="10">
        <f>IF($G70=AJ$5,1000,IF(AJ$4=0,1000,SQRT((VLOOKUP($G70,Coords[],3,FALSE)-VLOOKUP(AJ$5,Coords[],3,FALSE))^2+(VLOOKUP($G70,Coords[],4,FALSE)-VLOOKUP(AJ$5,Coords[],4,FALSE))^2)))</f>
        <v>1000</v>
      </c>
      <c r="AK70" s="10">
        <f>IF($G70=AK$5,1000,IF(AK$4=0,1000,SQRT((VLOOKUP($G70,Coords[],3,FALSE)-VLOOKUP(AK$5,Coords[],3,FALSE))^2+(VLOOKUP($G70,Coords[],4,FALSE)-VLOOKUP(AK$5,Coords[],4,FALSE))^2)))</f>
        <v>1000</v>
      </c>
      <c r="AL70" s="10">
        <f>IF($G70=AL$5,1000,IF(AL$4=0,1000,SQRT((VLOOKUP($G70,Coords[],3,FALSE)-VLOOKUP(AL$5,Coords[],3,FALSE))^2+(VLOOKUP($G70,Coords[],4,FALSE)-VLOOKUP(AL$5,Coords[],4,FALSE))^2)))</f>
        <v>1000</v>
      </c>
      <c r="AM70" s="10">
        <f>IF($G70=AM$5,1000,IF(AM$4=0,1000,SQRT((VLOOKUP($G70,Coords[],3,FALSE)-VLOOKUP(AM$5,Coords[],3,FALSE))^2+(VLOOKUP($G70,Coords[],4,FALSE)-VLOOKUP(AM$5,Coords[],4,FALSE))^2)))</f>
        <v>1000</v>
      </c>
      <c r="AN70" s="10">
        <f>IF($G70=AN$5,1000,IF(AN$4=0,1000,SQRT((VLOOKUP($G70,Coords[],3,FALSE)-VLOOKUP(AN$5,Coords[],3,FALSE))^2+(VLOOKUP($G70,Coords[],4,FALSE)-VLOOKUP(AN$5,Coords[],4,FALSE))^2)))</f>
        <v>1000</v>
      </c>
      <c r="AO70" s="10">
        <f>IF($G70=AO$5,1000,IF(AO$4=0,1000,SQRT((VLOOKUP($G70,Coords[],3,FALSE)-VLOOKUP(AO$5,Coords[],3,FALSE))^2+(VLOOKUP($G70,Coords[],4,FALSE)-VLOOKUP(AO$5,Coords[],4,FALSE))^2)))</f>
        <v>1000</v>
      </c>
      <c r="AP70" s="10">
        <f>IF($G70=AP$5,1000,IF(AP$4=0,1000,SQRT((VLOOKUP($G70,Coords[],3,FALSE)-VLOOKUP(AP$5,Coords[],3,FALSE))^2+(VLOOKUP($G70,Coords[],4,FALSE)-VLOOKUP(AP$5,Coords[],4,FALSE))^2)))</f>
        <v>1000</v>
      </c>
      <c r="AQ70" s="10">
        <f>IF($G70=AQ$5,1000,IF(AQ$4=0,1000,SQRT((VLOOKUP($G70,Coords[],3,FALSE)-VLOOKUP(AQ$5,Coords[],3,FALSE))^2+(VLOOKUP($G70,Coords[],4,FALSE)-VLOOKUP(AQ$5,Coords[],4,FALSE))^2)))</f>
        <v>1000</v>
      </c>
      <c r="AR70" s="10">
        <f>IF($G70=AR$5,1000,IF(AR$4=0,1000,SQRT((VLOOKUP($G70,Coords[],3,FALSE)-VLOOKUP(AR$5,Coords[],3,FALSE))^2+(VLOOKUP($G70,Coords[],4,FALSE)-VLOOKUP(AR$5,Coords[],4,FALSE))^2)))</f>
        <v>1000</v>
      </c>
      <c r="AS70" s="10">
        <f>IF($G70=AS$5,1000,IF(AS$4=0,1000,SQRT((VLOOKUP($G70,Coords[],3,FALSE)-VLOOKUP(AS$5,Coords[],3,FALSE))^2+(VLOOKUP($G70,Coords[],4,FALSE)-VLOOKUP(AS$5,Coords[],4,FALSE))^2)))</f>
        <v>1000</v>
      </c>
      <c r="AT70" s="10">
        <f>IF($G70=AT$5,1000,IF(AT$4=0,1000,SQRT((VLOOKUP($G70,Coords[],3,FALSE)-VLOOKUP(AT$5,Coords[],3,FALSE))^2+(VLOOKUP($G70,Coords[],4,FALSE)-VLOOKUP(AT$5,Coords[],4,FALSE))^2)))</f>
        <v>1000</v>
      </c>
      <c r="AU70" s="10">
        <f>IF($G70=AU$5,1000,IF(AU$4=0,1000,SQRT((VLOOKUP($G70,Coords[],3,FALSE)-VLOOKUP(AU$5,Coords[],3,FALSE))^2+(VLOOKUP($G70,Coords[],4,FALSE)-VLOOKUP(AU$5,Coords[],4,FALSE))^2)))</f>
        <v>1000</v>
      </c>
      <c r="AV70" s="10">
        <f>IF($G70=AV$5,1000,IF(AV$4=0,1000,SQRT((VLOOKUP($G70,Coords[],3,FALSE)-VLOOKUP(AV$5,Coords[],3,FALSE))^2+(VLOOKUP($G70,Coords[],4,FALSE)-VLOOKUP(AV$5,Coords[],4,FALSE))^2)))</f>
        <v>1000</v>
      </c>
      <c r="AW70" s="10">
        <f>IF($G70=AW$5,1000,IF(AW$4=0,1000,SQRT((VLOOKUP($G70,Coords[],3,FALSE)-VLOOKUP(AW$5,Coords[],3,FALSE))^2+(VLOOKUP($G70,Coords[],4,FALSE)-VLOOKUP(AW$5,Coords[],4,FALSE))^2)))</f>
        <v>1000</v>
      </c>
      <c r="AX70" s="10">
        <f>IF($G70=AX$5,1000,IF(AX$4=0,1000,SQRT((VLOOKUP($G70,Coords[],3,FALSE)-VLOOKUP(AX$5,Coords[],3,FALSE))^2+(VLOOKUP($G70,Coords[],4,FALSE)-VLOOKUP(AX$5,Coords[],4,FALSE))^2)))</f>
        <v>1000</v>
      </c>
      <c r="AY70" s="10">
        <f>IF($G70=AY$5,1000,IF(AY$4=0,1000,SQRT((VLOOKUP($G70,Coords[],3,FALSE)-VLOOKUP(AY$5,Coords[],3,FALSE))^2+(VLOOKUP($G70,Coords[],4,FALSE)-VLOOKUP(AY$5,Coords[],4,FALSE))^2)))</f>
        <v>1000</v>
      </c>
      <c r="AZ70" s="10">
        <f>IF($G70=AZ$5,1000,IF(AZ$4=0,1000,SQRT((VLOOKUP($G70,Coords[],3,FALSE)-VLOOKUP(AZ$5,Coords[],3,FALSE))^2+(VLOOKUP($G70,Coords[],4,FALSE)-VLOOKUP(AZ$5,Coords[],4,FALSE))^2)))</f>
        <v>1000</v>
      </c>
      <c r="BA70" s="10">
        <f>IF($G70=BA$5,1000,IF(BA$4=0,1000,SQRT((VLOOKUP($G70,Coords[],3,FALSE)-VLOOKUP(BA$5,Coords[],3,FALSE))^2+(VLOOKUP($G70,Coords[],4,FALSE)-VLOOKUP(BA$5,Coords[],4,FALSE))^2)))</f>
        <v>1000</v>
      </c>
      <c r="BB70" s="10">
        <f>IF($G70=BB$5,1000,IF(BB$4=0,1000,SQRT((VLOOKUP($G70,Coords[],3,FALSE)-VLOOKUP(BB$5,Coords[],3,FALSE))^2+(VLOOKUP($G70,Coords[],4,FALSE)-VLOOKUP(BB$5,Coords[],4,FALSE))^2)))</f>
        <v>1000</v>
      </c>
      <c r="BC70" s="10">
        <f>IF($G70=BC$5,1000,IF(BC$4=0,1000,SQRT((VLOOKUP($G70,Coords[],3,FALSE)-VLOOKUP(BC$5,Coords[],3,FALSE))^2+(VLOOKUP($G70,Coords[],4,FALSE)-VLOOKUP(BC$5,Coords[],4,FALSE))^2)))</f>
        <v>1000</v>
      </c>
      <c r="BD70" s="10">
        <f>IF($G70=BD$5,1000,IF(BD$4=0,1000,SQRT((VLOOKUP($G70,Coords[],3,FALSE)-VLOOKUP(BD$5,Coords[],3,FALSE))^2+(VLOOKUP($G70,Coords[],4,FALSE)-VLOOKUP(BD$5,Coords[],4,FALSE))^2)))</f>
        <v>1000</v>
      </c>
      <c r="BE70" s="10">
        <f>IF($G70=BE$5,1000,IF(BE$4=0,1000,SQRT((VLOOKUP($G70,Coords[],3,FALSE)-VLOOKUP(BE$5,Coords[],3,FALSE))^2+(VLOOKUP($G70,Coords[],4,FALSE)-VLOOKUP(BE$5,Coords[],4,FALSE))^2)))</f>
        <v>1000</v>
      </c>
      <c r="BF70" s="10">
        <f>IF($G70=BF$5,1000,IF(BF$4=0,1000,SQRT((VLOOKUP($G70,Coords[],3,FALSE)-VLOOKUP(BF$5,Coords[],3,FALSE))^2+(VLOOKUP($G70,Coords[],4,FALSE)-VLOOKUP(BF$5,Coords[],4,FALSE))^2)))</f>
        <v>1000</v>
      </c>
      <c r="BG70" s="10">
        <f>IF($G70=BG$5,1000,IF(BG$4=0,1000,SQRT((VLOOKUP($G70,Coords[],3,FALSE)-VLOOKUP(BG$5,Coords[],3,FALSE))^2+(VLOOKUP($G70,Coords[],4,FALSE)-VLOOKUP(BG$5,Coords[],4,FALSE))^2)))</f>
        <v>1000</v>
      </c>
      <c r="BH70" s="10">
        <f>IF($G70=BH$5,1000,IF(BH$4=0,1000,SQRT((VLOOKUP($G70,Coords[],3,FALSE)-VLOOKUP(BH$5,Coords[],3,FALSE))^2+(VLOOKUP($G70,Coords[],4,FALSE)-VLOOKUP(BH$5,Coords[],4,FALSE))^2)))</f>
        <v>1000</v>
      </c>
      <c r="BI70" s="10">
        <f>IF($G70=BI$5,1000,IF(BI$4=0,1000,SQRT((VLOOKUP($G70,Coords[],3,FALSE)-VLOOKUP(BI$5,Coords[],3,FALSE))^2+(VLOOKUP($G70,Coords[],4,FALSE)-VLOOKUP(BI$5,Coords[],4,FALSE))^2)))</f>
        <v>1000</v>
      </c>
      <c r="BJ70" s="10">
        <f>IF($G70=BJ$5,1000,IF(BJ$4=0,1000,SQRT((VLOOKUP($G70,Coords[],3,FALSE)-VLOOKUP(BJ$5,Coords[],3,FALSE))^2+(VLOOKUP($G70,Coords[],4,FALSE)-VLOOKUP(BJ$5,Coords[],4,FALSE))^2)))</f>
        <v>1000</v>
      </c>
      <c r="BK70" s="10">
        <f>IF($G70=BK$5,1000,IF(BK$4=0,1000,SQRT((VLOOKUP($G70,Coords[],3,FALSE)-VLOOKUP(BK$5,Coords[],3,FALSE))^2+(VLOOKUP($G70,Coords[],4,FALSE)-VLOOKUP(BK$5,Coords[],4,FALSE))^2)))</f>
        <v>1000</v>
      </c>
      <c r="BL70" s="10">
        <f>IF($G70=BL$5,1000,IF(BL$4=0,1000,SQRT((VLOOKUP($G70,Coords[],3,FALSE)-VLOOKUP(BL$5,Coords[],3,FALSE))^2+(VLOOKUP($G70,Coords[],4,FALSE)-VLOOKUP(BL$5,Coords[],4,FALSE))^2)))</f>
        <v>1000</v>
      </c>
      <c r="BM70" s="10">
        <f>IF($G70=BM$5,1000,IF(BM$4=0,1000,SQRT((VLOOKUP($G70,Coords[],3,FALSE)-VLOOKUP(BM$5,Coords[],3,FALSE))^2+(VLOOKUP($G70,Coords[],4,FALSE)-VLOOKUP(BM$5,Coords[],4,FALSE))^2)))</f>
        <v>1000</v>
      </c>
      <c r="BN70" s="10">
        <f>IF($G70=BN$5,1000,IF(BN$4=0,1000,SQRT((VLOOKUP($G70,Coords[],3,FALSE)-VLOOKUP(BN$5,Coords[],3,FALSE))^2+(VLOOKUP($G70,Coords[],4,FALSE)-VLOOKUP(BN$5,Coords[],4,FALSE))^2)))</f>
        <v>1000</v>
      </c>
      <c r="BO70" s="10">
        <f>IF($G70=BO$5,1000,IF(BO$4=0,1000,SQRT((VLOOKUP($G70,Coords[],3,FALSE)-VLOOKUP(BO$5,Coords[],3,FALSE))^2+(VLOOKUP($G70,Coords[],4,FALSE)-VLOOKUP(BO$5,Coords[],4,FALSE))^2)))</f>
        <v>1000</v>
      </c>
      <c r="BP70" s="10">
        <f>IF($G70=BP$5,1000,IF(BP$4=0,1000,SQRT((VLOOKUP($G70,Coords[],3,FALSE)-VLOOKUP(BP$5,Coords[],3,FALSE))^2+(VLOOKUP($G70,Coords[],4,FALSE)-VLOOKUP(BP$5,Coords[],4,FALSE))^2)))</f>
        <v>1000</v>
      </c>
      <c r="BQ70" s="10">
        <f>IF($G70=BQ$5,1000,IF(BQ$4=0,1000,SQRT((VLOOKUP($G70,Coords[],3,FALSE)-VLOOKUP(BQ$5,Coords[],3,FALSE))^2+(VLOOKUP($G70,Coords[],4,FALSE)-VLOOKUP(BQ$5,Coords[],4,FALSE))^2)))</f>
        <v>1000</v>
      </c>
      <c r="BR70" s="10">
        <f>IF($G70=BR$5,1000,IF(BR$4=0,1000,SQRT((VLOOKUP($G70,Coords[],3,FALSE)-VLOOKUP(BR$5,Coords[],3,FALSE))^2+(VLOOKUP($G70,Coords[],4,FALSE)-VLOOKUP(BR$5,Coords[],4,FALSE))^2)))</f>
        <v>1000</v>
      </c>
      <c r="BS70" s="10">
        <f>IF($G70=BS$5,1000,IF(BS$4=0,1000,SQRT((VLOOKUP($G70,Coords[],3,FALSE)-VLOOKUP(BS$5,Coords[],3,FALSE))^2+(VLOOKUP($G70,Coords[],4,FALSE)-VLOOKUP(BS$5,Coords[],4,FALSE))^2)))</f>
        <v>1000</v>
      </c>
      <c r="BT70" s="10">
        <f>IF($G70=BT$5,1000,IF(BT$4=0,1000,SQRT((VLOOKUP($G70,Coords[],3,FALSE)-VLOOKUP(BT$5,Coords[],3,FALSE))^2+(VLOOKUP($G70,Coords[],4,FALSE)-VLOOKUP(BT$5,Coords[],4,FALSE))^2)))</f>
        <v>1000</v>
      </c>
      <c r="BU70" s="10">
        <f>IF($G70=BU$5,1000,IF(BU$4=0,1000,SQRT((VLOOKUP($G70,Coords[],3,FALSE)-VLOOKUP(BU$5,Coords[],3,FALSE))^2+(VLOOKUP($G70,Coords[],4,FALSE)-VLOOKUP(BU$5,Coords[],4,FALSE))^2)))</f>
        <v>1000</v>
      </c>
      <c r="BV70" s="10">
        <f>IF($G70=BV$5,1000,IF(BV$4=0,1000,SQRT((VLOOKUP($G70,Coords[],3,FALSE)-VLOOKUP(BV$5,Coords[],3,FALSE))^2+(VLOOKUP($G70,Coords[],4,FALSE)-VLOOKUP(BV$5,Coords[],4,FALSE))^2)))</f>
        <v>1000</v>
      </c>
      <c r="BW70" s="10">
        <f>IF($G70=BW$5,1000,IF(BW$4=0,1000,SQRT((VLOOKUP($G70,Coords[],3,FALSE)-VLOOKUP(BW$5,Coords[],3,FALSE))^2+(VLOOKUP($G70,Coords[],4,FALSE)-VLOOKUP(BW$5,Coords[],4,FALSE))^2)))</f>
        <v>1000</v>
      </c>
      <c r="BX70" s="10">
        <f>IF($G70=BX$5,1000,IF(BX$4=0,1000,SQRT((VLOOKUP($G70,Coords[],3,FALSE)-VLOOKUP(BX$5,Coords[],3,FALSE))^2+(VLOOKUP($G70,Coords[],4,FALSE)-VLOOKUP(BX$5,Coords[],4,FALSE))^2)))</f>
        <v>1000</v>
      </c>
      <c r="BY70" s="10">
        <f>IF($G70=BY$5,1000,IF(BY$4=0,1000,SQRT((VLOOKUP($G70,Coords[],3,FALSE)-VLOOKUP(BY$5,Coords[],3,FALSE))^2+(VLOOKUP($G70,Coords[],4,FALSE)-VLOOKUP(BY$5,Coords[],4,FALSE))^2)))</f>
        <v>1000</v>
      </c>
      <c r="BZ70" s="10">
        <f>IF($G70=BZ$5,1000,IF(BZ$4=0,1000,SQRT((VLOOKUP($G70,Coords[],3,FALSE)-VLOOKUP(BZ$5,Coords[],3,FALSE))^2+(VLOOKUP($G70,Coords[],4,FALSE)-VLOOKUP(BZ$5,Coords[],4,FALSE))^2)))</f>
        <v>1000</v>
      </c>
      <c r="CA70" s="10">
        <f>IF($G70=CA$5,1000,IF(CA$4=0,1000,SQRT((VLOOKUP($G70,Coords[],3,FALSE)-VLOOKUP(CA$5,Coords[],3,FALSE))^2+(VLOOKUP($G70,Coords[],4,FALSE)-VLOOKUP(CA$5,Coords[],4,FALSE))^2)))</f>
        <v>1000</v>
      </c>
      <c r="CB70" s="10">
        <f>IF($G70=CB$5,1000,IF(CB$4=0,1000,SQRT((VLOOKUP($G70,Coords[],3,FALSE)-VLOOKUP(CB$5,Coords[],3,FALSE))^2+(VLOOKUP($G70,Coords[],4,FALSE)-VLOOKUP(CB$5,Coords[],4,FALSE))^2)))</f>
        <v>1000</v>
      </c>
      <c r="CC70" s="10">
        <f>IF($G70=CC$5,1000,IF(CC$4=0,1000,SQRT((VLOOKUP($G70,Coords[],3,FALSE)-VLOOKUP(CC$5,Coords[],3,FALSE))^2+(VLOOKUP($G70,Coords[],4,FALSE)-VLOOKUP(CC$5,Coords[],4,FALSE))^2)))</f>
        <v>1000</v>
      </c>
      <c r="CD70" s="10">
        <f>IF($G70=CD$5,1000,IF(CD$4=0,1000,SQRT((VLOOKUP($G70,Coords[],3,FALSE)-VLOOKUP(CD$5,Coords[],3,FALSE))^2+(VLOOKUP($G70,Coords[],4,FALSE)-VLOOKUP(CD$5,Coords[],4,FALSE))^2)))</f>
        <v>1000</v>
      </c>
      <c r="CE70" s="10">
        <f>IF($G70=CE$5,1000,IF(CE$4=0,1000,SQRT((VLOOKUP($G70,Coords[],3,FALSE)-VLOOKUP(CE$5,Coords[],3,FALSE))^2+(VLOOKUP($G70,Coords[],4,FALSE)-VLOOKUP(CE$5,Coords[],4,FALSE))^2)))</f>
        <v>1000</v>
      </c>
      <c r="CF70" s="4">
        <v>65</v>
      </c>
      <c r="CH70" s="5">
        <f>IF(E70=1,0,VLOOKUP($G70,$G$6:$CE$82,HLOOKUP(MIN(H70:CE70),$H70:$CE$82,((COUNT($G$6:$G$81)+2)-$G70),FALSE)+1,FALSE)*B70)</f>
        <v>0</v>
      </c>
      <c r="CI70" s="9">
        <f>VLOOKUP($G70,$G$6:$CE$82,HLOOKUP(MIN(H70:CE70),$H70:$CE$82,((COUNT($G$6:$G$81)+2)-$G70),FALSE)+1,FALSE)</f>
        <v>1000</v>
      </c>
      <c r="CJ70" s="7">
        <f>HLOOKUP(MIN(H70:CE70),$H70:$CE$82,((COUNT($G$6:$G$81)+2)-$G70),FALSE)</f>
        <v>1</v>
      </c>
      <c r="CK70">
        <f>CI70*Coords[[#This Row],[Demand]]</f>
        <v>0</v>
      </c>
    </row>
    <row r="71" spans="1:89" x14ac:dyDescent="0.25">
      <c r="A71" s="8">
        <v>66</v>
      </c>
      <c r="B71" s="3"/>
      <c r="C71" s="3"/>
      <c r="D71" s="3"/>
      <c r="E71" s="3"/>
      <c r="G71" s="4">
        <v>66</v>
      </c>
      <c r="H71" s="10">
        <f>IF($G71=H$5,1000,IF(H$4=0,1000,SQRT((VLOOKUP($G71,Coords[],3,FALSE)-VLOOKUP(H$5,Coords[],3,FALSE))^2+(VLOOKUP($G71,Coords[],4,FALSE)-VLOOKUP(H$5,Coords[],4,FALSE))^2)))</f>
        <v>1000</v>
      </c>
      <c r="I71" s="10">
        <f>IF($G71=I$5,1000,IF(I$4=0,1000,SQRT((VLOOKUP($G71,Coords[],3,FALSE)-VLOOKUP(I$5,Coords[],3,FALSE))^2+(VLOOKUP($G71,Coords[],4,FALSE)-VLOOKUP(I$5,Coords[],4,FALSE))^2)))</f>
        <v>1000</v>
      </c>
      <c r="J71" s="10">
        <f>IF($G71=J$5,1000,IF(J$4=0,1000,SQRT((VLOOKUP($G71,Coords[],3,FALSE)-VLOOKUP(J$5,Coords[],3,FALSE))^2+(VLOOKUP($G71,Coords[],4,FALSE)-VLOOKUP(J$5,Coords[],4,FALSE))^2)))</f>
        <v>1000</v>
      </c>
      <c r="K71" s="10">
        <f>IF($G71=K$5,1000,IF(K$4=0,1000,SQRT((VLOOKUP($G71,Coords[],3,FALSE)-VLOOKUP(K$5,Coords[],3,FALSE))^2+(VLOOKUP($G71,Coords[],4,FALSE)-VLOOKUP(K$5,Coords[],4,FALSE))^2)))</f>
        <v>1000</v>
      </c>
      <c r="L71" s="10">
        <f>IF($G71=L$5,1000,IF(L$4=0,1000,SQRT((VLOOKUP($G71,Coords[],3,FALSE)-VLOOKUP(L$5,Coords[],3,FALSE))^2+(VLOOKUP($G71,Coords[],4,FALSE)-VLOOKUP(L$5,Coords[],4,FALSE))^2)))</f>
        <v>1000</v>
      </c>
      <c r="M71" s="10">
        <f>IF($G71=M$5,1000,IF(M$4=0,1000,SQRT((VLOOKUP($G71,Coords[],3,FALSE)-VLOOKUP(M$5,Coords[],3,FALSE))^2+(VLOOKUP($G71,Coords[],4,FALSE)-VLOOKUP(M$5,Coords[],4,FALSE))^2)))</f>
        <v>1000</v>
      </c>
      <c r="N71" s="10">
        <f>IF($G71=N$5,1000,IF(N$4=0,1000,SQRT((VLOOKUP($G71,Coords[],3,FALSE)-VLOOKUP(N$5,Coords[],3,FALSE))^2+(VLOOKUP($G71,Coords[],4,FALSE)-VLOOKUP(N$5,Coords[],4,FALSE))^2)))</f>
        <v>1000</v>
      </c>
      <c r="O71" s="10">
        <f>IF($G71=O$5,1000,IF(O$4=0,1000,SQRT((VLOOKUP($G71,Coords[],3,FALSE)-VLOOKUP(O$5,Coords[],3,FALSE))^2+(VLOOKUP($G71,Coords[],4,FALSE)-VLOOKUP(O$5,Coords[],4,FALSE))^2)))</f>
        <v>1000</v>
      </c>
      <c r="P71" s="10">
        <f>IF($G71=P$5,1000,IF(P$4=0,1000,SQRT((VLOOKUP($G71,Coords[],3,FALSE)-VLOOKUP(P$5,Coords[],3,FALSE))^2+(VLOOKUP($G71,Coords[],4,FALSE)-VLOOKUP(P$5,Coords[],4,FALSE))^2)))</f>
        <v>1000</v>
      </c>
      <c r="Q71" s="10">
        <f>IF($G71=Q$5,1000,IF(Q$4=0,1000,SQRT((VLOOKUP($G71,Coords[],3,FALSE)-VLOOKUP(Q$5,Coords[],3,FALSE))^2+(VLOOKUP($G71,Coords[],4,FALSE)-VLOOKUP(Q$5,Coords[],4,FALSE))^2)))</f>
        <v>1000</v>
      </c>
      <c r="R71" s="10">
        <f>IF($G71=R$5,1000,IF(R$4=0,1000,SQRT((VLOOKUP($G71,Coords[],3,FALSE)-VLOOKUP(R$5,Coords[],3,FALSE))^2+(VLOOKUP($G71,Coords[],4,FALSE)-VLOOKUP(R$5,Coords[],4,FALSE))^2)))</f>
        <v>1000</v>
      </c>
      <c r="S71" s="10">
        <f>IF($G71=S$5,1000,IF(S$4=0,1000,SQRT((VLOOKUP($G71,Coords[],3,FALSE)-VLOOKUP(S$5,Coords[],3,FALSE))^2+(VLOOKUP($G71,Coords[],4,FALSE)-VLOOKUP(S$5,Coords[],4,FALSE))^2)))</f>
        <v>1000</v>
      </c>
      <c r="T71" s="10">
        <f>IF($G71=T$5,1000,IF(T$4=0,1000,SQRT((VLOOKUP($G71,Coords[],3,FALSE)-VLOOKUP(T$5,Coords[],3,FALSE))^2+(VLOOKUP($G71,Coords[],4,FALSE)-VLOOKUP(T$5,Coords[],4,FALSE))^2)))</f>
        <v>1000</v>
      </c>
      <c r="U71" s="10">
        <f>IF($G71=U$5,1000,IF(U$4=0,1000,SQRT((VLOOKUP($G71,Coords[],3,FALSE)-VLOOKUP(U$5,Coords[],3,FALSE))^2+(VLOOKUP($G71,Coords[],4,FALSE)-VLOOKUP(U$5,Coords[],4,FALSE))^2)))</f>
        <v>1000</v>
      </c>
      <c r="V71" s="10">
        <f>IF($G71=V$5,1000,IF(V$4=0,1000,SQRT((VLOOKUP($G71,Coords[],3,FALSE)-VLOOKUP(V$5,Coords[],3,FALSE))^2+(VLOOKUP($G71,Coords[],4,FALSE)-VLOOKUP(V$5,Coords[],4,FALSE))^2)))</f>
        <v>1000</v>
      </c>
      <c r="W71" s="10">
        <f>IF($G71=W$5,1000,IF(W$4=0,1000,SQRT((VLOOKUP($G71,Coords[],3,FALSE)-VLOOKUP(W$5,Coords[],3,FALSE))^2+(VLOOKUP($G71,Coords[],4,FALSE)-VLOOKUP(W$5,Coords[],4,FALSE))^2)))</f>
        <v>1000</v>
      </c>
      <c r="X71" s="10">
        <f>IF($G71=X$5,1000,IF(X$4=0,1000,SQRT((VLOOKUP($G71,Coords[],3,FALSE)-VLOOKUP(X$5,Coords[],3,FALSE))^2+(VLOOKUP($G71,Coords[],4,FALSE)-VLOOKUP(X$5,Coords[],4,FALSE))^2)))</f>
        <v>1000</v>
      </c>
      <c r="Y71" s="10">
        <f>IF($G71=Y$5,1000,IF(Y$4=0,1000,SQRT((VLOOKUP($G71,Coords[],3,FALSE)-VLOOKUP(Y$5,Coords[],3,FALSE))^2+(VLOOKUP($G71,Coords[],4,FALSE)-VLOOKUP(Y$5,Coords[],4,FALSE))^2)))</f>
        <v>1000</v>
      </c>
      <c r="Z71" s="10">
        <f>IF($G71=Z$5,1000,IF(Z$4=0,1000,SQRT((VLOOKUP($G71,Coords[],3,FALSE)-VLOOKUP(Z$5,Coords[],3,FALSE))^2+(VLOOKUP($G71,Coords[],4,FALSE)-VLOOKUP(Z$5,Coords[],4,FALSE))^2)))</f>
        <v>1000</v>
      </c>
      <c r="AA71" s="10">
        <f>IF($G71=AA$5,1000,IF(AA$4=0,1000,SQRT((VLOOKUP($G71,Coords[],3,FALSE)-VLOOKUP(AA$5,Coords[],3,FALSE))^2+(VLOOKUP($G71,Coords[],4,FALSE)-VLOOKUP(AA$5,Coords[],4,FALSE))^2)))</f>
        <v>1000</v>
      </c>
      <c r="AB71" s="10">
        <f>IF($G71=AB$5,1000,IF(AB$4=0,1000,SQRT((VLOOKUP($G71,Coords[],3,FALSE)-VLOOKUP(AB$5,Coords[],3,FALSE))^2+(VLOOKUP($G71,Coords[],4,FALSE)-VLOOKUP(AB$5,Coords[],4,FALSE))^2)))</f>
        <v>1000</v>
      </c>
      <c r="AC71" s="10">
        <f>IF($G71=AC$5,1000,IF(AC$4=0,1000,SQRT((VLOOKUP($G71,Coords[],3,FALSE)-VLOOKUP(AC$5,Coords[],3,FALSE))^2+(VLOOKUP($G71,Coords[],4,FALSE)-VLOOKUP(AC$5,Coords[],4,FALSE))^2)))</f>
        <v>1000</v>
      </c>
      <c r="AD71" s="10">
        <f>IF($G71=AD$5,1000,IF(AD$4=0,1000,SQRT((VLOOKUP($G71,Coords[],3,FALSE)-VLOOKUP(AD$5,Coords[],3,FALSE))^2+(VLOOKUP($G71,Coords[],4,FALSE)-VLOOKUP(AD$5,Coords[],4,FALSE))^2)))</f>
        <v>1000</v>
      </c>
      <c r="AE71" s="10">
        <f>IF($G71=AE$5,1000,IF(AE$4=0,1000,SQRT((VLOOKUP($G71,Coords[],3,FALSE)-VLOOKUP(AE$5,Coords[],3,FALSE))^2+(VLOOKUP($G71,Coords[],4,FALSE)-VLOOKUP(AE$5,Coords[],4,FALSE))^2)))</f>
        <v>1000</v>
      </c>
      <c r="AF71" s="10">
        <f>IF($G71=AF$5,1000,IF(AF$4=0,1000,SQRT((VLOOKUP($G71,Coords[],3,FALSE)-VLOOKUP(AF$5,Coords[],3,FALSE))^2+(VLOOKUP($G71,Coords[],4,FALSE)-VLOOKUP(AF$5,Coords[],4,FALSE))^2)))</f>
        <v>1000</v>
      </c>
      <c r="AG71" s="10">
        <f>IF($G71=AG$5,1000,IF(AG$4=0,1000,SQRT((VLOOKUP($G71,Coords[],3,FALSE)-VLOOKUP(AG$5,Coords[],3,FALSE))^2+(VLOOKUP($G71,Coords[],4,FALSE)-VLOOKUP(AG$5,Coords[],4,FALSE))^2)))</f>
        <v>1000</v>
      </c>
      <c r="AH71" s="10">
        <f>IF($G71=AH$5,1000,IF(AH$4=0,1000,SQRT((VLOOKUP($G71,Coords[],3,FALSE)-VLOOKUP(AH$5,Coords[],3,FALSE))^2+(VLOOKUP($G71,Coords[],4,FALSE)-VLOOKUP(AH$5,Coords[],4,FALSE))^2)))</f>
        <v>1000</v>
      </c>
      <c r="AI71" s="10">
        <f>IF($G71=AI$5,1000,IF(AI$4=0,1000,SQRT((VLOOKUP($G71,Coords[],3,FALSE)-VLOOKUP(AI$5,Coords[],3,FALSE))^2+(VLOOKUP($G71,Coords[],4,FALSE)-VLOOKUP(AI$5,Coords[],4,FALSE))^2)))</f>
        <v>1000</v>
      </c>
      <c r="AJ71" s="10">
        <f>IF($G71=AJ$5,1000,IF(AJ$4=0,1000,SQRT((VLOOKUP($G71,Coords[],3,FALSE)-VLOOKUP(AJ$5,Coords[],3,FALSE))^2+(VLOOKUP($G71,Coords[],4,FALSE)-VLOOKUP(AJ$5,Coords[],4,FALSE))^2)))</f>
        <v>1000</v>
      </c>
      <c r="AK71" s="10">
        <f>IF($G71=AK$5,1000,IF(AK$4=0,1000,SQRT((VLOOKUP($G71,Coords[],3,FALSE)-VLOOKUP(AK$5,Coords[],3,FALSE))^2+(VLOOKUP($G71,Coords[],4,FALSE)-VLOOKUP(AK$5,Coords[],4,FALSE))^2)))</f>
        <v>1000</v>
      </c>
      <c r="AL71" s="10">
        <f>IF($G71=AL$5,1000,IF(AL$4=0,1000,SQRT((VLOOKUP($G71,Coords[],3,FALSE)-VLOOKUP(AL$5,Coords[],3,FALSE))^2+(VLOOKUP($G71,Coords[],4,FALSE)-VLOOKUP(AL$5,Coords[],4,FALSE))^2)))</f>
        <v>1000</v>
      </c>
      <c r="AM71" s="10">
        <f>IF($G71=AM$5,1000,IF(AM$4=0,1000,SQRT((VLOOKUP($G71,Coords[],3,FALSE)-VLOOKUP(AM$5,Coords[],3,FALSE))^2+(VLOOKUP($G71,Coords[],4,FALSE)-VLOOKUP(AM$5,Coords[],4,FALSE))^2)))</f>
        <v>1000</v>
      </c>
      <c r="AN71" s="10">
        <f>IF($G71=AN$5,1000,IF(AN$4=0,1000,SQRT((VLOOKUP($G71,Coords[],3,FALSE)-VLOOKUP(AN$5,Coords[],3,FALSE))^2+(VLOOKUP($G71,Coords[],4,FALSE)-VLOOKUP(AN$5,Coords[],4,FALSE))^2)))</f>
        <v>1000</v>
      </c>
      <c r="AO71" s="10">
        <f>IF($G71=AO$5,1000,IF(AO$4=0,1000,SQRT((VLOOKUP($G71,Coords[],3,FALSE)-VLOOKUP(AO$5,Coords[],3,FALSE))^2+(VLOOKUP($G71,Coords[],4,FALSE)-VLOOKUP(AO$5,Coords[],4,FALSE))^2)))</f>
        <v>1000</v>
      </c>
      <c r="AP71" s="10">
        <f>IF($G71=AP$5,1000,IF(AP$4=0,1000,SQRT((VLOOKUP($G71,Coords[],3,FALSE)-VLOOKUP(AP$5,Coords[],3,FALSE))^2+(VLOOKUP($G71,Coords[],4,FALSE)-VLOOKUP(AP$5,Coords[],4,FALSE))^2)))</f>
        <v>1000</v>
      </c>
      <c r="AQ71" s="10">
        <f>IF($G71=AQ$5,1000,IF(AQ$4=0,1000,SQRT((VLOOKUP($G71,Coords[],3,FALSE)-VLOOKUP(AQ$5,Coords[],3,FALSE))^2+(VLOOKUP($G71,Coords[],4,FALSE)-VLOOKUP(AQ$5,Coords[],4,FALSE))^2)))</f>
        <v>1000</v>
      </c>
      <c r="AR71" s="10">
        <f>IF($G71=AR$5,1000,IF(AR$4=0,1000,SQRT((VLOOKUP($G71,Coords[],3,FALSE)-VLOOKUP(AR$5,Coords[],3,FALSE))^2+(VLOOKUP($G71,Coords[],4,FALSE)-VLOOKUP(AR$5,Coords[],4,FALSE))^2)))</f>
        <v>1000</v>
      </c>
      <c r="AS71" s="10">
        <f>IF($G71=AS$5,1000,IF(AS$4=0,1000,SQRT((VLOOKUP($G71,Coords[],3,FALSE)-VLOOKUP(AS$5,Coords[],3,FALSE))^2+(VLOOKUP($G71,Coords[],4,FALSE)-VLOOKUP(AS$5,Coords[],4,FALSE))^2)))</f>
        <v>1000</v>
      </c>
      <c r="AT71" s="10">
        <f>IF($G71=AT$5,1000,IF(AT$4=0,1000,SQRT((VLOOKUP($G71,Coords[],3,FALSE)-VLOOKUP(AT$5,Coords[],3,FALSE))^2+(VLOOKUP($G71,Coords[],4,FALSE)-VLOOKUP(AT$5,Coords[],4,FALSE))^2)))</f>
        <v>1000</v>
      </c>
      <c r="AU71" s="10">
        <f>IF($G71=AU$5,1000,IF(AU$4=0,1000,SQRT((VLOOKUP($G71,Coords[],3,FALSE)-VLOOKUP(AU$5,Coords[],3,FALSE))^2+(VLOOKUP($G71,Coords[],4,FALSE)-VLOOKUP(AU$5,Coords[],4,FALSE))^2)))</f>
        <v>1000</v>
      </c>
      <c r="AV71" s="10">
        <f>IF($G71=AV$5,1000,IF(AV$4=0,1000,SQRT((VLOOKUP($G71,Coords[],3,FALSE)-VLOOKUP(AV$5,Coords[],3,FALSE))^2+(VLOOKUP($G71,Coords[],4,FALSE)-VLOOKUP(AV$5,Coords[],4,FALSE))^2)))</f>
        <v>1000</v>
      </c>
      <c r="AW71" s="10">
        <f>IF($G71=AW$5,1000,IF(AW$4=0,1000,SQRT((VLOOKUP($G71,Coords[],3,FALSE)-VLOOKUP(AW$5,Coords[],3,FALSE))^2+(VLOOKUP($G71,Coords[],4,FALSE)-VLOOKUP(AW$5,Coords[],4,FALSE))^2)))</f>
        <v>1000</v>
      </c>
      <c r="AX71" s="10">
        <f>IF($G71=AX$5,1000,IF(AX$4=0,1000,SQRT((VLOOKUP($G71,Coords[],3,FALSE)-VLOOKUP(AX$5,Coords[],3,FALSE))^2+(VLOOKUP($G71,Coords[],4,FALSE)-VLOOKUP(AX$5,Coords[],4,FALSE))^2)))</f>
        <v>1000</v>
      </c>
      <c r="AY71" s="10">
        <f>IF($G71=AY$5,1000,IF(AY$4=0,1000,SQRT((VLOOKUP($G71,Coords[],3,FALSE)-VLOOKUP(AY$5,Coords[],3,FALSE))^2+(VLOOKUP($G71,Coords[],4,FALSE)-VLOOKUP(AY$5,Coords[],4,FALSE))^2)))</f>
        <v>1000</v>
      </c>
      <c r="AZ71" s="10">
        <f>IF($G71=AZ$5,1000,IF(AZ$4=0,1000,SQRT((VLOOKUP($G71,Coords[],3,FALSE)-VLOOKUP(AZ$5,Coords[],3,FALSE))^2+(VLOOKUP($G71,Coords[],4,FALSE)-VLOOKUP(AZ$5,Coords[],4,FALSE))^2)))</f>
        <v>1000</v>
      </c>
      <c r="BA71" s="10">
        <f>IF($G71=BA$5,1000,IF(BA$4=0,1000,SQRT((VLOOKUP($G71,Coords[],3,FALSE)-VLOOKUP(BA$5,Coords[],3,FALSE))^2+(VLOOKUP($G71,Coords[],4,FALSE)-VLOOKUP(BA$5,Coords[],4,FALSE))^2)))</f>
        <v>1000</v>
      </c>
      <c r="BB71" s="10">
        <f>IF($G71=BB$5,1000,IF(BB$4=0,1000,SQRT((VLOOKUP($G71,Coords[],3,FALSE)-VLOOKUP(BB$5,Coords[],3,FALSE))^2+(VLOOKUP($G71,Coords[],4,FALSE)-VLOOKUP(BB$5,Coords[],4,FALSE))^2)))</f>
        <v>1000</v>
      </c>
      <c r="BC71" s="10">
        <f>IF($G71=BC$5,1000,IF(BC$4=0,1000,SQRT((VLOOKUP($G71,Coords[],3,FALSE)-VLOOKUP(BC$5,Coords[],3,FALSE))^2+(VLOOKUP($G71,Coords[],4,FALSE)-VLOOKUP(BC$5,Coords[],4,FALSE))^2)))</f>
        <v>1000</v>
      </c>
      <c r="BD71" s="10">
        <f>IF($G71=BD$5,1000,IF(BD$4=0,1000,SQRT((VLOOKUP($G71,Coords[],3,FALSE)-VLOOKUP(BD$5,Coords[],3,FALSE))^2+(VLOOKUP($G71,Coords[],4,FALSE)-VLOOKUP(BD$5,Coords[],4,FALSE))^2)))</f>
        <v>1000</v>
      </c>
      <c r="BE71" s="10">
        <f>IF($G71=BE$5,1000,IF(BE$4=0,1000,SQRT((VLOOKUP($G71,Coords[],3,FALSE)-VLOOKUP(BE$5,Coords[],3,FALSE))^2+(VLOOKUP($G71,Coords[],4,FALSE)-VLOOKUP(BE$5,Coords[],4,FALSE))^2)))</f>
        <v>1000</v>
      </c>
      <c r="BF71" s="10">
        <f>IF($G71=BF$5,1000,IF(BF$4=0,1000,SQRT((VLOOKUP($G71,Coords[],3,FALSE)-VLOOKUP(BF$5,Coords[],3,FALSE))^2+(VLOOKUP($G71,Coords[],4,FALSE)-VLOOKUP(BF$5,Coords[],4,FALSE))^2)))</f>
        <v>1000</v>
      </c>
      <c r="BG71" s="10">
        <f>IF($G71=BG$5,1000,IF(BG$4=0,1000,SQRT((VLOOKUP($G71,Coords[],3,FALSE)-VLOOKUP(BG$5,Coords[],3,FALSE))^2+(VLOOKUP($G71,Coords[],4,FALSE)-VLOOKUP(BG$5,Coords[],4,FALSE))^2)))</f>
        <v>1000</v>
      </c>
      <c r="BH71" s="10">
        <f>IF($G71=BH$5,1000,IF(BH$4=0,1000,SQRT((VLOOKUP($G71,Coords[],3,FALSE)-VLOOKUP(BH$5,Coords[],3,FALSE))^2+(VLOOKUP($G71,Coords[],4,FALSE)-VLOOKUP(BH$5,Coords[],4,FALSE))^2)))</f>
        <v>1000</v>
      </c>
      <c r="BI71" s="10">
        <f>IF($G71=BI$5,1000,IF(BI$4=0,1000,SQRT((VLOOKUP($G71,Coords[],3,FALSE)-VLOOKUP(BI$5,Coords[],3,FALSE))^2+(VLOOKUP($G71,Coords[],4,FALSE)-VLOOKUP(BI$5,Coords[],4,FALSE))^2)))</f>
        <v>1000</v>
      </c>
      <c r="BJ71" s="10">
        <f>IF($G71=BJ$5,1000,IF(BJ$4=0,1000,SQRT((VLOOKUP($G71,Coords[],3,FALSE)-VLOOKUP(BJ$5,Coords[],3,FALSE))^2+(VLOOKUP($G71,Coords[],4,FALSE)-VLOOKUP(BJ$5,Coords[],4,FALSE))^2)))</f>
        <v>1000</v>
      </c>
      <c r="BK71" s="10">
        <f>IF($G71=BK$5,1000,IF(BK$4=0,1000,SQRT((VLOOKUP($G71,Coords[],3,FALSE)-VLOOKUP(BK$5,Coords[],3,FALSE))^2+(VLOOKUP($G71,Coords[],4,FALSE)-VLOOKUP(BK$5,Coords[],4,FALSE))^2)))</f>
        <v>1000</v>
      </c>
      <c r="BL71" s="10">
        <f>IF($G71=BL$5,1000,IF(BL$4=0,1000,SQRT((VLOOKUP($G71,Coords[],3,FALSE)-VLOOKUP(BL$5,Coords[],3,FALSE))^2+(VLOOKUP($G71,Coords[],4,FALSE)-VLOOKUP(BL$5,Coords[],4,FALSE))^2)))</f>
        <v>1000</v>
      </c>
      <c r="BM71" s="10">
        <f>IF($G71=BM$5,1000,IF(BM$4=0,1000,SQRT((VLOOKUP($G71,Coords[],3,FALSE)-VLOOKUP(BM$5,Coords[],3,FALSE))^2+(VLOOKUP($G71,Coords[],4,FALSE)-VLOOKUP(BM$5,Coords[],4,FALSE))^2)))</f>
        <v>1000</v>
      </c>
      <c r="BN71" s="10">
        <f>IF($G71=BN$5,1000,IF(BN$4=0,1000,SQRT((VLOOKUP($G71,Coords[],3,FALSE)-VLOOKUP(BN$5,Coords[],3,FALSE))^2+(VLOOKUP($G71,Coords[],4,FALSE)-VLOOKUP(BN$5,Coords[],4,FALSE))^2)))</f>
        <v>1000</v>
      </c>
      <c r="BO71" s="10">
        <f>IF($G71=BO$5,1000,IF(BO$4=0,1000,SQRT((VLOOKUP($G71,Coords[],3,FALSE)-VLOOKUP(BO$5,Coords[],3,FALSE))^2+(VLOOKUP($G71,Coords[],4,FALSE)-VLOOKUP(BO$5,Coords[],4,FALSE))^2)))</f>
        <v>1000</v>
      </c>
      <c r="BP71" s="10">
        <f>IF($G71=BP$5,1000,IF(BP$4=0,1000,SQRT((VLOOKUP($G71,Coords[],3,FALSE)-VLOOKUP(BP$5,Coords[],3,FALSE))^2+(VLOOKUP($G71,Coords[],4,FALSE)-VLOOKUP(BP$5,Coords[],4,FALSE))^2)))</f>
        <v>1000</v>
      </c>
      <c r="BQ71" s="10">
        <f>IF($G71=BQ$5,1000,IF(BQ$4=0,1000,SQRT((VLOOKUP($G71,Coords[],3,FALSE)-VLOOKUP(BQ$5,Coords[],3,FALSE))^2+(VLOOKUP($G71,Coords[],4,FALSE)-VLOOKUP(BQ$5,Coords[],4,FALSE))^2)))</f>
        <v>1000</v>
      </c>
      <c r="BR71" s="10">
        <f>IF($G71=BR$5,1000,IF(BR$4=0,1000,SQRT((VLOOKUP($G71,Coords[],3,FALSE)-VLOOKUP(BR$5,Coords[],3,FALSE))^2+(VLOOKUP($G71,Coords[],4,FALSE)-VLOOKUP(BR$5,Coords[],4,FALSE))^2)))</f>
        <v>1000</v>
      </c>
      <c r="BS71" s="10">
        <f>IF($G71=BS$5,1000,IF(BS$4=0,1000,SQRT((VLOOKUP($G71,Coords[],3,FALSE)-VLOOKUP(BS$5,Coords[],3,FALSE))^2+(VLOOKUP($G71,Coords[],4,FALSE)-VLOOKUP(BS$5,Coords[],4,FALSE))^2)))</f>
        <v>1000</v>
      </c>
      <c r="BT71" s="10">
        <f>IF($G71=BT$5,1000,IF(BT$4=0,1000,SQRT((VLOOKUP($G71,Coords[],3,FALSE)-VLOOKUP(BT$5,Coords[],3,FALSE))^2+(VLOOKUP($G71,Coords[],4,FALSE)-VLOOKUP(BT$5,Coords[],4,FALSE))^2)))</f>
        <v>1000</v>
      </c>
      <c r="BU71" s="10">
        <f>IF($G71=BU$5,1000,IF(BU$4=0,1000,SQRT((VLOOKUP($G71,Coords[],3,FALSE)-VLOOKUP(BU$5,Coords[],3,FALSE))^2+(VLOOKUP($G71,Coords[],4,FALSE)-VLOOKUP(BU$5,Coords[],4,FALSE))^2)))</f>
        <v>1000</v>
      </c>
      <c r="BV71" s="10">
        <f>IF($G71=BV$5,1000,IF(BV$4=0,1000,SQRT((VLOOKUP($G71,Coords[],3,FALSE)-VLOOKUP(BV$5,Coords[],3,FALSE))^2+(VLOOKUP($G71,Coords[],4,FALSE)-VLOOKUP(BV$5,Coords[],4,FALSE))^2)))</f>
        <v>1000</v>
      </c>
      <c r="BW71" s="10">
        <f>IF($G71=BW$5,1000,IF(BW$4=0,1000,SQRT((VLOOKUP($G71,Coords[],3,FALSE)-VLOOKUP(BW$5,Coords[],3,FALSE))^2+(VLOOKUP($G71,Coords[],4,FALSE)-VLOOKUP(BW$5,Coords[],4,FALSE))^2)))</f>
        <v>1000</v>
      </c>
      <c r="BX71" s="10">
        <f>IF($G71=BX$5,1000,IF(BX$4=0,1000,SQRT((VLOOKUP($G71,Coords[],3,FALSE)-VLOOKUP(BX$5,Coords[],3,FALSE))^2+(VLOOKUP($G71,Coords[],4,FALSE)-VLOOKUP(BX$5,Coords[],4,FALSE))^2)))</f>
        <v>1000</v>
      </c>
      <c r="BY71" s="10">
        <f>IF($G71=BY$5,1000,IF(BY$4=0,1000,SQRT((VLOOKUP($G71,Coords[],3,FALSE)-VLOOKUP(BY$5,Coords[],3,FALSE))^2+(VLOOKUP($G71,Coords[],4,FALSE)-VLOOKUP(BY$5,Coords[],4,FALSE))^2)))</f>
        <v>1000</v>
      </c>
      <c r="BZ71" s="10">
        <f>IF($G71=BZ$5,1000,IF(BZ$4=0,1000,SQRT((VLOOKUP($G71,Coords[],3,FALSE)-VLOOKUP(BZ$5,Coords[],3,FALSE))^2+(VLOOKUP($G71,Coords[],4,FALSE)-VLOOKUP(BZ$5,Coords[],4,FALSE))^2)))</f>
        <v>1000</v>
      </c>
      <c r="CA71" s="10">
        <f>IF($G71=CA$5,1000,IF(CA$4=0,1000,SQRT((VLOOKUP($G71,Coords[],3,FALSE)-VLOOKUP(CA$5,Coords[],3,FALSE))^2+(VLOOKUP($G71,Coords[],4,FALSE)-VLOOKUP(CA$5,Coords[],4,FALSE))^2)))</f>
        <v>1000</v>
      </c>
      <c r="CB71" s="10">
        <f>IF($G71=CB$5,1000,IF(CB$4=0,1000,SQRT((VLOOKUP($G71,Coords[],3,FALSE)-VLOOKUP(CB$5,Coords[],3,FALSE))^2+(VLOOKUP($G71,Coords[],4,FALSE)-VLOOKUP(CB$5,Coords[],4,FALSE))^2)))</f>
        <v>1000</v>
      </c>
      <c r="CC71" s="10">
        <f>IF($G71=CC$5,1000,IF(CC$4=0,1000,SQRT((VLOOKUP($G71,Coords[],3,FALSE)-VLOOKUP(CC$5,Coords[],3,FALSE))^2+(VLOOKUP($G71,Coords[],4,FALSE)-VLOOKUP(CC$5,Coords[],4,FALSE))^2)))</f>
        <v>1000</v>
      </c>
      <c r="CD71" s="10">
        <f>IF($G71=CD$5,1000,IF(CD$4=0,1000,SQRT((VLOOKUP($G71,Coords[],3,FALSE)-VLOOKUP(CD$5,Coords[],3,FALSE))^2+(VLOOKUP($G71,Coords[],4,FALSE)-VLOOKUP(CD$5,Coords[],4,FALSE))^2)))</f>
        <v>1000</v>
      </c>
      <c r="CE71" s="10">
        <f>IF($G71=CE$5,1000,IF(CE$4=0,1000,SQRT((VLOOKUP($G71,Coords[],3,FALSE)-VLOOKUP(CE$5,Coords[],3,FALSE))^2+(VLOOKUP($G71,Coords[],4,FALSE)-VLOOKUP(CE$5,Coords[],4,FALSE))^2)))</f>
        <v>1000</v>
      </c>
      <c r="CF71" s="4">
        <v>66</v>
      </c>
      <c r="CH71" s="5">
        <f>IF(E71=1,0,VLOOKUP($G71,$G$6:$CE$82,HLOOKUP(MIN(H71:CE71),$H71:$CE$82,((COUNT($G$6:$G$81)+2)-$G71),FALSE)+1,FALSE)*B71)</f>
        <v>0</v>
      </c>
      <c r="CI71" s="9">
        <f>VLOOKUP($G71,$G$6:$CE$82,HLOOKUP(MIN(H71:CE71),$H71:$CE$82,((COUNT($G$6:$G$81)+2)-$G71),FALSE)+1,FALSE)</f>
        <v>1000</v>
      </c>
      <c r="CJ71" s="7">
        <f>HLOOKUP(MIN(H71:CE71),$H71:$CE$82,((COUNT($G$6:$G$81)+2)-$G71),FALSE)</f>
        <v>1</v>
      </c>
      <c r="CK71">
        <f>CI71*Coords[[#This Row],[Demand]]</f>
        <v>0</v>
      </c>
    </row>
    <row r="72" spans="1:89" x14ac:dyDescent="0.25">
      <c r="A72" s="8">
        <v>67</v>
      </c>
      <c r="B72" s="3"/>
      <c r="C72" s="3"/>
      <c r="D72" s="3"/>
      <c r="E72" s="3"/>
      <c r="G72" s="4">
        <v>67</v>
      </c>
      <c r="H72" s="10">
        <f>IF($G72=H$5,1000,IF(H$4=0,1000,SQRT((VLOOKUP($G72,Coords[],3,FALSE)-VLOOKUP(H$5,Coords[],3,FALSE))^2+(VLOOKUP($G72,Coords[],4,FALSE)-VLOOKUP(H$5,Coords[],4,FALSE))^2)))</f>
        <v>1000</v>
      </c>
      <c r="I72" s="10">
        <f>IF($G72=I$5,1000,IF(I$4=0,1000,SQRT((VLOOKUP($G72,Coords[],3,FALSE)-VLOOKUP(I$5,Coords[],3,FALSE))^2+(VLOOKUP($G72,Coords[],4,FALSE)-VLOOKUP(I$5,Coords[],4,FALSE))^2)))</f>
        <v>1000</v>
      </c>
      <c r="J72" s="10">
        <f>IF($G72=J$5,1000,IF(J$4=0,1000,SQRT((VLOOKUP($G72,Coords[],3,FALSE)-VLOOKUP(J$5,Coords[],3,FALSE))^2+(VLOOKUP($G72,Coords[],4,FALSE)-VLOOKUP(J$5,Coords[],4,FALSE))^2)))</f>
        <v>1000</v>
      </c>
      <c r="K72" s="10">
        <f>IF($G72=K$5,1000,IF(K$4=0,1000,SQRT((VLOOKUP($G72,Coords[],3,FALSE)-VLOOKUP(K$5,Coords[],3,FALSE))^2+(VLOOKUP($G72,Coords[],4,FALSE)-VLOOKUP(K$5,Coords[],4,FALSE))^2)))</f>
        <v>1000</v>
      </c>
      <c r="L72" s="10">
        <f>IF($G72=L$5,1000,IF(L$4=0,1000,SQRT((VLOOKUP($G72,Coords[],3,FALSE)-VLOOKUP(L$5,Coords[],3,FALSE))^2+(VLOOKUP($G72,Coords[],4,FALSE)-VLOOKUP(L$5,Coords[],4,FALSE))^2)))</f>
        <v>1000</v>
      </c>
      <c r="M72" s="10">
        <f>IF($G72=M$5,1000,IF(M$4=0,1000,SQRT((VLOOKUP($G72,Coords[],3,FALSE)-VLOOKUP(M$5,Coords[],3,FALSE))^2+(VLOOKUP($G72,Coords[],4,FALSE)-VLOOKUP(M$5,Coords[],4,FALSE))^2)))</f>
        <v>1000</v>
      </c>
      <c r="N72" s="10">
        <f>IF($G72=N$5,1000,IF(N$4=0,1000,SQRT((VLOOKUP($G72,Coords[],3,FALSE)-VLOOKUP(N$5,Coords[],3,FALSE))^2+(VLOOKUP($G72,Coords[],4,FALSE)-VLOOKUP(N$5,Coords[],4,FALSE))^2)))</f>
        <v>1000</v>
      </c>
      <c r="O72" s="10">
        <f>IF($G72=O$5,1000,IF(O$4=0,1000,SQRT((VLOOKUP($G72,Coords[],3,FALSE)-VLOOKUP(O$5,Coords[],3,FALSE))^2+(VLOOKUP($G72,Coords[],4,FALSE)-VLOOKUP(O$5,Coords[],4,FALSE))^2)))</f>
        <v>1000</v>
      </c>
      <c r="P72" s="10">
        <f>IF($G72=P$5,1000,IF(P$4=0,1000,SQRT((VLOOKUP($G72,Coords[],3,FALSE)-VLOOKUP(P$5,Coords[],3,FALSE))^2+(VLOOKUP($G72,Coords[],4,FALSE)-VLOOKUP(P$5,Coords[],4,FALSE))^2)))</f>
        <v>1000</v>
      </c>
      <c r="Q72" s="10">
        <f>IF($G72=Q$5,1000,IF(Q$4=0,1000,SQRT((VLOOKUP($G72,Coords[],3,FALSE)-VLOOKUP(Q$5,Coords[],3,FALSE))^2+(VLOOKUP($G72,Coords[],4,FALSE)-VLOOKUP(Q$5,Coords[],4,FALSE))^2)))</f>
        <v>1000</v>
      </c>
      <c r="R72" s="10">
        <f>IF($G72=R$5,1000,IF(R$4=0,1000,SQRT((VLOOKUP($G72,Coords[],3,FALSE)-VLOOKUP(R$5,Coords[],3,FALSE))^2+(VLOOKUP($G72,Coords[],4,FALSE)-VLOOKUP(R$5,Coords[],4,FALSE))^2)))</f>
        <v>1000</v>
      </c>
      <c r="S72" s="10">
        <f>IF($G72=S$5,1000,IF(S$4=0,1000,SQRT((VLOOKUP($G72,Coords[],3,FALSE)-VLOOKUP(S$5,Coords[],3,FALSE))^2+(VLOOKUP($G72,Coords[],4,FALSE)-VLOOKUP(S$5,Coords[],4,FALSE))^2)))</f>
        <v>1000</v>
      </c>
      <c r="T72" s="10">
        <f>IF($G72=T$5,1000,IF(T$4=0,1000,SQRT((VLOOKUP($G72,Coords[],3,FALSE)-VLOOKUP(T$5,Coords[],3,FALSE))^2+(VLOOKUP($G72,Coords[],4,FALSE)-VLOOKUP(T$5,Coords[],4,FALSE))^2)))</f>
        <v>1000</v>
      </c>
      <c r="U72" s="10">
        <f>IF($G72=U$5,1000,IF(U$4=0,1000,SQRT((VLOOKUP($G72,Coords[],3,FALSE)-VLOOKUP(U$5,Coords[],3,FALSE))^2+(VLOOKUP($G72,Coords[],4,FALSE)-VLOOKUP(U$5,Coords[],4,FALSE))^2)))</f>
        <v>1000</v>
      </c>
      <c r="V72" s="10">
        <f>IF($G72=V$5,1000,IF(V$4=0,1000,SQRT((VLOOKUP($G72,Coords[],3,FALSE)-VLOOKUP(V$5,Coords[],3,FALSE))^2+(VLOOKUP($G72,Coords[],4,FALSE)-VLOOKUP(V$5,Coords[],4,FALSE))^2)))</f>
        <v>1000</v>
      </c>
      <c r="W72" s="10">
        <f>IF($G72=W$5,1000,IF(W$4=0,1000,SQRT((VLOOKUP($G72,Coords[],3,FALSE)-VLOOKUP(W$5,Coords[],3,FALSE))^2+(VLOOKUP($G72,Coords[],4,FALSE)-VLOOKUP(W$5,Coords[],4,FALSE))^2)))</f>
        <v>1000</v>
      </c>
      <c r="X72" s="10">
        <f>IF($G72=X$5,1000,IF(X$4=0,1000,SQRT((VLOOKUP($G72,Coords[],3,FALSE)-VLOOKUP(X$5,Coords[],3,FALSE))^2+(VLOOKUP($G72,Coords[],4,FALSE)-VLOOKUP(X$5,Coords[],4,FALSE))^2)))</f>
        <v>1000</v>
      </c>
      <c r="Y72" s="10">
        <f>IF($G72=Y$5,1000,IF(Y$4=0,1000,SQRT((VLOOKUP($G72,Coords[],3,FALSE)-VLOOKUP(Y$5,Coords[],3,FALSE))^2+(VLOOKUP($G72,Coords[],4,FALSE)-VLOOKUP(Y$5,Coords[],4,FALSE))^2)))</f>
        <v>1000</v>
      </c>
      <c r="Z72" s="10">
        <f>IF($G72=Z$5,1000,IF(Z$4=0,1000,SQRT((VLOOKUP($G72,Coords[],3,FALSE)-VLOOKUP(Z$5,Coords[],3,FALSE))^2+(VLOOKUP($G72,Coords[],4,FALSE)-VLOOKUP(Z$5,Coords[],4,FALSE))^2)))</f>
        <v>1000</v>
      </c>
      <c r="AA72" s="10">
        <f>IF($G72=AA$5,1000,IF(AA$4=0,1000,SQRT((VLOOKUP($G72,Coords[],3,FALSE)-VLOOKUP(AA$5,Coords[],3,FALSE))^2+(VLOOKUP($G72,Coords[],4,FALSE)-VLOOKUP(AA$5,Coords[],4,FALSE))^2)))</f>
        <v>1000</v>
      </c>
      <c r="AB72" s="10">
        <f>IF($G72=AB$5,1000,IF(AB$4=0,1000,SQRT((VLOOKUP($G72,Coords[],3,FALSE)-VLOOKUP(AB$5,Coords[],3,FALSE))^2+(VLOOKUP($G72,Coords[],4,FALSE)-VLOOKUP(AB$5,Coords[],4,FALSE))^2)))</f>
        <v>1000</v>
      </c>
      <c r="AC72" s="10">
        <f>IF($G72=AC$5,1000,IF(AC$4=0,1000,SQRT((VLOOKUP($G72,Coords[],3,FALSE)-VLOOKUP(AC$5,Coords[],3,FALSE))^2+(VLOOKUP($G72,Coords[],4,FALSE)-VLOOKUP(AC$5,Coords[],4,FALSE))^2)))</f>
        <v>1000</v>
      </c>
      <c r="AD72" s="10">
        <f>IF($G72=AD$5,1000,IF(AD$4=0,1000,SQRT((VLOOKUP($G72,Coords[],3,FALSE)-VLOOKUP(AD$5,Coords[],3,FALSE))^2+(VLOOKUP($G72,Coords[],4,FALSE)-VLOOKUP(AD$5,Coords[],4,FALSE))^2)))</f>
        <v>1000</v>
      </c>
      <c r="AE72" s="10">
        <f>IF($G72=AE$5,1000,IF(AE$4=0,1000,SQRT((VLOOKUP($G72,Coords[],3,FALSE)-VLOOKUP(AE$5,Coords[],3,FALSE))^2+(VLOOKUP($G72,Coords[],4,FALSE)-VLOOKUP(AE$5,Coords[],4,FALSE))^2)))</f>
        <v>1000</v>
      </c>
      <c r="AF72" s="10">
        <f>IF($G72=AF$5,1000,IF(AF$4=0,1000,SQRT((VLOOKUP($G72,Coords[],3,FALSE)-VLOOKUP(AF$5,Coords[],3,FALSE))^2+(VLOOKUP($G72,Coords[],4,FALSE)-VLOOKUP(AF$5,Coords[],4,FALSE))^2)))</f>
        <v>1000</v>
      </c>
      <c r="AG72" s="10">
        <f>IF($G72=AG$5,1000,IF(AG$4=0,1000,SQRT((VLOOKUP($G72,Coords[],3,FALSE)-VLOOKUP(AG$5,Coords[],3,FALSE))^2+(VLOOKUP($G72,Coords[],4,FALSE)-VLOOKUP(AG$5,Coords[],4,FALSE))^2)))</f>
        <v>1000</v>
      </c>
      <c r="AH72" s="10">
        <f>IF($G72=AH$5,1000,IF(AH$4=0,1000,SQRT((VLOOKUP($G72,Coords[],3,FALSE)-VLOOKUP(AH$5,Coords[],3,FALSE))^2+(VLOOKUP($G72,Coords[],4,FALSE)-VLOOKUP(AH$5,Coords[],4,FALSE))^2)))</f>
        <v>1000</v>
      </c>
      <c r="AI72" s="10">
        <f>IF($G72=AI$5,1000,IF(AI$4=0,1000,SQRT((VLOOKUP($G72,Coords[],3,FALSE)-VLOOKUP(AI$5,Coords[],3,FALSE))^2+(VLOOKUP($G72,Coords[],4,FALSE)-VLOOKUP(AI$5,Coords[],4,FALSE))^2)))</f>
        <v>1000</v>
      </c>
      <c r="AJ72" s="10">
        <f>IF($G72=AJ$5,1000,IF(AJ$4=0,1000,SQRT((VLOOKUP($G72,Coords[],3,FALSE)-VLOOKUP(AJ$5,Coords[],3,FALSE))^2+(VLOOKUP($G72,Coords[],4,FALSE)-VLOOKUP(AJ$5,Coords[],4,FALSE))^2)))</f>
        <v>1000</v>
      </c>
      <c r="AK72" s="10">
        <f>IF($G72=AK$5,1000,IF(AK$4=0,1000,SQRT((VLOOKUP($G72,Coords[],3,FALSE)-VLOOKUP(AK$5,Coords[],3,FALSE))^2+(VLOOKUP($G72,Coords[],4,FALSE)-VLOOKUP(AK$5,Coords[],4,FALSE))^2)))</f>
        <v>1000</v>
      </c>
      <c r="AL72" s="10">
        <f>IF($G72=AL$5,1000,IF(AL$4=0,1000,SQRT((VLOOKUP($G72,Coords[],3,FALSE)-VLOOKUP(AL$5,Coords[],3,FALSE))^2+(VLOOKUP($G72,Coords[],4,FALSE)-VLOOKUP(AL$5,Coords[],4,FALSE))^2)))</f>
        <v>1000</v>
      </c>
      <c r="AM72" s="10">
        <f>IF($G72=AM$5,1000,IF(AM$4=0,1000,SQRT((VLOOKUP($G72,Coords[],3,FALSE)-VLOOKUP(AM$5,Coords[],3,FALSE))^2+(VLOOKUP($G72,Coords[],4,FALSE)-VLOOKUP(AM$5,Coords[],4,FALSE))^2)))</f>
        <v>1000</v>
      </c>
      <c r="AN72" s="10">
        <f>IF($G72=AN$5,1000,IF(AN$4=0,1000,SQRT((VLOOKUP($G72,Coords[],3,FALSE)-VLOOKUP(AN$5,Coords[],3,FALSE))^2+(VLOOKUP($G72,Coords[],4,FALSE)-VLOOKUP(AN$5,Coords[],4,FALSE))^2)))</f>
        <v>1000</v>
      </c>
      <c r="AO72" s="10">
        <f>IF($G72=AO$5,1000,IF(AO$4=0,1000,SQRT((VLOOKUP($G72,Coords[],3,FALSE)-VLOOKUP(AO$5,Coords[],3,FALSE))^2+(VLOOKUP($G72,Coords[],4,FALSE)-VLOOKUP(AO$5,Coords[],4,FALSE))^2)))</f>
        <v>1000</v>
      </c>
      <c r="AP72" s="10">
        <f>IF($G72=AP$5,1000,IF(AP$4=0,1000,SQRT((VLOOKUP($G72,Coords[],3,FALSE)-VLOOKUP(AP$5,Coords[],3,FALSE))^2+(VLOOKUP($G72,Coords[],4,FALSE)-VLOOKUP(AP$5,Coords[],4,FALSE))^2)))</f>
        <v>1000</v>
      </c>
      <c r="AQ72" s="10">
        <f>IF($G72=AQ$5,1000,IF(AQ$4=0,1000,SQRT((VLOOKUP($G72,Coords[],3,FALSE)-VLOOKUP(AQ$5,Coords[],3,FALSE))^2+(VLOOKUP($G72,Coords[],4,FALSE)-VLOOKUP(AQ$5,Coords[],4,FALSE))^2)))</f>
        <v>1000</v>
      </c>
      <c r="AR72" s="10">
        <f>IF($G72=AR$5,1000,IF(AR$4=0,1000,SQRT((VLOOKUP($G72,Coords[],3,FALSE)-VLOOKUP(AR$5,Coords[],3,FALSE))^2+(VLOOKUP($G72,Coords[],4,FALSE)-VLOOKUP(AR$5,Coords[],4,FALSE))^2)))</f>
        <v>1000</v>
      </c>
      <c r="AS72" s="10">
        <f>IF($G72=AS$5,1000,IF(AS$4=0,1000,SQRT((VLOOKUP($G72,Coords[],3,FALSE)-VLOOKUP(AS$5,Coords[],3,FALSE))^2+(VLOOKUP($G72,Coords[],4,FALSE)-VLOOKUP(AS$5,Coords[],4,FALSE))^2)))</f>
        <v>1000</v>
      </c>
      <c r="AT72" s="10">
        <f>IF($G72=AT$5,1000,IF(AT$4=0,1000,SQRT((VLOOKUP($G72,Coords[],3,FALSE)-VLOOKUP(AT$5,Coords[],3,FALSE))^2+(VLOOKUP($G72,Coords[],4,FALSE)-VLOOKUP(AT$5,Coords[],4,FALSE))^2)))</f>
        <v>1000</v>
      </c>
      <c r="AU72" s="10">
        <f>IF($G72=AU$5,1000,IF(AU$4=0,1000,SQRT((VLOOKUP($G72,Coords[],3,FALSE)-VLOOKUP(AU$5,Coords[],3,FALSE))^2+(VLOOKUP($G72,Coords[],4,FALSE)-VLOOKUP(AU$5,Coords[],4,FALSE))^2)))</f>
        <v>1000</v>
      </c>
      <c r="AV72" s="10">
        <f>IF($G72=AV$5,1000,IF(AV$4=0,1000,SQRT((VLOOKUP($G72,Coords[],3,FALSE)-VLOOKUP(AV$5,Coords[],3,FALSE))^2+(VLOOKUP($G72,Coords[],4,FALSE)-VLOOKUP(AV$5,Coords[],4,FALSE))^2)))</f>
        <v>1000</v>
      </c>
      <c r="AW72" s="10">
        <f>IF($G72=AW$5,1000,IF(AW$4=0,1000,SQRT((VLOOKUP($G72,Coords[],3,FALSE)-VLOOKUP(AW$5,Coords[],3,FALSE))^2+(VLOOKUP($G72,Coords[],4,FALSE)-VLOOKUP(AW$5,Coords[],4,FALSE))^2)))</f>
        <v>1000</v>
      </c>
      <c r="AX72" s="10">
        <f>IF($G72=AX$5,1000,IF(AX$4=0,1000,SQRT((VLOOKUP($G72,Coords[],3,FALSE)-VLOOKUP(AX$5,Coords[],3,FALSE))^2+(VLOOKUP($G72,Coords[],4,FALSE)-VLOOKUP(AX$5,Coords[],4,FALSE))^2)))</f>
        <v>1000</v>
      </c>
      <c r="AY72" s="10">
        <f>IF($G72=AY$5,1000,IF(AY$4=0,1000,SQRT((VLOOKUP($G72,Coords[],3,FALSE)-VLOOKUP(AY$5,Coords[],3,FALSE))^2+(VLOOKUP($G72,Coords[],4,FALSE)-VLOOKUP(AY$5,Coords[],4,FALSE))^2)))</f>
        <v>1000</v>
      </c>
      <c r="AZ72" s="10">
        <f>IF($G72=AZ$5,1000,IF(AZ$4=0,1000,SQRT((VLOOKUP($G72,Coords[],3,FALSE)-VLOOKUP(AZ$5,Coords[],3,FALSE))^2+(VLOOKUP($G72,Coords[],4,FALSE)-VLOOKUP(AZ$5,Coords[],4,FALSE))^2)))</f>
        <v>1000</v>
      </c>
      <c r="BA72" s="10">
        <f>IF($G72=BA$5,1000,IF(BA$4=0,1000,SQRT((VLOOKUP($G72,Coords[],3,FALSE)-VLOOKUP(BA$5,Coords[],3,FALSE))^2+(VLOOKUP($G72,Coords[],4,FALSE)-VLOOKUP(BA$5,Coords[],4,FALSE))^2)))</f>
        <v>1000</v>
      </c>
      <c r="BB72" s="10">
        <f>IF($G72=BB$5,1000,IF(BB$4=0,1000,SQRT((VLOOKUP($G72,Coords[],3,FALSE)-VLOOKUP(BB$5,Coords[],3,FALSE))^2+(VLOOKUP($G72,Coords[],4,FALSE)-VLOOKUP(BB$5,Coords[],4,FALSE))^2)))</f>
        <v>1000</v>
      </c>
      <c r="BC72" s="10">
        <f>IF($G72=BC$5,1000,IF(BC$4=0,1000,SQRT((VLOOKUP($G72,Coords[],3,FALSE)-VLOOKUP(BC$5,Coords[],3,FALSE))^2+(VLOOKUP($G72,Coords[],4,FALSE)-VLOOKUP(BC$5,Coords[],4,FALSE))^2)))</f>
        <v>1000</v>
      </c>
      <c r="BD72" s="10">
        <f>IF($G72=BD$5,1000,IF(BD$4=0,1000,SQRT((VLOOKUP($G72,Coords[],3,FALSE)-VLOOKUP(BD$5,Coords[],3,FALSE))^2+(VLOOKUP($G72,Coords[],4,FALSE)-VLOOKUP(BD$5,Coords[],4,FALSE))^2)))</f>
        <v>1000</v>
      </c>
      <c r="BE72" s="10">
        <f>IF($G72=BE$5,1000,IF(BE$4=0,1000,SQRT((VLOOKUP($G72,Coords[],3,FALSE)-VLOOKUP(BE$5,Coords[],3,FALSE))^2+(VLOOKUP($G72,Coords[],4,FALSE)-VLOOKUP(BE$5,Coords[],4,FALSE))^2)))</f>
        <v>1000</v>
      </c>
      <c r="BF72" s="10">
        <f>IF($G72=BF$5,1000,IF(BF$4=0,1000,SQRT((VLOOKUP($G72,Coords[],3,FALSE)-VLOOKUP(BF$5,Coords[],3,FALSE))^2+(VLOOKUP($G72,Coords[],4,FALSE)-VLOOKUP(BF$5,Coords[],4,FALSE))^2)))</f>
        <v>1000</v>
      </c>
      <c r="BG72" s="10">
        <f>IF($G72=BG$5,1000,IF(BG$4=0,1000,SQRT((VLOOKUP($G72,Coords[],3,FALSE)-VLOOKUP(BG$5,Coords[],3,FALSE))^2+(VLOOKUP($G72,Coords[],4,FALSE)-VLOOKUP(BG$5,Coords[],4,FALSE))^2)))</f>
        <v>1000</v>
      </c>
      <c r="BH72" s="10">
        <f>IF($G72=BH$5,1000,IF(BH$4=0,1000,SQRT((VLOOKUP($G72,Coords[],3,FALSE)-VLOOKUP(BH$5,Coords[],3,FALSE))^2+(VLOOKUP($G72,Coords[],4,FALSE)-VLOOKUP(BH$5,Coords[],4,FALSE))^2)))</f>
        <v>1000</v>
      </c>
      <c r="BI72" s="10">
        <f>IF($G72=BI$5,1000,IF(BI$4=0,1000,SQRT((VLOOKUP($G72,Coords[],3,FALSE)-VLOOKUP(BI$5,Coords[],3,FALSE))^2+(VLOOKUP($G72,Coords[],4,FALSE)-VLOOKUP(BI$5,Coords[],4,FALSE))^2)))</f>
        <v>1000</v>
      </c>
      <c r="BJ72" s="10">
        <f>IF($G72=BJ$5,1000,IF(BJ$4=0,1000,SQRT((VLOOKUP($G72,Coords[],3,FALSE)-VLOOKUP(BJ$5,Coords[],3,FALSE))^2+(VLOOKUP($G72,Coords[],4,FALSE)-VLOOKUP(BJ$5,Coords[],4,FALSE))^2)))</f>
        <v>1000</v>
      </c>
      <c r="BK72" s="10">
        <f>IF($G72=BK$5,1000,IF(BK$4=0,1000,SQRT((VLOOKUP($G72,Coords[],3,FALSE)-VLOOKUP(BK$5,Coords[],3,FALSE))^2+(VLOOKUP($G72,Coords[],4,FALSE)-VLOOKUP(BK$5,Coords[],4,FALSE))^2)))</f>
        <v>1000</v>
      </c>
      <c r="BL72" s="10">
        <f>IF($G72=BL$5,1000,IF(BL$4=0,1000,SQRT((VLOOKUP($G72,Coords[],3,FALSE)-VLOOKUP(BL$5,Coords[],3,FALSE))^2+(VLOOKUP($G72,Coords[],4,FALSE)-VLOOKUP(BL$5,Coords[],4,FALSE))^2)))</f>
        <v>1000</v>
      </c>
      <c r="BM72" s="10">
        <f>IF($G72=BM$5,1000,IF(BM$4=0,1000,SQRT((VLOOKUP($G72,Coords[],3,FALSE)-VLOOKUP(BM$5,Coords[],3,FALSE))^2+(VLOOKUP($G72,Coords[],4,FALSE)-VLOOKUP(BM$5,Coords[],4,FALSE))^2)))</f>
        <v>1000</v>
      </c>
      <c r="BN72" s="10">
        <f>IF($G72=BN$5,1000,IF(BN$4=0,1000,SQRT((VLOOKUP($G72,Coords[],3,FALSE)-VLOOKUP(BN$5,Coords[],3,FALSE))^2+(VLOOKUP($G72,Coords[],4,FALSE)-VLOOKUP(BN$5,Coords[],4,FALSE))^2)))</f>
        <v>1000</v>
      </c>
      <c r="BO72" s="10">
        <f>IF($G72=BO$5,1000,IF(BO$4=0,1000,SQRT((VLOOKUP($G72,Coords[],3,FALSE)-VLOOKUP(BO$5,Coords[],3,FALSE))^2+(VLOOKUP($G72,Coords[],4,FALSE)-VLOOKUP(BO$5,Coords[],4,FALSE))^2)))</f>
        <v>1000</v>
      </c>
      <c r="BP72" s="10">
        <f>IF($G72=BP$5,1000,IF(BP$4=0,1000,SQRT((VLOOKUP($G72,Coords[],3,FALSE)-VLOOKUP(BP$5,Coords[],3,FALSE))^2+(VLOOKUP($G72,Coords[],4,FALSE)-VLOOKUP(BP$5,Coords[],4,FALSE))^2)))</f>
        <v>1000</v>
      </c>
      <c r="BQ72" s="10">
        <f>IF($G72=BQ$5,1000,IF(BQ$4=0,1000,SQRT((VLOOKUP($G72,Coords[],3,FALSE)-VLOOKUP(BQ$5,Coords[],3,FALSE))^2+(VLOOKUP($G72,Coords[],4,FALSE)-VLOOKUP(BQ$5,Coords[],4,FALSE))^2)))</f>
        <v>1000</v>
      </c>
      <c r="BR72" s="10">
        <f>IF($G72=BR$5,1000,IF(BR$4=0,1000,SQRT((VLOOKUP($G72,Coords[],3,FALSE)-VLOOKUP(BR$5,Coords[],3,FALSE))^2+(VLOOKUP($G72,Coords[],4,FALSE)-VLOOKUP(BR$5,Coords[],4,FALSE))^2)))</f>
        <v>1000</v>
      </c>
      <c r="BS72" s="10">
        <f>IF($G72=BS$5,1000,IF(BS$4=0,1000,SQRT((VLOOKUP($G72,Coords[],3,FALSE)-VLOOKUP(BS$5,Coords[],3,FALSE))^2+(VLOOKUP($G72,Coords[],4,FALSE)-VLOOKUP(BS$5,Coords[],4,FALSE))^2)))</f>
        <v>1000</v>
      </c>
      <c r="BT72" s="10">
        <f>IF($G72=BT$5,1000,IF(BT$4=0,1000,SQRT((VLOOKUP($G72,Coords[],3,FALSE)-VLOOKUP(BT$5,Coords[],3,FALSE))^2+(VLOOKUP($G72,Coords[],4,FALSE)-VLOOKUP(BT$5,Coords[],4,FALSE))^2)))</f>
        <v>1000</v>
      </c>
      <c r="BU72" s="10">
        <f>IF($G72=BU$5,1000,IF(BU$4=0,1000,SQRT((VLOOKUP($G72,Coords[],3,FALSE)-VLOOKUP(BU$5,Coords[],3,FALSE))^2+(VLOOKUP($G72,Coords[],4,FALSE)-VLOOKUP(BU$5,Coords[],4,FALSE))^2)))</f>
        <v>1000</v>
      </c>
      <c r="BV72" s="10">
        <f>IF($G72=BV$5,1000,IF(BV$4=0,1000,SQRT((VLOOKUP($G72,Coords[],3,FALSE)-VLOOKUP(BV$5,Coords[],3,FALSE))^2+(VLOOKUP($G72,Coords[],4,FALSE)-VLOOKUP(BV$5,Coords[],4,FALSE))^2)))</f>
        <v>1000</v>
      </c>
      <c r="BW72" s="10">
        <f>IF($G72=BW$5,1000,IF(BW$4=0,1000,SQRT((VLOOKUP($G72,Coords[],3,FALSE)-VLOOKUP(BW$5,Coords[],3,FALSE))^2+(VLOOKUP($G72,Coords[],4,FALSE)-VLOOKUP(BW$5,Coords[],4,FALSE))^2)))</f>
        <v>1000</v>
      </c>
      <c r="BX72" s="10">
        <f>IF($G72=BX$5,1000,IF(BX$4=0,1000,SQRT((VLOOKUP($G72,Coords[],3,FALSE)-VLOOKUP(BX$5,Coords[],3,FALSE))^2+(VLOOKUP($G72,Coords[],4,FALSE)-VLOOKUP(BX$5,Coords[],4,FALSE))^2)))</f>
        <v>1000</v>
      </c>
      <c r="BY72" s="10">
        <f>IF($G72=BY$5,1000,IF(BY$4=0,1000,SQRT((VLOOKUP($G72,Coords[],3,FALSE)-VLOOKUP(BY$5,Coords[],3,FALSE))^2+(VLOOKUP($G72,Coords[],4,FALSE)-VLOOKUP(BY$5,Coords[],4,FALSE))^2)))</f>
        <v>1000</v>
      </c>
      <c r="BZ72" s="10">
        <f>IF($G72=BZ$5,1000,IF(BZ$4=0,1000,SQRT((VLOOKUP($G72,Coords[],3,FALSE)-VLOOKUP(BZ$5,Coords[],3,FALSE))^2+(VLOOKUP($G72,Coords[],4,FALSE)-VLOOKUP(BZ$5,Coords[],4,FALSE))^2)))</f>
        <v>1000</v>
      </c>
      <c r="CA72" s="10">
        <f>IF($G72=CA$5,1000,IF(CA$4=0,1000,SQRT((VLOOKUP($G72,Coords[],3,FALSE)-VLOOKUP(CA$5,Coords[],3,FALSE))^2+(VLOOKUP($G72,Coords[],4,FALSE)-VLOOKUP(CA$5,Coords[],4,FALSE))^2)))</f>
        <v>1000</v>
      </c>
      <c r="CB72" s="10">
        <f>IF($G72=CB$5,1000,IF(CB$4=0,1000,SQRT((VLOOKUP($G72,Coords[],3,FALSE)-VLOOKUP(CB$5,Coords[],3,FALSE))^2+(VLOOKUP($G72,Coords[],4,FALSE)-VLOOKUP(CB$5,Coords[],4,FALSE))^2)))</f>
        <v>1000</v>
      </c>
      <c r="CC72" s="10">
        <f>IF($G72=CC$5,1000,IF(CC$4=0,1000,SQRT((VLOOKUP($G72,Coords[],3,FALSE)-VLOOKUP(CC$5,Coords[],3,FALSE))^2+(VLOOKUP($G72,Coords[],4,FALSE)-VLOOKUP(CC$5,Coords[],4,FALSE))^2)))</f>
        <v>1000</v>
      </c>
      <c r="CD72" s="10">
        <f>IF($G72=CD$5,1000,IF(CD$4=0,1000,SQRT((VLOOKUP($G72,Coords[],3,FALSE)-VLOOKUP(CD$5,Coords[],3,FALSE))^2+(VLOOKUP($G72,Coords[],4,FALSE)-VLOOKUP(CD$5,Coords[],4,FALSE))^2)))</f>
        <v>1000</v>
      </c>
      <c r="CE72" s="10">
        <f>IF($G72=CE$5,1000,IF(CE$4=0,1000,SQRT((VLOOKUP($G72,Coords[],3,FALSE)-VLOOKUP(CE$5,Coords[],3,FALSE))^2+(VLOOKUP($G72,Coords[],4,FALSE)-VLOOKUP(CE$5,Coords[],4,FALSE))^2)))</f>
        <v>1000</v>
      </c>
      <c r="CF72" s="4">
        <v>67</v>
      </c>
      <c r="CH72" s="5">
        <f>IF(E72=1,0,VLOOKUP($G72,$G$6:$CE$82,HLOOKUP(MIN(H72:CE72),$H72:$CE$82,((COUNT($G$6:$G$81)+2)-$G72),FALSE)+1,FALSE)*B72)</f>
        <v>0</v>
      </c>
      <c r="CI72" s="9">
        <f>VLOOKUP($G72,$G$6:$CE$82,HLOOKUP(MIN(H72:CE72),$H72:$CE$82,((COUNT($G$6:$G$81)+2)-$G72),FALSE)+1,FALSE)</f>
        <v>1000</v>
      </c>
      <c r="CJ72" s="7">
        <f>HLOOKUP(MIN(H72:CE72),$H72:$CE$82,((COUNT($G$6:$G$81)+2)-$G72),FALSE)</f>
        <v>1</v>
      </c>
      <c r="CK72">
        <f>CI72*Coords[[#This Row],[Demand]]</f>
        <v>0</v>
      </c>
    </row>
    <row r="73" spans="1:89" x14ac:dyDescent="0.25">
      <c r="A73" s="8">
        <v>68</v>
      </c>
      <c r="B73" s="3"/>
      <c r="C73" s="3"/>
      <c r="D73" s="3"/>
      <c r="E73" s="3"/>
      <c r="G73" s="4">
        <v>68</v>
      </c>
      <c r="H73" s="10">
        <f>IF($G73=H$5,1000,IF(H$4=0,1000,SQRT((VLOOKUP($G73,Coords[],3,FALSE)-VLOOKUP(H$5,Coords[],3,FALSE))^2+(VLOOKUP($G73,Coords[],4,FALSE)-VLOOKUP(H$5,Coords[],4,FALSE))^2)))</f>
        <v>1000</v>
      </c>
      <c r="I73" s="10">
        <f>IF($G73=I$5,1000,IF(I$4=0,1000,SQRT((VLOOKUP($G73,Coords[],3,FALSE)-VLOOKUP(I$5,Coords[],3,FALSE))^2+(VLOOKUP($G73,Coords[],4,FALSE)-VLOOKUP(I$5,Coords[],4,FALSE))^2)))</f>
        <v>1000</v>
      </c>
      <c r="J73" s="10">
        <f>IF($G73=J$5,1000,IF(J$4=0,1000,SQRT((VLOOKUP($G73,Coords[],3,FALSE)-VLOOKUP(J$5,Coords[],3,FALSE))^2+(VLOOKUP($G73,Coords[],4,FALSE)-VLOOKUP(J$5,Coords[],4,FALSE))^2)))</f>
        <v>1000</v>
      </c>
      <c r="K73" s="10">
        <f>IF($G73=K$5,1000,IF(K$4=0,1000,SQRT((VLOOKUP($G73,Coords[],3,FALSE)-VLOOKUP(K$5,Coords[],3,FALSE))^2+(VLOOKUP($G73,Coords[],4,FALSE)-VLOOKUP(K$5,Coords[],4,FALSE))^2)))</f>
        <v>1000</v>
      </c>
      <c r="L73" s="10">
        <f>IF($G73=L$5,1000,IF(L$4=0,1000,SQRT((VLOOKUP($G73,Coords[],3,FALSE)-VLOOKUP(L$5,Coords[],3,FALSE))^2+(VLOOKUP($G73,Coords[],4,FALSE)-VLOOKUP(L$5,Coords[],4,FALSE))^2)))</f>
        <v>1000</v>
      </c>
      <c r="M73" s="10">
        <f>IF($G73=M$5,1000,IF(M$4=0,1000,SQRT((VLOOKUP($G73,Coords[],3,FALSE)-VLOOKUP(M$5,Coords[],3,FALSE))^2+(VLOOKUP($G73,Coords[],4,FALSE)-VLOOKUP(M$5,Coords[],4,FALSE))^2)))</f>
        <v>1000</v>
      </c>
      <c r="N73" s="10">
        <f>IF($G73=N$5,1000,IF(N$4=0,1000,SQRT((VLOOKUP($G73,Coords[],3,FALSE)-VLOOKUP(N$5,Coords[],3,FALSE))^2+(VLOOKUP($G73,Coords[],4,FALSE)-VLOOKUP(N$5,Coords[],4,FALSE))^2)))</f>
        <v>1000</v>
      </c>
      <c r="O73" s="10">
        <f>IF($G73=O$5,1000,IF(O$4=0,1000,SQRT((VLOOKUP($G73,Coords[],3,FALSE)-VLOOKUP(O$5,Coords[],3,FALSE))^2+(VLOOKUP($G73,Coords[],4,FALSE)-VLOOKUP(O$5,Coords[],4,FALSE))^2)))</f>
        <v>1000</v>
      </c>
      <c r="P73" s="10">
        <f>IF($G73=P$5,1000,IF(P$4=0,1000,SQRT((VLOOKUP($G73,Coords[],3,FALSE)-VLOOKUP(P$5,Coords[],3,FALSE))^2+(VLOOKUP($G73,Coords[],4,FALSE)-VLOOKUP(P$5,Coords[],4,FALSE))^2)))</f>
        <v>1000</v>
      </c>
      <c r="Q73" s="10">
        <f>IF($G73=Q$5,1000,IF(Q$4=0,1000,SQRT((VLOOKUP($G73,Coords[],3,FALSE)-VLOOKUP(Q$5,Coords[],3,FALSE))^2+(VLOOKUP($G73,Coords[],4,FALSE)-VLOOKUP(Q$5,Coords[],4,FALSE))^2)))</f>
        <v>1000</v>
      </c>
      <c r="R73" s="10">
        <f>IF($G73=R$5,1000,IF(R$4=0,1000,SQRT((VLOOKUP($G73,Coords[],3,FALSE)-VLOOKUP(R$5,Coords[],3,FALSE))^2+(VLOOKUP($G73,Coords[],4,FALSE)-VLOOKUP(R$5,Coords[],4,FALSE))^2)))</f>
        <v>1000</v>
      </c>
      <c r="S73" s="10">
        <f>IF($G73=S$5,1000,IF(S$4=0,1000,SQRT((VLOOKUP($G73,Coords[],3,FALSE)-VLOOKUP(S$5,Coords[],3,FALSE))^2+(VLOOKUP($G73,Coords[],4,FALSE)-VLOOKUP(S$5,Coords[],4,FALSE))^2)))</f>
        <v>1000</v>
      </c>
      <c r="T73" s="10">
        <f>IF($G73=T$5,1000,IF(T$4=0,1000,SQRT((VLOOKUP($G73,Coords[],3,FALSE)-VLOOKUP(T$5,Coords[],3,FALSE))^2+(VLOOKUP($G73,Coords[],4,FALSE)-VLOOKUP(T$5,Coords[],4,FALSE))^2)))</f>
        <v>1000</v>
      </c>
      <c r="U73" s="10">
        <f>IF($G73=U$5,1000,IF(U$4=0,1000,SQRT((VLOOKUP($G73,Coords[],3,FALSE)-VLOOKUP(U$5,Coords[],3,FALSE))^2+(VLOOKUP($G73,Coords[],4,FALSE)-VLOOKUP(U$5,Coords[],4,FALSE))^2)))</f>
        <v>1000</v>
      </c>
      <c r="V73" s="10">
        <f>IF($G73=V$5,1000,IF(V$4=0,1000,SQRT((VLOOKUP($G73,Coords[],3,FALSE)-VLOOKUP(V$5,Coords[],3,FALSE))^2+(VLOOKUP($G73,Coords[],4,FALSE)-VLOOKUP(V$5,Coords[],4,FALSE))^2)))</f>
        <v>1000</v>
      </c>
      <c r="W73" s="10">
        <f>IF($G73=W$5,1000,IF(W$4=0,1000,SQRT((VLOOKUP($G73,Coords[],3,FALSE)-VLOOKUP(W$5,Coords[],3,FALSE))^2+(VLOOKUP($G73,Coords[],4,FALSE)-VLOOKUP(W$5,Coords[],4,FALSE))^2)))</f>
        <v>1000</v>
      </c>
      <c r="X73" s="10">
        <f>IF($G73=X$5,1000,IF(X$4=0,1000,SQRT((VLOOKUP($G73,Coords[],3,FALSE)-VLOOKUP(X$5,Coords[],3,FALSE))^2+(VLOOKUP($G73,Coords[],4,FALSE)-VLOOKUP(X$5,Coords[],4,FALSE))^2)))</f>
        <v>1000</v>
      </c>
      <c r="Y73" s="10">
        <f>IF($G73=Y$5,1000,IF(Y$4=0,1000,SQRT((VLOOKUP($G73,Coords[],3,FALSE)-VLOOKUP(Y$5,Coords[],3,FALSE))^2+(VLOOKUP($G73,Coords[],4,FALSE)-VLOOKUP(Y$5,Coords[],4,FALSE))^2)))</f>
        <v>1000</v>
      </c>
      <c r="Z73" s="10">
        <f>IF($G73=Z$5,1000,IF(Z$4=0,1000,SQRT((VLOOKUP($G73,Coords[],3,FALSE)-VLOOKUP(Z$5,Coords[],3,FALSE))^2+(VLOOKUP($G73,Coords[],4,FALSE)-VLOOKUP(Z$5,Coords[],4,FALSE))^2)))</f>
        <v>1000</v>
      </c>
      <c r="AA73" s="10">
        <f>IF($G73=AA$5,1000,IF(AA$4=0,1000,SQRT((VLOOKUP($G73,Coords[],3,FALSE)-VLOOKUP(AA$5,Coords[],3,FALSE))^2+(VLOOKUP($G73,Coords[],4,FALSE)-VLOOKUP(AA$5,Coords[],4,FALSE))^2)))</f>
        <v>1000</v>
      </c>
      <c r="AB73" s="10">
        <f>IF($G73=AB$5,1000,IF(AB$4=0,1000,SQRT((VLOOKUP($G73,Coords[],3,FALSE)-VLOOKUP(AB$5,Coords[],3,FALSE))^2+(VLOOKUP($G73,Coords[],4,FALSE)-VLOOKUP(AB$5,Coords[],4,FALSE))^2)))</f>
        <v>1000</v>
      </c>
      <c r="AC73" s="10">
        <f>IF($G73=AC$5,1000,IF(AC$4=0,1000,SQRT((VLOOKUP($G73,Coords[],3,FALSE)-VLOOKUP(AC$5,Coords[],3,FALSE))^2+(VLOOKUP($G73,Coords[],4,FALSE)-VLOOKUP(AC$5,Coords[],4,FALSE))^2)))</f>
        <v>1000</v>
      </c>
      <c r="AD73" s="10">
        <f>IF($G73=AD$5,1000,IF(AD$4=0,1000,SQRT((VLOOKUP($G73,Coords[],3,FALSE)-VLOOKUP(AD$5,Coords[],3,FALSE))^2+(VLOOKUP($G73,Coords[],4,FALSE)-VLOOKUP(AD$5,Coords[],4,FALSE))^2)))</f>
        <v>1000</v>
      </c>
      <c r="AE73" s="10">
        <f>IF($G73=AE$5,1000,IF(AE$4=0,1000,SQRT((VLOOKUP($G73,Coords[],3,FALSE)-VLOOKUP(AE$5,Coords[],3,FALSE))^2+(VLOOKUP($G73,Coords[],4,FALSE)-VLOOKUP(AE$5,Coords[],4,FALSE))^2)))</f>
        <v>1000</v>
      </c>
      <c r="AF73" s="10">
        <f>IF($G73=AF$5,1000,IF(AF$4=0,1000,SQRT((VLOOKUP($G73,Coords[],3,FALSE)-VLOOKUP(AF$5,Coords[],3,FALSE))^2+(VLOOKUP($G73,Coords[],4,FALSE)-VLOOKUP(AF$5,Coords[],4,FALSE))^2)))</f>
        <v>1000</v>
      </c>
      <c r="AG73" s="10">
        <f>IF($G73=AG$5,1000,IF(AG$4=0,1000,SQRT((VLOOKUP($G73,Coords[],3,FALSE)-VLOOKUP(AG$5,Coords[],3,FALSE))^2+(VLOOKUP($G73,Coords[],4,FALSE)-VLOOKUP(AG$5,Coords[],4,FALSE))^2)))</f>
        <v>1000</v>
      </c>
      <c r="AH73" s="10">
        <f>IF($G73=AH$5,1000,IF(AH$4=0,1000,SQRT((VLOOKUP($G73,Coords[],3,FALSE)-VLOOKUP(AH$5,Coords[],3,FALSE))^2+(VLOOKUP($G73,Coords[],4,FALSE)-VLOOKUP(AH$5,Coords[],4,FALSE))^2)))</f>
        <v>1000</v>
      </c>
      <c r="AI73" s="10">
        <f>IF($G73=AI$5,1000,IF(AI$4=0,1000,SQRT((VLOOKUP($G73,Coords[],3,FALSE)-VLOOKUP(AI$5,Coords[],3,FALSE))^2+(VLOOKUP($G73,Coords[],4,FALSE)-VLOOKUP(AI$5,Coords[],4,FALSE))^2)))</f>
        <v>1000</v>
      </c>
      <c r="AJ73" s="10">
        <f>IF($G73=AJ$5,1000,IF(AJ$4=0,1000,SQRT((VLOOKUP($G73,Coords[],3,FALSE)-VLOOKUP(AJ$5,Coords[],3,FALSE))^2+(VLOOKUP($G73,Coords[],4,FALSE)-VLOOKUP(AJ$5,Coords[],4,FALSE))^2)))</f>
        <v>1000</v>
      </c>
      <c r="AK73" s="10">
        <f>IF($G73=AK$5,1000,IF(AK$4=0,1000,SQRT((VLOOKUP($G73,Coords[],3,FALSE)-VLOOKUP(AK$5,Coords[],3,FALSE))^2+(VLOOKUP($G73,Coords[],4,FALSE)-VLOOKUP(AK$5,Coords[],4,FALSE))^2)))</f>
        <v>1000</v>
      </c>
      <c r="AL73" s="10">
        <f>IF($G73=AL$5,1000,IF(AL$4=0,1000,SQRT((VLOOKUP($G73,Coords[],3,FALSE)-VLOOKUP(AL$5,Coords[],3,FALSE))^2+(VLOOKUP($G73,Coords[],4,FALSE)-VLOOKUP(AL$5,Coords[],4,FALSE))^2)))</f>
        <v>1000</v>
      </c>
      <c r="AM73" s="10">
        <f>IF($G73=AM$5,1000,IF(AM$4=0,1000,SQRT((VLOOKUP($G73,Coords[],3,FALSE)-VLOOKUP(AM$5,Coords[],3,FALSE))^2+(VLOOKUP($G73,Coords[],4,FALSE)-VLOOKUP(AM$5,Coords[],4,FALSE))^2)))</f>
        <v>1000</v>
      </c>
      <c r="AN73" s="10">
        <f>IF($G73=AN$5,1000,IF(AN$4=0,1000,SQRT((VLOOKUP($G73,Coords[],3,FALSE)-VLOOKUP(AN$5,Coords[],3,FALSE))^2+(VLOOKUP($G73,Coords[],4,FALSE)-VLOOKUP(AN$5,Coords[],4,FALSE))^2)))</f>
        <v>1000</v>
      </c>
      <c r="AO73" s="10">
        <f>IF($G73=AO$5,1000,IF(AO$4=0,1000,SQRT((VLOOKUP($G73,Coords[],3,FALSE)-VLOOKUP(AO$5,Coords[],3,FALSE))^2+(VLOOKUP($G73,Coords[],4,FALSE)-VLOOKUP(AO$5,Coords[],4,FALSE))^2)))</f>
        <v>1000</v>
      </c>
      <c r="AP73" s="10">
        <f>IF($G73=AP$5,1000,IF(AP$4=0,1000,SQRT((VLOOKUP($G73,Coords[],3,FALSE)-VLOOKUP(AP$5,Coords[],3,FALSE))^2+(VLOOKUP($G73,Coords[],4,FALSE)-VLOOKUP(AP$5,Coords[],4,FALSE))^2)))</f>
        <v>1000</v>
      </c>
      <c r="AQ73" s="10">
        <f>IF($G73=AQ$5,1000,IF(AQ$4=0,1000,SQRT((VLOOKUP($G73,Coords[],3,FALSE)-VLOOKUP(AQ$5,Coords[],3,FALSE))^2+(VLOOKUP($G73,Coords[],4,FALSE)-VLOOKUP(AQ$5,Coords[],4,FALSE))^2)))</f>
        <v>1000</v>
      </c>
      <c r="AR73" s="10">
        <f>IF($G73=AR$5,1000,IF(AR$4=0,1000,SQRT((VLOOKUP($G73,Coords[],3,FALSE)-VLOOKUP(AR$5,Coords[],3,FALSE))^2+(VLOOKUP($G73,Coords[],4,FALSE)-VLOOKUP(AR$5,Coords[],4,FALSE))^2)))</f>
        <v>1000</v>
      </c>
      <c r="AS73" s="10">
        <f>IF($G73=AS$5,1000,IF(AS$4=0,1000,SQRT((VLOOKUP($G73,Coords[],3,FALSE)-VLOOKUP(AS$5,Coords[],3,FALSE))^2+(VLOOKUP($G73,Coords[],4,FALSE)-VLOOKUP(AS$5,Coords[],4,FALSE))^2)))</f>
        <v>1000</v>
      </c>
      <c r="AT73" s="10">
        <f>IF($G73=AT$5,1000,IF(AT$4=0,1000,SQRT((VLOOKUP($G73,Coords[],3,FALSE)-VLOOKUP(AT$5,Coords[],3,FALSE))^2+(VLOOKUP($G73,Coords[],4,FALSE)-VLOOKUP(AT$5,Coords[],4,FALSE))^2)))</f>
        <v>1000</v>
      </c>
      <c r="AU73" s="10">
        <f>IF($G73=AU$5,1000,IF(AU$4=0,1000,SQRT((VLOOKUP($G73,Coords[],3,FALSE)-VLOOKUP(AU$5,Coords[],3,FALSE))^2+(VLOOKUP($G73,Coords[],4,FALSE)-VLOOKUP(AU$5,Coords[],4,FALSE))^2)))</f>
        <v>1000</v>
      </c>
      <c r="AV73" s="10">
        <f>IF($G73=AV$5,1000,IF(AV$4=0,1000,SQRT((VLOOKUP($G73,Coords[],3,FALSE)-VLOOKUP(AV$5,Coords[],3,FALSE))^2+(VLOOKUP($G73,Coords[],4,FALSE)-VLOOKUP(AV$5,Coords[],4,FALSE))^2)))</f>
        <v>1000</v>
      </c>
      <c r="AW73" s="10">
        <f>IF($G73=AW$5,1000,IF(AW$4=0,1000,SQRT((VLOOKUP($G73,Coords[],3,FALSE)-VLOOKUP(AW$5,Coords[],3,FALSE))^2+(VLOOKUP($G73,Coords[],4,FALSE)-VLOOKUP(AW$5,Coords[],4,FALSE))^2)))</f>
        <v>1000</v>
      </c>
      <c r="AX73" s="10">
        <f>IF($G73=AX$5,1000,IF(AX$4=0,1000,SQRT((VLOOKUP($G73,Coords[],3,FALSE)-VLOOKUP(AX$5,Coords[],3,FALSE))^2+(VLOOKUP($G73,Coords[],4,FALSE)-VLOOKUP(AX$5,Coords[],4,FALSE))^2)))</f>
        <v>1000</v>
      </c>
      <c r="AY73" s="10">
        <f>IF($G73=AY$5,1000,IF(AY$4=0,1000,SQRT((VLOOKUP($G73,Coords[],3,FALSE)-VLOOKUP(AY$5,Coords[],3,FALSE))^2+(VLOOKUP($G73,Coords[],4,FALSE)-VLOOKUP(AY$5,Coords[],4,FALSE))^2)))</f>
        <v>1000</v>
      </c>
      <c r="AZ73" s="10">
        <f>IF($G73=AZ$5,1000,IF(AZ$4=0,1000,SQRT((VLOOKUP($G73,Coords[],3,FALSE)-VLOOKUP(AZ$5,Coords[],3,FALSE))^2+(VLOOKUP($G73,Coords[],4,FALSE)-VLOOKUP(AZ$5,Coords[],4,FALSE))^2)))</f>
        <v>1000</v>
      </c>
      <c r="BA73" s="10">
        <f>IF($G73=BA$5,1000,IF(BA$4=0,1000,SQRT((VLOOKUP($G73,Coords[],3,FALSE)-VLOOKUP(BA$5,Coords[],3,FALSE))^2+(VLOOKUP($G73,Coords[],4,FALSE)-VLOOKUP(BA$5,Coords[],4,FALSE))^2)))</f>
        <v>1000</v>
      </c>
      <c r="BB73" s="10">
        <f>IF($G73=BB$5,1000,IF(BB$4=0,1000,SQRT((VLOOKUP($G73,Coords[],3,FALSE)-VLOOKUP(BB$5,Coords[],3,FALSE))^2+(VLOOKUP($G73,Coords[],4,FALSE)-VLOOKUP(BB$5,Coords[],4,FALSE))^2)))</f>
        <v>1000</v>
      </c>
      <c r="BC73" s="10">
        <f>IF($G73=BC$5,1000,IF(BC$4=0,1000,SQRT((VLOOKUP($G73,Coords[],3,FALSE)-VLOOKUP(BC$5,Coords[],3,FALSE))^2+(VLOOKUP($G73,Coords[],4,FALSE)-VLOOKUP(BC$5,Coords[],4,FALSE))^2)))</f>
        <v>1000</v>
      </c>
      <c r="BD73" s="10">
        <f>IF($G73=BD$5,1000,IF(BD$4=0,1000,SQRT((VLOOKUP($G73,Coords[],3,FALSE)-VLOOKUP(BD$5,Coords[],3,FALSE))^2+(VLOOKUP($G73,Coords[],4,FALSE)-VLOOKUP(BD$5,Coords[],4,FALSE))^2)))</f>
        <v>1000</v>
      </c>
      <c r="BE73" s="10">
        <f>IF($G73=BE$5,1000,IF(BE$4=0,1000,SQRT((VLOOKUP($G73,Coords[],3,FALSE)-VLOOKUP(BE$5,Coords[],3,FALSE))^2+(VLOOKUP($G73,Coords[],4,FALSE)-VLOOKUP(BE$5,Coords[],4,FALSE))^2)))</f>
        <v>1000</v>
      </c>
      <c r="BF73" s="10">
        <f>IF($G73=BF$5,1000,IF(BF$4=0,1000,SQRT((VLOOKUP($G73,Coords[],3,FALSE)-VLOOKUP(BF$5,Coords[],3,FALSE))^2+(VLOOKUP($G73,Coords[],4,FALSE)-VLOOKUP(BF$5,Coords[],4,FALSE))^2)))</f>
        <v>1000</v>
      </c>
      <c r="BG73" s="10">
        <f>IF($G73=BG$5,1000,IF(BG$4=0,1000,SQRT((VLOOKUP($G73,Coords[],3,FALSE)-VLOOKUP(BG$5,Coords[],3,FALSE))^2+(VLOOKUP($G73,Coords[],4,FALSE)-VLOOKUP(BG$5,Coords[],4,FALSE))^2)))</f>
        <v>1000</v>
      </c>
      <c r="BH73" s="10">
        <f>IF($G73=BH$5,1000,IF(BH$4=0,1000,SQRT((VLOOKUP($G73,Coords[],3,FALSE)-VLOOKUP(BH$5,Coords[],3,FALSE))^2+(VLOOKUP($G73,Coords[],4,FALSE)-VLOOKUP(BH$5,Coords[],4,FALSE))^2)))</f>
        <v>1000</v>
      </c>
      <c r="BI73" s="10">
        <f>IF($G73=BI$5,1000,IF(BI$4=0,1000,SQRT((VLOOKUP($G73,Coords[],3,FALSE)-VLOOKUP(BI$5,Coords[],3,FALSE))^2+(VLOOKUP($G73,Coords[],4,FALSE)-VLOOKUP(BI$5,Coords[],4,FALSE))^2)))</f>
        <v>1000</v>
      </c>
      <c r="BJ73" s="10">
        <f>IF($G73=BJ$5,1000,IF(BJ$4=0,1000,SQRT((VLOOKUP($G73,Coords[],3,FALSE)-VLOOKUP(BJ$5,Coords[],3,FALSE))^2+(VLOOKUP($G73,Coords[],4,FALSE)-VLOOKUP(BJ$5,Coords[],4,FALSE))^2)))</f>
        <v>1000</v>
      </c>
      <c r="BK73" s="10">
        <f>IF($G73=BK$5,1000,IF(BK$4=0,1000,SQRT((VLOOKUP($G73,Coords[],3,FALSE)-VLOOKUP(BK$5,Coords[],3,FALSE))^2+(VLOOKUP($G73,Coords[],4,FALSE)-VLOOKUP(BK$5,Coords[],4,FALSE))^2)))</f>
        <v>1000</v>
      </c>
      <c r="BL73" s="10">
        <f>IF($G73=BL$5,1000,IF(BL$4=0,1000,SQRT((VLOOKUP($G73,Coords[],3,FALSE)-VLOOKUP(BL$5,Coords[],3,FALSE))^2+(VLOOKUP($G73,Coords[],4,FALSE)-VLOOKUP(BL$5,Coords[],4,FALSE))^2)))</f>
        <v>1000</v>
      </c>
      <c r="BM73" s="10">
        <f>IF($G73=BM$5,1000,IF(BM$4=0,1000,SQRT((VLOOKUP($G73,Coords[],3,FALSE)-VLOOKUP(BM$5,Coords[],3,FALSE))^2+(VLOOKUP($G73,Coords[],4,FALSE)-VLOOKUP(BM$5,Coords[],4,FALSE))^2)))</f>
        <v>1000</v>
      </c>
      <c r="BN73" s="10">
        <f>IF($G73=BN$5,1000,IF(BN$4=0,1000,SQRT((VLOOKUP($G73,Coords[],3,FALSE)-VLOOKUP(BN$5,Coords[],3,FALSE))^2+(VLOOKUP($G73,Coords[],4,FALSE)-VLOOKUP(BN$5,Coords[],4,FALSE))^2)))</f>
        <v>1000</v>
      </c>
      <c r="BO73" s="10">
        <f>IF($G73=BO$5,1000,IF(BO$4=0,1000,SQRT((VLOOKUP($G73,Coords[],3,FALSE)-VLOOKUP(BO$5,Coords[],3,FALSE))^2+(VLOOKUP($G73,Coords[],4,FALSE)-VLOOKUP(BO$5,Coords[],4,FALSE))^2)))</f>
        <v>1000</v>
      </c>
      <c r="BP73" s="10">
        <f>IF($G73=BP$5,1000,IF(BP$4=0,1000,SQRT((VLOOKUP($G73,Coords[],3,FALSE)-VLOOKUP(BP$5,Coords[],3,FALSE))^2+(VLOOKUP($G73,Coords[],4,FALSE)-VLOOKUP(BP$5,Coords[],4,FALSE))^2)))</f>
        <v>1000</v>
      </c>
      <c r="BQ73" s="10">
        <f>IF($G73=BQ$5,1000,IF(BQ$4=0,1000,SQRT((VLOOKUP($G73,Coords[],3,FALSE)-VLOOKUP(BQ$5,Coords[],3,FALSE))^2+(VLOOKUP($G73,Coords[],4,FALSE)-VLOOKUP(BQ$5,Coords[],4,FALSE))^2)))</f>
        <v>1000</v>
      </c>
      <c r="BR73" s="10">
        <f>IF($G73=BR$5,1000,IF(BR$4=0,1000,SQRT((VLOOKUP($G73,Coords[],3,FALSE)-VLOOKUP(BR$5,Coords[],3,FALSE))^2+(VLOOKUP($G73,Coords[],4,FALSE)-VLOOKUP(BR$5,Coords[],4,FALSE))^2)))</f>
        <v>1000</v>
      </c>
      <c r="BS73" s="10">
        <f>IF($G73=BS$5,1000,IF(BS$4=0,1000,SQRT((VLOOKUP($G73,Coords[],3,FALSE)-VLOOKUP(BS$5,Coords[],3,FALSE))^2+(VLOOKUP($G73,Coords[],4,FALSE)-VLOOKUP(BS$5,Coords[],4,FALSE))^2)))</f>
        <v>1000</v>
      </c>
      <c r="BT73" s="10">
        <f>IF($G73=BT$5,1000,IF(BT$4=0,1000,SQRT((VLOOKUP($G73,Coords[],3,FALSE)-VLOOKUP(BT$5,Coords[],3,FALSE))^2+(VLOOKUP($G73,Coords[],4,FALSE)-VLOOKUP(BT$5,Coords[],4,FALSE))^2)))</f>
        <v>1000</v>
      </c>
      <c r="BU73" s="10">
        <f>IF($G73=BU$5,1000,IF(BU$4=0,1000,SQRT((VLOOKUP($G73,Coords[],3,FALSE)-VLOOKUP(BU$5,Coords[],3,FALSE))^2+(VLOOKUP($G73,Coords[],4,FALSE)-VLOOKUP(BU$5,Coords[],4,FALSE))^2)))</f>
        <v>1000</v>
      </c>
      <c r="BV73" s="10">
        <f>IF($G73=BV$5,1000,IF(BV$4=0,1000,SQRT((VLOOKUP($G73,Coords[],3,FALSE)-VLOOKUP(BV$5,Coords[],3,FALSE))^2+(VLOOKUP($G73,Coords[],4,FALSE)-VLOOKUP(BV$5,Coords[],4,FALSE))^2)))</f>
        <v>1000</v>
      </c>
      <c r="BW73" s="10">
        <f>IF($G73=BW$5,1000,IF(BW$4=0,1000,SQRT((VLOOKUP($G73,Coords[],3,FALSE)-VLOOKUP(BW$5,Coords[],3,FALSE))^2+(VLOOKUP($G73,Coords[],4,FALSE)-VLOOKUP(BW$5,Coords[],4,FALSE))^2)))</f>
        <v>1000</v>
      </c>
      <c r="BX73" s="10">
        <f>IF($G73=BX$5,1000,IF(BX$4=0,1000,SQRT((VLOOKUP($G73,Coords[],3,FALSE)-VLOOKUP(BX$5,Coords[],3,FALSE))^2+(VLOOKUP($G73,Coords[],4,FALSE)-VLOOKUP(BX$5,Coords[],4,FALSE))^2)))</f>
        <v>1000</v>
      </c>
      <c r="BY73" s="10">
        <f>IF($G73=BY$5,1000,IF(BY$4=0,1000,SQRT((VLOOKUP($G73,Coords[],3,FALSE)-VLOOKUP(BY$5,Coords[],3,FALSE))^2+(VLOOKUP($G73,Coords[],4,FALSE)-VLOOKUP(BY$5,Coords[],4,FALSE))^2)))</f>
        <v>1000</v>
      </c>
      <c r="BZ73" s="10">
        <f>IF($G73=BZ$5,1000,IF(BZ$4=0,1000,SQRT((VLOOKUP($G73,Coords[],3,FALSE)-VLOOKUP(BZ$5,Coords[],3,FALSE))^2+(VLOOKUP($G73,Coords[],4,FALSE)-VLOOKUP(BZ$5,Coords[],4,FALSE))^2)))</f>
        <v>1000</v>
      </c>
      <c r="CA73" s="10">
        <f>IF($G73=CA$5,1000,IF(CA$4=0,1000,SQRT((VLOOKUP($G73,Coords[],3,FALSE)-VLOOKUP(CA$5,Coords[],3,FALSE))^2+(VLOOKUP($G73,Coords[],4,FALSE)-VLOOKUP(CA$5,Coords[],4,FALSE))^2)))</f>
        <v>1000</v>
      </c>
      <c r="CB73" s="10">
        <f>IF($G73=CB$5,1000,IF(CB$4=0,1000,SQRT((VLOOKUP($G73,Coords[],3,FALSE)-VLOOKUP(CB$5,Coords[],3,FALSE))^2+(VLOOKUP($G73,Coords[],4,FALSE)-VLOOKUP(CB$5,Coords[],4,FALSE))^2)))</f>
        <v>1000</v>
      </c>
      <c r="CC73" s="10">
        <f>IF($G73=CC$5,1000,IF(CC$4=0,1000,SQRT((VLOOKUP($G73,Coords[],3,FALSE)-VLOOKUP(CC$5,Coords[],3,FALSE))^2+(VLOOKUP($G73,Coords[],4,FALSE)-VLOOKUP(CC$5,Coords[],4,FALSE))^2)))</f>
        <v>1000</v>
      </c>
      <c r="CD73" s="10">
        <f>IF($G73=CD$5,1000,IF(CD$4=0,1000,SQRT((VLOOKUP($G73,Coords[],3,FALSE)-VLOOKUP(CD$5,Coords[],3,FALSE))^2+(VLOOKUP($G73,Coords[],4,FALSE)-VLOOKUP(CD$5,Coords[],4,FALSE))^2)))</f>
        <v>1000</v>
      </c>
      <c r="CE73" s="10">
        <f>IF($G73=CE$5,1000,IF(CE$4=0,1000,SQRT((VLOOKUP($G73,Coords[],3,FALSE)-VLOOKUP(CE$5,Coords[],3,FALSE))^2+(VLOOKUP($G73,Coords[],4,FALSE)-VLOOKUP(CE$5,Coords[],4,FALSE))^2)))</f>
        <v>1000</v>
      </c>
      <c r="CF73" s="4">
        <v>68</v>
      </c>
      <c r="CH73" s="5">
        <f>IF(E73=1,0,VLOOKUP($G73,$G$6:$CE$82,HLOOKUP(MIN(H73:CE73),$H73:$CE$82,((COUNT($G$6:$G$81)+2)-$G73),FALSE)+1,FALSE)*B73)</f>
        <v>0</v>
      </c>
      <c r="CI73" s="9">
        <f>VLOOKUP($G73,$G$6:$CE$82,HLOOKUP(MIN(H73:CE73),$H73:$CE$82,((COUNT($G$6:$G$81)+2)-$G73),FALSE)+1,FALSE)</f>
        <v>1000</v>
      </c>
      <c r="CJ73" s="7">
        <f>HLOOKUP(MIN(H73:CE73),$H73:$CE$82,((COUNT($G$6:$G$81)+2)-$G73),FALSE)</f>
        <v>1</v>
      </c>
      <c r="CK73">
        <f>CI73*Coords[[#This Row],[Demand]]</f>
        <v>0</v>
      </c>
    </row>
    <row r="74" spans="1:89" x14ac:dyDescent="0.25">
      <c r="A74" s="8">
        <v>69</v>
      </c>
      <c r="B74" s="3"/>
      <c r="C74" s="3"/>
      <c r="D74" s="3"/>
      <c r="E74" s="3"/>
      <c r="G74" s="4">
        <v>69</v>
      </c>
      <c r="H74" s="10">
        <f>IF($G74=H$5,1000,IF(H$4=0,1000,SQRT((VLOOKUP($G74,Coords[],3,FALSE)-VLOOKUP(H$5,Coords[],3,FALSE))^2+(VLOOKUP($G74,Coords[],4,FALSE)-VLOOKUP(H$5,Coords[],4,FALSE))^2)))</f>
        <v>1000</v>
      </c>
      <c r="I74" s="10">
        <f>IF($G74=I$5,1000,IF(I$4=0,1000,SQRT((VLOOKUP($G74,Coords[],3,FALSE)-VLOOKUP(I$5,Coords[],3,FALSE))^2+(VLOOKUP($G74,Coords[],4,FALSE)-VLOOKUP(I$5,Coords[],4,FALSE))^2)))</f>
        <v>1000</v>
      </c>
      <c r="J74" s="10">
        <f>IF($G74=J$5,1000,IF(J$4=0,1000,SQRT((VLOOKUP($G74,Coords[],3,FALSE)-VLOOKUP(J$5,Coords[],3,FALSE))^2+(VLOOKUP($G74,Coords[],4,FALSE)-VLOOKUP(J$5,Coords[],4,FALSE))^2)))</f>
        <v>1000</v>
      </c>
      <c r="K74" s="10">
        <f>IF($G74=K$5,1000,IF(K$4=0,1000,SQRT((VLOOKUP($G74,Coords[],3,FALSE)-VLOOKUP(K$5,Coords[],3,FALSE))^2+(VLOOKUP($G74,Coords[],4,FALSE)-VLOOKUP(K$5,Coords[],4,FALSE))^2)))</f>
        <v>1000</v>
      </c>
      <c r="L74" s="10">
        <f>IF($G74=L$5,1000,IF(L$4=0,1000,SQRT((VLOOKUP($G74,Coords[],3,FALSE)-VLOOKUP(L$5,Coords[],3,FALSE))^2+(VLOOKUP($G74,Coords[],4,FALSE)-VLOOKUP(L$5,Coords[],4,FALSE))^2)))</f>
        <v>1000</v>
      </c>
      <c r="M74" s="10">
        <f>IF($G74=M$5,1000,IF(M$4=0,1000,SQRT((VLOOKUP($G74,Coords[],3,FALSE)-VLOOKUP(M$5,Coords[],3,FALSE))^2+(VLOOKUP($G74,Coords[],4,FALSE)-VLOOKUP(M$5,Coords[],4,FALSE))^2)))</f>
        <v>1000</v>
      </c>
      <c r="N74" s="10">
        <f>IF($G74=N$5,1000,IF(N$4=0,1000,SQRT((VLOOKUP($G74,Coords[],3,FALSE)-VLOOKUP(N$5,Coords[],3,FALSE))^2+(VLOOKUP($G74,Coords[],4,FALSE)-VLOOKUP(N$5,Coords[],4,FALSE))^2)))</f>
        <v>1000</v>
      </c>
      <c r="O74" s="10">
        <f>IF($G74=O$5,1000,IF(O$4=0,1000,SQRT((VLOOKUP($G74,Coords[],3,FALSE)-VLOOKUP(O$5,Coords[],3,FALSE))^2+(VLOOKUP($G74,Coords[],4,FALSE)-VLOOKUP(O$5,Coords[],4,FALSE))^2)))</f>
        <v>1000</v>
      </c>
      <c r="P74" s="10">
        <f>IF($G74=P$5,1000,IF(P$4=0,1000,SQRT((VLOOKUP($G74,Coords[],3,FALSE)-VLOOKUP(P$5,Coords[],3,FALSE))^2+(VLOOKUP($G74,Coords[],4,FALSE)-VLOOKUP(P$5,Coords[],4,FALSE))^2)))</f>
        <v>1000</v>
      </c>
      <c r="Q74" s="10">
        <f>IF($G74=Q$5,1000,IF(Q$4=0,1000,SQRT((VLOOKUP($G74,Coords[],3,FALSE)-VLOOKUP(Q$5,Coords[],3,FALSE))^2+(VLOOKUP($G74,Coords[],4,FALSE)-VLOOKUP(Q$5,Coords[],4,FALSE))^2)))</f>
        <v>1000</v>
      </c>
      <c r="R74" s="10">
        <f>IF($G74=R$5,1000,IF(R$4=0,1000,SQRT((VLOOKUP($G74,Coords[],3,FALSE)-VLOOKUP(R$5,Coords[],3,FALSE))^2+(VLOOKUP($G74,Coords[],4,FALSE)-VLOOKUP(R$5,Coords[],4,FALSE))^2)))</f>
        <v>1000</v>
      </c>
      <c r="S74" s="10">
        <f>IF($G74=S$5,1000,IF(S$4=0,1000,SQRT((VLOOKUP($G74,Coords[],3,FALSE)-VLOOKUP(S$5,Coords[],3,FALSE))^2+(VLOOKUP($G74,Coords[],4,FALSE)-VLOOKUP(S$5,Coords[],4,FALSE))^2)))</f>
        <v>1000</v>
      </c>
      <c r="T74" s="10">
        <f>IF($G74=T$5,1000,IF(T$4=0,1000,SQRT((VLOOKUP($G74,Coords[],3,FALSE)-VLOOKUP(T$5,Coords[],3,FALSE))^2+(VLOOKUP($G74,Coords[],4,FALSE)-VLOOKUP(T$5,Coords[],4,FALSE))^2)))</f>
        <v>1000</v>
      </c>
      <c r="U74" s="10">
        <f>IF($G74=U$5,1000,IF(U$4=0,1000,SQRT((VLOOKUP($G74,Coords[],3,FALSE)-VLOOKUP(U$5,Coords[],3,FALSE))^2+(VLOOKUP($G74,Coords[],4,FALSE)-VLOOKUP(U$5,Coords[],4,FALSE))^2)))</f>
        <v>1000</v>
      </c>
      <c r="V74" s="10">
        <f>IF($G74=V$5,1000,IF(V$4=0,1000,SQRT((VLOOKUP($G74,Coords[],3,FALSE)-VLOOKUP(V$5,Coords[],3,FALSE))^2+(VLOOKUP($G74,Coords[],4,FALSE)-VLOOKUP(V$5,Coords[],4,FALSE))^2)))</f>
        <v>1000</v>
      </c>
      <c r="W74" s="10">
        <f>IF($G74=W$5,1000,IF(W$4=0,1000,SQRT((VLOOKUP($G74,Coords[],3,FALSE)-VLOOKUP(W$5,Coords[],3,FALSE))^2+(VLOOKUP($G74,Coords[],4,FALSE)-VLOOKUP(W$5,Coords[],4,FALSE))^2)))</f>
        <v>1000</v>
      </c>
      <c r="X74" s="10">
        <f>IF($G74=X$5,1000,IF(X$4=0,1000,SQRT((VLOOKUP($G74,Coords[],3,FALSE)-VLOOKUP(X$5,Coords[],3,FALSE))^2+(VLOOKUP($G74,Coords[],4,FALSE)-VLOOKUP(X$5,Coords[],4,FALSE))^2)))</f>
        <v>1000</v>
      </c>
      <c r="Y74" s="10">
        <f>IF($G74=Y$5,1000,IF(Y$4=0,1000,SQRT((VLOOKUP($G74,Coords[],3,FALSE)-VLOOKUP(Y$5,Coords[],3,FALSE))^2+(VLOOKUP($G74,Coords[],4,FALSE)-VLOOKUP(Y$5,Coords[],4,FALSE))^2)))</f>
        <v>1000</v>
      </c>
      <c r="Z74" s="10">
        <f>IF($G74=Z$5,1000,IF(Z$4=0,1000,SQRT((VLOOKUP($G74,Coords[],3,FALSE)-VLOOKUP(Z$5,Coords[],3,FALSE))^2+(VLOOKUP($G74,Coords[],4,FALSE)-VLOOKUP(Z$5,Coords[],4,FALSE))^2)))</f>
        <v>1000</v>
      </c>
      <c r="AA74" s="10">
        <f>IF($G74=AA$5,1000,IF(AA$4=0,1000,SQRT((VLOOKUP($G74,Coords[],3,FALSE)-VLOOKUP(AA$5,Coords[],3,FALSE))^2+(VLOOKUP($G74,Coords[],4,FALSE)-VLOOKUP(AA$5,Coords[],4,FALSE))^2)))</f>
        <v>1000</v>
      </c>
      <c r="AB74" s="10">
        <f>IF($G74=AB$5,1000,IF(AB$4=0,1000,SQRT((VLOOKUP($G74,Coords[],3,FALSE)-VLOOKUP(AB$5,Coords[],3,FALSE))^2+(VLOOKUP($G74,Coords[],4,FALSE)-VLOOKUP(AB$5,Coords[],4,FALSE))^2)))</f>
        <v>1000</v>
      </c>
      <c r="AC74" s="10">
        <f>IF($G74=AC$5,1000,IF(AC$4=0,1000,SQRT((VLOOKUP($G74,Coords[],3,FALSE)-VLOOKUP(AC$5,Coords[],3,FALSE))^2+(VLOOKUP($G74,Coords[],4,FALSE)-VLOOKUP(AC$5,Coords[],4,FALSE))^2)))</f>
        <v>1000</v>
      </c>
      <c r="AD74" s="10">
        <f>IF($G74=AD$5,1000,IF(AD$4=0,1000,SQRT((VLOOKUP($G74,Coords[],3,FALSE)-VLOOKUP(AD$5,Coords[],3,FALSE))^2+(VLOOKUP($G74,Coords[],4,FALSE)-VLOOKUP(AD$5,Coords[],4,FALSE))^2)))</f>
        <v>1000</v>
      </c>
      <c r="AE74" s="10">
        <f>IF($G74=AE$5,1000,IF(AE$4=0,1000,SQRT((VLOOKUP($G74,Coords[],3,FALSE)-VLOOKUP(AE$5,Coords[],3,FALSE))^2+(VLOOKUP($G74,Coords[],4,FALSE)-VLOOKUP(AE$5,Coords[],4,FALSE))^2)))</f>
        <v>1000</v>
      </c>
      <c r="AF74" s="10">
        <f>IF($G74=AF$5,1000,IF(AF$4=0,1000,SQRT((VLOOKUP($G74,Coords[],3,FALSE)-VLOOKUP(AF$5,Coords[],3,FALSE))^2+(VLOOKUP($G74,Coords[],4,FALSE)-VLOOKUP(AF$5,Coords[],4,FALSE))^2)))</f>
        <v>1000</v>
      </c>
      <c r="AG74" s="10">
        <f>IF($G74=AG$5,1000,IF(AG$4=0,1000,SQRT((VLOOKUP($G74,Coords[],3,FALSE)-VLOOKUP(AG$5,Coords[],3,FALSE))^2+(VLOOKUP($G74,Coords[],4,FALSE)-VLOOKUP(AG$5,Coords[],4,FALSE))^2)))</f>
        <v>1000</v>
      </c>
      <c r="AH74" s="10">
        <f>IF($G74=AH$5,1000,IF(AH$4=0,1000,SQRT((VLOOKUP($G74,Coords[],3,FALSE)-VLOOKUP(AH$5,Coords[],3,FALSE))^2+(VLOOKUP($G74,Coords[],4,FALSE)-VLOOKUP(AH$5,Coords[],4,FALSE))^2)))</f>
        <v>1000</v>
      </c>
      <c r="AI74" s="10">
        <f>IF($G74=AI$5,1000,IF(AI$4=0,1000,SQRT((VLOOKUP($G74,Coords[],3,FALSE)-VLOOKUP(AI$5,Coords[],3,FALSE))^2+(VLOOKUP($G74,Coords[],4,FALSE)-VLOOKUP(AI$5,Coords[],4,FALSE))^2)))</f>
        <v>1000</v>
      </c>
      <c r="AJ74" s="10">
        <f>IF($G74=AJ$5,1000,IF(AJ$4=0,1000,SQRT((VLOOKUP($G74,Coords[],3,FALSE)-VLOOKUP(AJ$5,Coords[],3,FALSE))^2+(VLOOKUP($G74,Coords[],4,FALSE)-VLOOKUP(AJ$5,Coords[],4,FALSE))^2)))</f>
        <v>1000</v>
      </c>
      <c r="AK74" s="10">
        <f>IF($G74=AK$5,1000,IF(AK$4=0,1000,SQRT((VLOOKUP($G74,Coords[],3,FALSE)-VLOOKUP(AK$5,Coords[],3,FALSE))^2+(VLOOKUP($G74,Coords[],4,FALSE)-VLOOKUP(AK$5,Coords[],4,FALSE))^2)))</f>
        <v>1000</v>
      </c>
      <c r="AL74" s="10">
        <f>IF($G74=AL$5,1000,IF(AL$4=0,1000,SQRT((VLOOKUP($G74,Coords[],3,FALSE)-VLOOKUP(AL$5,Coords[],3,FALSE))^2+(VLOOKUP($G74,Coords[],4,FALSE)-VLOOKUP(AL$5,Coords[],4,FALSE))^2)))</f>
        <v>1000</v>
      </c>
      <c r="AM74" s="10">
        <f>IF($G74=AM$5,1000,IF(AM$4=0,1000,SQRT((VLOOKUP($G74,Coords[],3,FALSE)-VLOOKUP(AM$5,Coords[],3,FALSE))^2+(VLOOKUP($G74,Coords[],4,FALSE)-VLOOKUP(AM$5,Coords[],4,FALSE))^2)))</f>
        <v>1000</v>
      </c>
      <c r="AN74" s="10">
        <f>IF($G74=AN$5,1000,IF(AN$4=0,1000,SQRT((VLOOKUP($G74,Coords[],3,FALSE)-VLOOKUP(AN$5,Coords[],3,FALSE))^2+(VLOOKUP($G74,Coords[],4,FALSE)-VLOOKUP(AN$5,Coords[],4,FALSE))^2)))</f>
        <v>1000</v>
      </c>
      <c r="AO74" s="10">
        <f>IF($G74=AO$5,1000,IF(AO$4=0,1000,SQRT((VLOOKUP($G74,Coords[],3,FALSE)-VLOOKUP(AO$5,Coords[],3,FALSE))^2+(VLOOKUP($G74,Coords[],4,FALSE)-VLOOKUP(AO$5,Coords[],4,FALSE))^2)))</f>
        <v>1000</v>
      </c>
      <c r="AP74" s="10">
        <f>IF($G74=AP$5,1000,IF(AP$4=0,1000,SQRT((VLOOKUP($G74,Coords[],3,FALSE)-VLOOKUP(AP$5,Coords[],3,FALSE))^2+(VLOOKUP($G74,Coords[],4,FALSE)-VLOOKUP(AP$5,Coords[],4,FALSE))^2)))</f>
        <v>1000</v>
      </c>
      <c r="AQ74" s="10">
        <f>IF($G74=AQ$5,1000,IF(AQ$4=0,1000,SQRT((VLOOKUP($G74,Coords[],3,FALSE)-VLOOKUP(AQ$5,Coords[],3,FALSE))^2+(VLOOKUP($G74,Coords[],4,FALSE)-VLOOKUP(AQ$5,Coords[],4,FALSE))^2)))</f>
        <v>1000</v>
      </c>
      <c r="AR74" s="10">
        <f>IF($G74=AR$5,1000,IF(AR$4=0,1000,SQRT((VLOOKUP($G74,Coords[],3,FALSE)-VLOOKUP(AR$5,Coords[],3,FALSE))^2+(VLOOKUP($G74,Coords[],4,FALSE)-VLOOKUP(AR$5,Coords[],4,FALSE))^2)))</f>
        <v>1000</v>
      </c>
      <c r="AS74" s="10">
        <f>IF($G74=AS$5,1000,IF(AS$4=0,1000,SQRT((VLOOKUP($G74,Coords[],3,FALSE)-VLOOKUP(AS$5,Coords[],3,FALSE))^2+(VLOOKUP($G74,Coords[],4,FALSE)-VLOOKUP(AS$5,Coords[],4,FALSE))^2)))</f>
        <v>1000</v>
      </c>
      <c r="AT74" s="10">
        <f>IF($G74=AT$5,1000,IF(AT$4=0,1000,SQRT((VLOOKUP($G74,Coords[],3,FALSE)-VLOOKUP(AT$5,Coords[],3,FALSE))^2+(VLOOKUP($G74,Coords[],4,FALSE)-VLOOKUP(AT$5,Coords[],4,FALSE))^2)))</f>
        <v>1000</v>
      </c>
      <c r="AU74" s="10">
        <f>IF($G74=AU$5,1000,IF(AU$4=0,1000,SQRT((VLOOKUP($G74,Coords[],3,FALSE)-VLOOKUP(AU$5,Coords[],3,FALSE))^2+(VLOOKUP($G74,Coords[],4,FALSE)-VLOOKUP(AU$5,Coords[],4,FALSE))^2)))</f>
        <v>1000</v>
      </c>
      <c r="AV74" s="10">
        <f>IF($G74=AV$5,1000,IF(AV$4=0,1000,SQRT((VLOOKUP($G74,Coords[],3,FALSE)-VLOOKUP(AV$5,Coords[],3,FALSE))^2+(VLOOKUP($G74,Coords[],4,FALSE)-VLOOKUP(AV$5,Coords[],4,FALSE))^2)))</f>
        <v>1000</v>
      </c>
      <c r="AW74" s="10">
        <f>IF($G74=AW$5,1000,IF(AW$4=0,1000,SQRT((VLOOKUP($G74,Coords[],3,FALSE)-VLOOKUP(AW$5,Coords[],3,FALSE))^2+(VLOOKUP($G74,Coords[],4,FALSE)-VLOOKUP(AW$5,Coords[],4,FALSE))^2)))</f>
        <v>1000</v>
      </c>
      <c r="AX74" s="10">
        <f>IF($G74=AX$5,1000,IF(AX$4=0,1000,SQRT((VLOOKUP($G74,Coords[],3,FALSE)-VLOOKUP(AX$5,Coords[],3,FALSE))^2+(VLOOKUP($G74,Coords[],4,FALSE)-VLOOKUP(AX$5,Coords[],4,FALSE))^2)))</f>
        <v>1000</v>
      </c>
      <c r="AY74" s="10">
        <f>IF($G74=AY$5,1000,IF(AY$4=0,1000,SQRT((VLOOKUP($G74,Coords[],3,FALSE)-VLOOKUP(AY$5,Coords[],3,FALSE))^2+(VLOOKUP($G74,Coords[],4,FALSE)-VLOOKUP(AY$5,Coords[],4,FALSE))^2)))</f>
        <v>1000</v>
      </c>
      <c r="AZ74" s="10">
        <f>IF($G74=AZ$5,1000,IF(AZ$4=0,1000,SQRT((VLOOKUP($G74,Coords[],3,FALSE)-VLOOKUP(AZ$5,Coords[],3,FALSE))^2+(VLOOKUP($G74,Coords[],4,FALSE)-VLOOKUP(AZ$5,Coords[],4,FALSE))^2)))</f>
        <v>1000</v>
      </c>
      <c r="BA74" s="10">
        <f>IF($G74=BA$5,1000,IF(BA$4=0,1000,SQRT((VLOOKUP($G74,Coords[],3,FALSE)-VLOOKUP(BA$5,Coords[],3,FALSE))^2+(VLOOKUP($G74,Coords[],4,FALSE)-VLOOKUP(BA$5,Coords[],4,FALSE))^2)))</f>
        <v>1000</v>
      </c>
      <c r="BB74" s="10">
        <f>IF($G74=BB$5,1000,IF(BB$4=0,1000,SQRT((VLOOKUP($G74,Coords[],3,FALSE)-VLOOKUP(BB$5,Coords[],3,FALSE))^2+(VLOOKUP($G74,Coords[],4,FALSE)-VLOOKUP(BB$5,Coords[],4,FALSE))^2)))</f>
        <v>1000</v>
      </c>
      <c r="BC74" s="10">
        <f>IF($G74=BC$5,1000,IF(BC$4=0,1000,SQRT((VLOOKUP($G74,Coords[],3,FALSE)-VLOOKUP(BC$5,Coords[],3,FALSE))^2+(VLOOKUP($G74,Coords[],4,FALSE)-VLOOKUP(BC$5,Coords[],4,FALSE))^2)))</f>
        <v>1000</v>
      </c>
      <c r="BD74" s="10">
        <f>IF($G74=BD$5,1000,IF(BD$4=0,1000,SQRT((VLOOKUP($G74,Coords[],3,FALSE)-VLOOKUP(BD$5,Coords[],3,FALSE))^2+(VLOOKUP($G74,Coords[],4,FALSE)-VLOOKUP(BD$5,Coords[],4,FALSE))^2)))</f>
        <v>1000</v>
      </c>
      <c r="BE74" s="10">
        <f>IF($G74=BE$5,1000,IF(BE$4=0,1000,SQRT((VLOOKUP($G74,Coords[],3,FALSE)-VLOOKUP(BE$5,Coords[],3,FALSE))^2+(VLOOKUP($G74,Coords[],4,FALSE)-VLOOKUP(BE$5,Coords[],4,FALSE))^2)))</f>
        <v>1000</v>
      </c>
      <c r="BF74" s="10">
        <f>IF($G74=BF$5,1000,IF(BF$4=0,1000,SQRT((VLOOKUP($G74,Coords[],3,FALSE)-VLOOKUP(BF$5,Coords[],3,FALSE))^2+(VLOOKUP($G74,Coords[],4,FALSE)-VLOOKUP(BF$5,Coords[],4,FALSE))^2)))</f>
        <v>1000</v>
      </c>
      <c r="BG74" s="10">
        <f>IF($G74=BG$5,1000,IF(BG$4=0,1000,SQRT((VLOOKUP($G74,Coords[],3,FALSE)-VLOOKUP(BG$5,Coords[],3,FALSE))^2+(VLOOKUP($G74,Coords[],4,FALSE)-VLOOKUP(BG$5,Coords[],4,FALSE))^2)))</f>
        <v>1000</v>
      </c>
      <c r="BH74" s="10">
        <f>IF($G74=BH$5,1000,IF(BH$4=0,1000,SQRT((VLOOKUP($G74,Coords[],3,FALSE)-VLOOKUP(BH$5,Coords[],3,FALSE))^2+(VLOOKUP($G74,Coords[],4,FALSE)-VLOOKUP(BH$5,Coords[],4,FALSE))^2)))</f>
        <v>1000</v>
      </c>
      <c r="BI74" s="10">
        <f>IF($G74=BI$5,1000,IF(BI$4=0,1000,SQRT((VLOOKUP($G74,Coords[],3,FALSE)-VLOOKUP(BI$5,Coords[],3,FALSE))^2+(VLOOKUP($G74,Coords[],4,FALSE)-VLOOKUP(BI$5,Coords[],4,FALSE))^2)))</f>
        <v>1000</v>
      </c>
      <c r="BJ74" s="10">
        <f>IF($G74=BJ$5,1000,IF(BJ$4=0,1000,SQRT((VLOOKUP($G74,Coords[],3,FALSE)-VLOOKUP(BJ$5,Coords[],3,FALSE))^2+(VLOOKUP($G74,Coords[],4,FALSE)-VLOOKUP(BJ$5,Coords[],4,FALSE))^2)))</f>
        <v>1000</v>
      </c>
      <c r="BK74" s="10">
        <f>IF($G74=BK$5,1000,IF(BK$4=0,1000,SQRT((VLOOKUP($G74,Coords[],3,FALSE)-VLOOKUP(BK$5,Coords[],3,FALSE))^2+(VLOOKUP($G74,Coords[],4,FALSE)-VLOOKUP(BK$5,Coords[],4,FALSE))^2)))</f>
        <v>1000</v>
      </c>
      <c r="BL74" s="10">
        <f>IF($G74=BL$5,1000,IF(BL$4=0,1000,SQRT((VLOOKUP($G74,Coords[],3,FALSE)-VLOOKUP(BL$5,Coords[],3,FALSE))^2+(VLOOKUP($G74,Coords[],4,FALSE)-VLOOKUP(BL$5,Coords[],4,FALSE))^2)))</f>
        <v>1000</v>
      </c>
      <c r="BM74" s="10">
        <f>IF($G74=BM$5,1000,IF(BM$4=0,1000,SQRT((VLOOKUP($G74,Coords[],3,FALSE)-VLOOKUP(BM$5,Coords[],3,FALSE))^2+(VLOOKUP($G74,Coords[],4,FALSE)-VLOOKUP(BM$5,Coords[],4,FALSE))^2)))</f>
        <v>1000</v>
      </c>
      <c r="BN74" s="10">
        <f>IF($G74=BN$5,1000,IF(BN$4=0,1000,SQRT((VLOOKUP($G74,Coords[],3,FALSE)-VLOOKUP(BN$5,Coords[],3,FALSE))^2+(VLOOKUP($G74,Coords[],4,FALSE)-VLOOKUP(BN$5,Coords[],4,FALSE))^2)))</f>
        <v>1000</v>
      </c>
      <c r="BO74" s="10">
        <f>IF($G74=BO$5,1000,IF(BO$4=0,1000,SQRT((VLOOKUP($G74,Coords[],3,FALSE)-VLOOKUP(BO$5,Coords[],3,FALSE))^2+(VLOOKUP($G74,Coords[],4,FALSE)-VLOOKUP(BO$5,Coords[],4,FALSE))^2)))</f>
        <v>1000</v>
      </c>
      <c r="BP74" s="10">
        <f>IF($G74=BP$5,1000,IF(BP$4=0,1000,SQRT((VLOOKUP($G74,Coords[],3,FALSE)-VLOOKUP(BP$5,Coords[],3,FALSE))^2+(VLOOKUP($G74,Coords[],4,FALSE)-VLOOKUP(BP$5,Coords[],4,FALSE))^2)))</f>
        <v>1000</v>
      </c>
      <c r="BQ74" s="10">
        <f>IF($G74=BQ$5,1000,IF(BQ$4=0,1000,SQRT((VLOOKUP($G74,Coords[],3,FALSE)-VLOOKUP(BQ$5,Coords[],3,FALSE))^2+(VLOOKUP($G74,Coords[],4,FALSE)-VLOOKUP(BQ$5,Coords[],4,FALSE))^2)))</f>
        <v>1000</v>
      </c>
      <c r="BR74" s="10">
        <f>IF($G74=BR$5,1000,IF(BR$4=0,1000,SQRT((VLOOKUP($G74,Coords[],3,FALSE)-VLOOKUP(BR$5,Coords[],3,FALSE))^2+(VLOOKUP($G74,Coords[],4,FALSE)-VLOOKUP(BR$5,Coords[],4,FALSE))^2)))</f>
        <v>1000</v>
      </c>
      <c r="BS74" s="10">
        <f>IF($G74=BS$5,1000,IF(BS$4=0,1000,SQRT((VLOOKUP($G74,Coords[],3,FALSE)-VLOOKUP(BS$5,Coords[],3,FALSE))^2+(VLOOKUP($G74,Coords[],4,FALSE)-VLOOKUP(BS$5,Coords[],4,FALSE))^2)))</f>
        <v>1000</v>
      </c>
      <c r="BT74" s="10">
        <f>IF($G74=BT$5,1000,IF(BT$4=0,1000,SQRT((VLOOKUP($G74,Coords[],3,FALSE)-VLOOKUP(BT$5,Coords[],3,FALSE))^2+(VLOOKUP($G74,Coords[],4,FALSE)-VLOOKUP(BT$5,Coords[],4,FALSE))^2)))</f>
        <v>1000</v>
      </c>
      <c r="BU74" s="10">
        <f>IF($G74=BU$5,1000,IF(BU$4=0,1000,SQRT((VLOOKUP($G74,Coords[],3,FALSE)-VLOOKUP(BU$5,Coords[],3,FALSE))^2+(VLOOKUP($G74,Coords[],4,FALSE)-VLOOKUP(BU$5,Coords[],4,FALSE))^2)))</f>
        <v>1000</v>
      </c>
      <c r="BV74" s="10">
        <f>IF($G74=BV$5,1000,IF(BV$4=0,1000,SQRT((VLOOKUP($G74,Coords[],3,FALSE)-VLOOKUP(BV$5,Coords[],3,FALSE))^2+(VLOOKUP($G74,Coords[],4,FALSE)-VLOOKUP(BV$5,Coords[],4,FALSE))^2)))</f>
        <v>1000</v>
      </c>
      <c r="BW74" s="10">
        <f>IF($G74=BW$5,1000,IF(BW$4=0,1000,SQRT((VLOOKUP($G74,Coords[],3,FALSE)-VLOOKUP(BW$5,Coords[],3,FALSE))^2+(VLOOKUP($G74,Coords[],4,FALSE)-VLOOKUP(BW$5,Coords[],4,FALSE))^2)))</f>
        <v>1000</v>
      </c>
      <c r="BX74" s="10">
        <f>IF($G74=BX$5,1000,IF(BX$4=0,1000,SQRT((VLOOKUP($G74,Coords[],3,FALSE)-VLOOKUP(BX$5,Coords[],3,FALSE))^2+(VLOOKUP($G74,Coords[],4,FALSE)-VLOOKUP(BX$5,Coords[],4,FALSE))^2)))</f>
        <v>1000</v>
      </c>
      <c r="BY74" s="10">
        <f>IF($G74=BY$5,1000,IF(BY$4=0,1000,SQRT((VLOOKUP($G74,Coords[],3,FALSE)-VLOOKUP(BY$5,Coords[],3,FALSE))^2+(VLOOKUP($G74,Coords[],4,FALSE)-VLOOKUP(BY$5,Coords[],4,FALSE))^2)))</f>
        <v>1000</v>
      </c>
      <c r="BZ74" s="10">
        <f>IF($G74=BZ$5,1000,IF(BZ$4=0,1000,SQRT((VLOOKUP($G74,Coords[],3,FALSE)-VLOOKUP(BZ$5,Coords[],3,FALSE))^2+(VLOOKUP($G74,Coords[],4,FALSE)-VLOOKUP(BZ$5,Coords[],4,FALSE))^2)))</f>
        <v>1000</v>
      </c>
      <c r="CA74" s="10">
        <f>IF($G74=CA$5,1000,IF(CA$4=0,1000,SQRT((VLOOKUP($G74,Coords[],3,FALSE)-VLOOKUP(CA$5,Coords[],3,FALSE))^2+(VLOOKUP($G74,Coords[],4,FALSE)-VLOOKUP(CA$5,Coords[],4,FALSE))^2)))</f>
        <v>1000</v>
      </c>
      <c r="CB74" s="10">
        <f>IF($G74=CB$5,1000,IF(CB$4=0,1000,SQRT((VLOOKUP($G74,Coords[],3,FALSE)-VLOOKUP(CB$5,Coords[],3,FALSE))^2+(VLOOKUP($G74,Coords[],4,FALSE)-VLOOKUP(CB$5,Coords[],4,FALSE))^2)))</f>
        <v>1000</v>
      </c>
      <c r="CC74" s="10">
        <f>IF($G74=CC$5,1000,IF(CC$4=0,1000,SQRT((VLOOKUP($G74,Coords[],3,FALSE)-VLOOKUP(CC$5,Coords[],3,FALSE))^2+(VLOOKUP($G74,Coords[],4,FALSE)-VLOOKUP(CC$5,Coords[],4,FALSE))^2)))</f>
        <v>1000</v>
      </c>
      <c r="CD74" s="10">
        <f>IF($G74=CD$5,1000,IF(CD$4=0,1000,SQRT((VLOOKUP($G74,Coords[],3,FALSE)-VLOOKUP(CD$5,Coords[],3,FALSE))^2+(VLOOKUP($G74,Coords[],4,FALSE)-VLOOKUP(CD$5,Coords[],4,FALSE))^2)))</f>
        <v>1000</v>
      </c>
      <c r="CE74" s="10">
        <f>IF($G74=CE$5,1000,IF(CE$4=0,1000,SQRT((VLOOKUP($G74,Coords[],3,FALSE)-VLOOKUP(CE$5,Coords[],3,FALSE))^2+(VLOOKUP($G74,Coords[],4,FALSE)-VLOOKUP(CE$5,Coords[],4,FALSE))^2)))</f>
        <v>1000</v>
      </c>
      <c r="CF74" s="4">
        <v>69</v>
      </c>
      <c r="CH74" s="5">
        <f>IF(E74=1,0,VLOOKUP($G74,$G$6:$CE$82,HLOOKUP(MIN(H74:CE74),$H74:$CE$82,((COUNT($G$6:$G$81)+2)-$G74),FALSE)+1,FALSE)*B74)</f>
        <v>0</v>
      </c>
      <c r="CI74" s="9">
        <f>VLOOKUP($G74,$G$6:$CE$82,HLOOKUP(MIN(H74:CE74),$H74:$CE$82,((COUNT($G$6:$G$81)+2)-$G74),FALSE)+1,FALSE)</f>
        <v>1000</v>
      </c>
      <c r="CJ74" s="7">
        <f>HLOOKUP(MIN(H74:CE74),$H74:$CE$82,((COUNT($G$6:$G$81)+2)-$G74),FALSE)</f>
        <v>1</v>
      </c>
      <c r="CK74">
        <f>CI74*Coords[[#This Row],[Demand]]</f>
        <v>0</v>
      </c>
    </row>
    <row r="75" spans="1:89" x14ac:dyDescent="0.25">
      <c r="A75" s="8">
        <v>70</v>
      </c>
      <c r="B75" s="3"/>
      <c r="C75" s="3"/>
      <c r="D75" s="3"/>
      <c r="E75" s="3"/>
      <c r="G75" s="4">
        <v>70</v>
      </c>
      <c r="H75" s="10">
        <f>IF($G75=H$5,1000,IF(H$4=0,1000,SQRT((VLOOKUP($G75,Coords[],3,FALSE)-VLOOKUP(H$5,Coords[],3,FALSE))^2+(VLOOKUP($G75,Coords[],4,FALSE)-VLOOKUP(H$5,Coords[],4,FALSE))^2)))</f>
        <v>1000</v>
      </c>
      <c r="I75" s="10">
        <f>IF($G75=I$5,1000,IF(I$4=0,1000,SQRT((VLOOKUP($G75,Coords[],3,FALSE)-VLOOKUP(I$5,Coords[],3,FALSE))^2+(VLOOKUP($G75,Coords[],4,FALSE)-VLOOKUP(I$5,Coords[],4,FALSE))^2)))</f>
        <v>1000</v>
      </c>
      <c r="J75" s="10">
        <f>IF($G75=J$5,1000,IF(J$4=0,1000,SQRT((VLOOKUP($G75,Coords[],3,FALSE)-VLOOKUP(J$5,Coords[],3,FALSE))^2+(VLOOKUP($G75,Coords[],4,FALSE)-VLOOKUP(J$5,Coords[],4,FALSE))^2)))</f>
        <v>1000</v>
      </c>
      <c r="K75" s="10">
        <f>IF($G75=K$5,1000,IF(K$4=0,1000,SQRT((VLOOKUP($G75,Coords[],3,FALSE)-VLOOKUP(K$5,Coords[],3,FALSE))^2+(VLOOKUP($G75,Coords[],4,FALSE)-VLOOKUP(K$5,Coords[],4,FALSE))^2)))</f>
        <v>1000</v>
      </c>
      <c r="L75" s="10">
        <f>IF($G75=L$5,1000,IF(L$4=0,1000,SQRT((VLOOKUP($G75,Coords[],3,FALSE)-VLOOKUP(L$5,Coords[],3,FALSE))^2+(VLOOKUP($G75,Coords[],4,FALSE)-VLOOKUP(L$5,Coords[],4,FALSE))^2)))</f>
        <v>1000</v>
      </c>
      <c r="M75" s="10">
        <f>IF($G75=M$5,1000,IF(M$4=0,1000,SQRT((VLOOKUP($G75,Coords[],3,FALSE)-VLOOKUP(M$5,Coords[],3,FALSE))^2+(VLOOKUP($G75,Coords[],4,FALSE)-VLOOKUP(M$5,Coords[],4,FALSE))^2)))</f>
        <v>1000</v>
      </c>
      <c r="N75" s="10">
        <f>IF($G75=N$5,1000,IF(N$4=0,1000,SQRT((VLOOKUP($G75,Coords[],3,FALSE)-VLOOKUP(N$5,Coords[],3,FALSE))^2+(VLOOKUP($G75,Coords[],4,FALSE)-VLOOKUP(N$5,Coords[],4,FALSE))^2)))</f>
        <v>1000</v>
      </c>
      <c r="O75" s="10">
        <f>IF($G75=O$5,1000,IF(O$4=0,1000,SQRT((VLOOKUP($G75,Coords[],3,FALSE)-VLOOKUP(O$5,Coords[],3,FALSE))^2+(VLOOKUP($G75,Coords[],4,FALSE)-VLOOKUP(O$5,Coords[],4,FALSE))^2)))</f>
        <v>1000</v>
      </c>
      <c r="P75" s="10">
        <f>IF($G75=P$5,1000,IF(P$4=0,1000,SQRT((VLOOKUP($G75,Coords[],3,FALSE)-VLOOKUP(P$5,Coords[],3,FALSE))^2+(VLOOKUP($G75,Coords[],4,FALSE)-VLOOKUP(P$5,Coords[],4,FALSE))^2)))</f>
        <v>1000</v>
      </c>
      <c r="Q75" s="10">
        <f>IF($G75=Q$5,1000,IF(Q$4=0,1000,SQRT((VLOOKUP($G75,Coords[],3,FALSE)-VLOOKUP(Q$5,Coords[],3,FALSE))^2+(VLOOKUP($G75,Coords[],4,FALSE)-VLOOKUP(Q$5,Coords[],4,FALSE))^2)))</f>
        <v>1000</v>
      </c>
      <c r="R75" s="10">
        <f>IF($G75=R$5,1000,IF(R$4=0,1000,SQRT((VLOOKUP($G75,Coords[],3,FALSE)-VLOOKUP(R$5,Coords[],3,FALSE))^2+(VLOOKUP($G75,Coords[],4,FALSE)-VLOOKUP(R$5,Coords[],4,FALSE))^2)))</f>
        <v>1000</v>
      </c>
      <c r="S75" s="10">
        <f>IF($G75=S$5,1000,IF(S$4=0,1000,SQRT((VLOOKUP($G75,Coords[],3,FALSE)-VLOOKUP(S$5,Coords[],3,FALSE))^2+(VLOOKUP($G75,Coords[],4,FALSE)-VLOOKUP(S$5,Coords[],4,FALSE))^2)))</f>
        <v>1000</v>
      </c>
      <c r="T75" s="10">
        <f>IF($G75=T$5,1000,IF(T$4=0,1000,SQRT((VLOOKUP($G75,Coords[],3,FALSE)-VLOOKUP(T$5,Coords[],3,FALSE))^2+(VLOOKUP($G75,Coords[],4,FALSE)-VLOOKUP(T$5,Coords[],4,FALSE))^2)))</f>
        <v>1000</v>
      </c>
      <c r="U75" s="10">
        <f>IF($G75=U$5,1000,IF(U$4=0,1000,SQRT((VLOOKUP($G75,Coords[],3,FALSE)-VLOOKUP(U$5,Coords[],3,FALSE))^2+(VLOOKUP($G75,Coords[],4,FALSE)-VLOOKUP(U$5,Coords[],4,FALSE))^2)))</f>
        <v>1000</v>
      </c>
      <c r="V75" s="10">
        <f>IF($G75=V$5,1000,IF(V$4=0,1000,SQRT((VLOOKUP($G75,Coords[],3,FALSE)-VLOOKUP(V$5,Coords[],3,FALSE))^2+(VLOOKUP($G75,Coords[],4,FALSE)-VLOOKUP(V$5,Coords[],4,FALSE))^2)))</f>
        <v>1000</v>
      </c>
      <c r="W75" s="10">
        <f>IF($G75=W$5,1000,IF(W$4=0,1000,SQRT((VLOOKUP($G75,Coords[],3,FALSE)-VLOOKUP(W$5,Coords[],3,FALSE))^2+(VLOOKUP($G75,Coords[],4,FALSE)-VLOOKUP(W$5,Coords[],4,FALSE))^2)))</f>
        <v>1000</v>
      </c>
      <c r="X75" s="10">
        <f>IF($G75=X$5,1000,IF(X$4=0,1000,SQRT((VLOOKUP($G75,Coords[],3,FALSE)-VLOOKUP(X$5,Coords[],3,FALSE))^2+(VLOOKUP($G75,Coords[],4,FALSE)-VLOOKUP(X$5,Coords[],4,FALSE))^2)))</f>
        <v>1000</v>
      </c>
      <c r="Y75" s="10">
        <f>IF($G75=Y$5,1000,IF(Y$4=0,1000,SQRT((VLOOKUP($G75,Coords[],3,FALSE)-VLOOKUP(Y$5,Coords[],3,FALSE))^2+(VLOOKUP($G75,Coords[],4,FALSE)-VLOOKUP(Y$5,Coords[],4,FALSE))^2)))</f>
        <v>1000</v>
      </c>
      <c r="Z75" s="10">
        <f>IF($G75=Z$5,1000,IF(Z$4=0,1000,SQRT((VLOOKUP($G75,Coords[],3,FALSE)-VLOOKUP(Z$5,Coords[],3,FALSE))^2+(VLOOKUP($G75,Coords[],4,FALSE)-VLOOKUP(Z$5,Coords[],4,FALSE))^2)))</f>
        <v>1000</v>
      </c>
      <c r="AA75" s="10">
        <f>IF($G75=AA$5,1000,IF(AA$4=0,1000,SQRT((VLOOKUP($G75,Coords[],3,FALSE)-VLOOKUP(AA$5,Coords[],3,FALSE))^2+(VLOOKUP($G75,Coords[],4,FALSE)-VLOOKUP(AA$5,Coords[],4,FALSE))^2)))</f>
        <v>1000</v>
      </c>
      <c r="AB75" s="10">
        <f>IF($G75=AB$5,1000,IF(AB$4=0,1000,SQRT((VLOOKUP($G75,Coords[],3,FALSE)-VLOOKUP(AB$5,Coords[],3,FALSE))^2+(VLOOKUP($G75,Coords[],4,FALSE)-VLOOKUP(AB$5,Coords[],4,FALSE))^2)))</f>
        <v>1000</v>
      </c>
      <c r="AC75" s="10">
        <f>IF($G75=AC$5,1000,IF(AC$4=0,1000,SQRT((VLOOKUP($G75,Coords[],3,FALSE)-VLOOKUP(AC$5,Coords[],3,FALSE))^2+(VLOOKUP($G75,Coords[],4,FALSE)-VLOOKUP(AC$5,Coords[],4,FALSE))^2)))</f>
        <v>1000</v>
      </c>
      <c r="AD75" s="10">
        <f>IF($G75=AD$5,1000,IF(AD$4=0,1000,SQRT((VLOOKUP($G75,Coords[],3,FALSE)-VLOOKUP(AD$5,Coords[],3,FALSE))^2+(VLOOKUP($G75,Coords[],4,FALSE)-VLOOKUP(AD$5,Coords[],4,FALSE))^2)))</f>
        <v>1000</v>
      </c>
      <c r="AE75" s="10">
        <f>IF($G75=AE$5,1000,IF(AE$4=0,1000,SQRT((VLOOKUP($G75,Coords[],3,FALSE)-VLOOKUP(AE$5,Coords[],3,FALSE))^2+(VLOOKUP($G75,Coords[],4,FALSE)-VLOOKUP(AE$5,Coords[],4,FALSE))^2)))</f>
        <v>1000</v>
      </c>
      <c r="AF75" s="10">
        <f>IF($G75=AF$5,1000,IF(AF$4=0,1000,SQRT((VLOOKUP($G75,Coords[],3,FALSE)-VLOOKUP(AF$5,Coords[],3,FALSE))^2+(VLOOKUP($G75,Coords[],4,FALSE)-VLOOKUP(AF$5,Coords[],4,FALSE))^2)))</f>
        <v>1000</v>
      </c>
      <c r="AG75" s="10">
        <f>IF($G75=AG$5,1000,IF(AG$4=0,1000,SQRT((VLOOKUP($G75,Coords[],3,FALSE)-VLOOKUP(AG$5,Coords[],3,FALSE))^2+(VLOOKUP($G75,Coords[],4,FALSE)-VLOOKUP(AG$5,Coords[],4,FALSE))^2)))</f>
        <v>1000</v>
      </c>
      <c r="AH75" s="10">
        <f>IF($G75=AH$5,1000,IF(AH$4=0,1000,SQRT((VLOOKUP($G75,Coords[],3,FALSE)-VLOOKUP(AH$5,Coords[],3,FALSE))^2+(VLOOKUP($G75,Coords[],4,FALSE)-VLOOKUP(AH$5,Coords[],4,FALSE))^2)))</f>
        <v>1000</v>
      </c>
      <c r="AI75" s="10">
        <f>IF($G75=AI$5,1000,IF(AI$4=0,1000,SQRT((VLOOKUP($G75,Coords[],3,FALSE)-VLOOKUP(AI$5,Coords[],3,FALSE))^2+(VLOOKUP($G75,Coords[],4,FALSE)-VLOOKUP(AI$5,Coords[],4,FALSE))^2)))</f>
        <v>1000</v>
      </c>
      <c r="AJ75" s="10">
        <f>IF($G75=AJ$5,1000,IF(AJ$4=0,1000,SQRT((VLOOKUP($G75,Coords[],3,FALSE)-VLOOKUP(AJ$5,Coords[],3,FALSE))^2+(VLOOKUP($G75,Coords[],4,FALSE)-VLOOKUP(AJ$5,Coords[],4,FALSE))^2)))</f>
        <v>1000</v>
      </c>
      <c r="AK75" s="10">
        <f>IF($G75=AK$5,1000,IF(AK$4=0,1000,SQRT((VLOOKUP($G75,Coords[],3,FALSE)-VLOOKUP(AK$5,Coords[],3,FALSE))^2+(VLOOKUP($G75,Coords[],4,FALSE)-VLOOKUP(AK$5,Coords[],4,FALSE))^2)))</f>
        <v>1000</v>
      </c>
      <c r="AL75" s="10">
        <f>IF($G75=AL$5,1000,IF(AL$4=0,1000,SQRT((VLOOKUP($G75,Coords[],3,FALSE)-VLOOKUP(AL$5,Coords[],3,FALSE))^2+(VLOOKUP($G75,Coords[],4,FALSE)-VLOOKUP(AL$5,Coords[],4,FALSE))^2)))</f>
        <v>1000</v>
      </c>
      <c r="AM75" s="10">
        <f>IF($G75=AM$5,1000,IF(AM$4=0,1000,SQRT((VLOOKUP($G75,Coords[],3,FALSE)-VLOOKUP(AM$5,Coords[],3,FALSE))^2+(VLOOKUP($G75,Coords[],4,FALSE)-VLOOKUP(AM$5,Coords[],4,FALSE))^2)))</f>
        <v>1000</v>
      </c>
      <c r="AN75" s="10">
        <f>IF($G75=AN$5,1000,IF(AN$4=0,1000,SQRT((VLOOKUP($G75,Coords[],3,FALSE)-VLOOKUP(AN$5,Coords[],3,FALSE))^2+(VLOOKUP($G75,Coords[],4,FALSE)-VLOOKUP(AN$5,Coords[],4,FALSE))^2)))</f>
        <v>1000</v>
      </c>
      <c r="AO75" s="10">
        <f>IF($G75=AO$5,1000,IF(AO$4=0,1000,SQRT((VLOOKUP($G75,Coords[],3,FALSE)-VLOOKUP(AO$5,Coords[],3,FALSE))^2+(VLOOKUP($G75,Coords[],4,FALSE)-VLOOKUP(AO$5,Coords[],4,FALSE))^2)))</f>
        <v>1000</v>
      </c>
      <c r="AP75" s="10">
        <f>IF($G75=AP$5,1000,IF(AP$4=0,1000,SQRT((VLOOKUP($G75,Coords[],3,FALSE)-VLOOKUP(AP$5,Coords[],3,FALSE))^2+(VLOOKUP($G75,Coords[],4,FALSE)-VLOOKUP(AP$5,Coords[],4,FALSE))^2)))</f>
        <v>1000</v>
      </c>
      <c r="AQ75" s="10">
        <f>IF($G75=AQ$5,1000,IF(AQ$4=0,1000,SQRT((VLOOKUP($G75,Coords[],3,FALSE)-VLOOKUP(AQ$5,Coords[],3,FALSE))^2+(VLOOKUP($G75,Coords[],4,FALSE)-VLOOKUP(AQ$5,Coords[],4,FALSE))^2)))</f>
        <v>1000</v>
      </c>
      <c r="AR75" s="10">
        <f>IF($G75=AR$5,1000,IF(AR$4=0,1000,SQRT((VLOOKUP($G75,Coords[],3,FALSE)-VLOOKUP(AR$5,Coords[],3,FALSE))^2+(VLOOKUP($G75,Coords[],4,FALSE)-VLOOKUP(AR$5,Coords[],4,FALSE))^2)))</f>
        <v>1000</v>
      </c>
      <c r="AS75" s="10">
        <f>IF($G75=AS$5,1000,IF(AS$4=0,1000,SQRT((VLOOKUP($G75,Coords[],3,FALSE)-VLOOKUP(AS$5,Coords[],3,FALSE))^2+(VLOOKUP($G75,Coords[],4,FALSE)-VLOOKUP(AS$5,Coords[],4,FALSE))^2)))</f>
        <v>1000</v>
      </c>
      <c r="AT75" s="10">
        <f>IF($G75=AT$5,1000,IF(AT$4=0,1000,SQRT((VLOOKUP($G75,Coords[],3,FALSE)-VLOOKUP(AT$5,Coords[],3,FALSE))^2+(VLOOKUP($G75,Coords[],4,FALSE)-VLOOKUP(AT$5,Coords[],4,FALSE))^2)))</f>
        <v>1000</v>
      </c>
      <c r="AU75" s="10">
        <f>IF($G75=AU$5,1000,IF(AU$4=0,1000,SQRT((VLOOKUP($G75,Coords[],3,FALSE)-VLOOKUP(AU$5,Coords[],3,FALSE))^2+(VLOOKUP($G75,Coords[],4,FALSE)-VLOOKUP(AU$5,Coords[],4,FALSE))^2)))</f>
        <v>1000</v>
      </c>
      <c r="AV75" s="10">
        <f>IF($G75=AV$5,1000,IF(AV$4=0,1000,SQRT((VLOOKUP($G75,Coords[],3,FALSE)-VLOOKUP(AV$5,Coords[],3,FALSE))^2+(VLOOKUP($G75,Coords[],4,FALSE)-VLOOKUP(AV$5,Coords[],4,FALSE))^2)))</f>
        <v>1000</v>
      </c>
      <c r="AW75" s="10">
        <f>IF($G75=AW$5,1000,IF(AW$4=0,1000,SQRT((VLOOKUP($G75,Coords[],3,FALSE)-VLOOKUP(AW$5,Coords[],3,FALSE))^2+(VLOOKUP($G75,Coords[],4,FALSE)-VLOOKUP(AW$5,Coords[],4,FALSE))^2)))</f>
        <v>1000</v>
      </c>
      <c r="AX75" s="10">
        <f>IF($G75=AX$5,1000,IF(AX$4=0,1000,SQRT((VLOOKUP($G75,Coords[],3,FALSE)-VLOOKUP(AX$5,Coords[],3,FALSE))^2+(VLOOKUP($G75,Coords[],4,FALSE)-VLOOKUP(AX$5,Coords[],4,FALSE))^2)))</f>
        <v>1000</v>
      </c>
      <c r="AY75" s="10">
        <f>IF($G75=AY$5,1000,IF(AY$4=0,1000,SQRT((VLOOKUP($G75,Coords[],3,FALSE)-VLOOKUP(AY$5,Coords[],3,FALSE))^2+(VLOOKUP($G75,Coords[],4,FALSE)-VLOOKUP(AY$5,Coords[],4,FALSE))^2)))</f>
        <v>1000</v>
      </c>
      <c r="AZ75" s="10">
        <f>IF($G75=AZ$5,1000,IF(AZ$4=0,1000,SQRT((VLOOKUP($G75,Coords[],3,FALSE)-VLOOKUP(AZ$5,Coords[],3,FALSE))^2+(VLOOKUP($G75,Coords[],4,FALSE)-VLOOKUP(AZ$5,Coords[],4,FALSE))^2)))</f>
        <v>1000</v>
      </c>
      <c r="BA75" s="10">
        <f>IF($G75=BA$5,1000,IF(BA$4=0,1000,SQRT((VLOOKUP($G75,Coords[],3,FALSE)-VLOOKUP(BA$5,Coords[],3,FALSE))^2+(VLOOKUP($G75,Coords[],4,FALSE)-VLOOKUP(BA$5,Coords[],4,FALSE))^2)))</f>
        <v>1000</v>
      </c>
      <c r="BB75" s="10">
        <f>IF($G75=BB$5,1000,IF(BB$4=0,1000,SQRT((VLOOKUP($G75,Coords[],3,FALSE)-VLOOKUP(BB$5,Coords[],3,FALSE))^2+(VLOOKUP($G75,Coords[],4,FALSE)-VLOOKUP(BB$5,Coords[],4,FALSE))^2)))</f>
        <v>1000</v>
      </c>
      <c r="BC75" s="10">
        <f>IF($G75=BC$5,1000,IF(BC$4=0,1000,SQRT((VLOOKUP($G75,Coords[],3,FALSE)-VLOOKUP(BC$5,Coords[],3,FALSE))^2+(VLOOKUP($G75,Coords[],4,FALSE)-VLOOKUP(BC$5,Coords[],4,FALSE))^2)))</f>
        <v>1000</v>
      </c>
      <c r="BD75" s="10">
        <f>IF($G75=BD$5,1000,IF(BD$4=0,1000,SQRT((VLOOKUP($G75,Coords[],3,FALSE)-VLOOKUP(BD$5,Coords[],3,FALSE))^2+(VLOOKUP($G75,Coords[],4,FALSE)-VLOOKUP(BD$5,Coords[],4,FALSE))^2)))</f>
        <v>1000</v>
      </c>
      <c r="BE75" s="10">
        <f>IF($G75=BE$5,1000,IF(BE$4=0,1000,SQRT((VLOOKUP($G75,Coords[],3,FALSE)-VLOOKUP(BE$5,Coords[],3,FALSE))^2+(VLOOKUP($G75,Coords[],4,FALSE)-VLOOKUP(BE$5,Coords[],4,FALSE))^2)))</f>
        <v>1000</v>
      </c>
      <c r="BF75" s="10">
        <f>IF($G75=BF$5,1000,IF(BF$4=0,1000,SQRT((VLOOKUP($G75,Coords[],3,FALSE)-VLOOKUP(BF$5,Coords[],3,FALSE))^2+(VLOOKUP($G75,Coords[],4,FALSE)-VLOOKUP(BF$5,Coords[],4,FALSE))^2)))</f>
        <v>1000</v>
      </c>
      <c r="BG75" s="10">
        <f>IF($G75=BG$5,1000,IF(BG$4=0,1000,SQRT((VLOOKUP($G75,Coords[],3,FALSE)-VLOOKUP(BG$5,Coords[],3,FALSE))^2+(VLOOKUP($G75,Coords[],4,FALSE)-VLOOKUP(BG$5,Coords[],4,FALSE))^2)))</f>
        <v>1000</v>
      </c>
      <c r="BH75" s="10">
        <f>IF($G75=BH$5,1000,IF(BH$4=0,1000,SQRT((VLOOKUP($G75,Coords[],3,FALSE)-VLOOKUP(BH$5,Coords[],3,FALSE))^2+(VLOOKUP($G75,Coords[],4,FALSE)-VLOOKUP(BH$5,Coords[],4,FALSE))^2)))</f>
        <v>1000</v>
      </c>
      <c r="BI75" s="10">
        <f>IF($G75=BI$5,1000,IF(BI$4=0,1000,SQRT((VLOOKUP($G75,Coords[],3,FALSE)-VLOOKUP(BI$5,Coords[],3,FALSE))^2+(VLOOKUP($G75,Coords[],4,FALSE)-VLOOKUP(BI$5,Coords[],4,FALSE))^2)))</f>
        <v>1000</v>
      </c>
      <c r="BJ75" s="10">
        <f>IF($G75=BJ$5,1000,IF(BJ$4=0,1000,SQRT((VLOOKUP($G75,Coords[],3,FALSE)-VLOOKUP(BJ$5,Coords[],3,FALSE))^2+(VLOOKUP($G75,Coords[],4,FALSE)-VLOOKUP(BJ$5,Coords[],4,FALSE))^2)))</f>
        <v>1000</v>
      </c>
      <c r="BK75" s="10">
        <f>IF($G75=BK$5,1000,IF(BK$4=0,1000,SQRT((VLOOKUP($G75,Coords[],3,FALSE)-VLOOKUP(BK$5,Coords[],3,FALSE))^2+(VLOOKUP($G75,Coords[],4,FALSE)-VLOOKUP(BK$5,Coords[],4,FALSE))^2)))</f>
        <v>1000</v>
      </c>
      <c r="BL75" s="10">
        <f>IF($G75=BL$5,1000,IF(BL$4=0,1000,SQRT((VLOOKUP($G75,Coords[],3,FALSE)-VLOOKUP(BL$5,Coords[],3,FALSE))^2+(VLOOKUP($G75,Coords[],4,FALSE)-VLOOKUP(BL$5,Coords[],4,FALSE))^2)))</f>
        <v>1000</v>
      </c>
      <c r="BM75" s="10">
        <f>IF($G75=BM$5,1000,IF(BM$4=0,1000,SQRT((VLOOKUP($G75,Coords[],3,FALSE)-VLOOKUP(BM$5,Coords[],3,FALSE))^2+(VLOOKUP($G75,Coords[],4,FALSE)-VLOOKUP(BM$5,Coords[],4,FALSE))^2)))</f>
        <v>1000</v>
      </c>
      <c r="BN75" s="10">
        <f>IF($G75=BN$5,1000,IF(BN$4=0,1000,SQRT((VLOOKUP($G75,Coords[],3,FALSE)-VLOOKUP(BN$5,Coords[],3,FALSE))^2+(VLOOKUP($G75,Coords[],4,FALSE)-VLOOKUP(BN$5,Coords[],4,FALSE))^2)))</f>
        <v>1000</v>
      </c>
      <c r="BO75" s="10">
        <f>IF($G75=BO$5,1000,IF(BO$4=0,1000,SQRT((VLOOKUP($G75,Coords[],3,FALSE)-VLOOKUP(BO$5,Coords[],3,FALSE))^2+(VLOOKUP($G75,Coords[],4,FALSE)-VLOOKUP(BO$5,Coords[],4,FALSE))^2)))</f>
        <v>1000</v>
      </c>
      <c r="BP75" s="10">
        <f>IF($G75=BP$5,1000,IF(BP$4=0,1000,SQRT((VLOOKUP($G75,Coords[],3,FALSE)-VLOOKUP(BP$5,Coords[],3,FALSE))^2+(VLOOKUP($G75,Coords[],4,FALSE)-VLOOKUP(BP$5,Coords[],4,FALSE))^2)))</f>
        <v>1000</v>
      </c>
      <c r="BQ75" s="10">
        <f>IF($G75=BQ$5,1000,IF(BQ$4=0,1000,SQRT((VLOOKUP($G75,Coords[],3,FALSE)-VLOOKUP(BQ$5,Coords[],3,FALSE))^2+(VLOOKUP($G75,Coords[],4,FALSE)-VLOOKUP(BQ$5,Coords[],4,FALSE))^2)))</f>
        <v>1000</v>
      </c>
      <c r="BR75" s="10">
        <f>IF($G75=BR$5,1000,IF(BR$4=0,1000,SQRT((VLOOKUP($G75,Coords[],3,FALSE)-VLOOKUP(BR$5,Coords[],3,FALSE))^2+(VLOOKUP($G75,Coords[],4,FALSE)-VLOOKUP(BR$5,Coords[],4,FALSE))^2)))</f>
        <v>1000</v>
      </c>
      <c r="BS75" s="10">
        <f>IF($G75=BS$5,1000,IF(BS$4=0,1000,SQRT((VLOOKUP($G75,Coords[],3,FALSE)-VLOOKUP(BS$5,Coords[],3,FALSE))^2+(VLOOKUP($G75,Coords[],4,FALSE)-VLOOKUP(BS$5,Coords[],4,FALSE))^2)))</f>
        <v>1000</v>
      </c>
      <c r="BT75" s="10">
        <f>IF($G75=BT$5,1000,IF(BT$4=0,1000,SQRT((VLOOKUP($G75,Coords[],3,FALSE)-VLOOKUP(BT$5,Coords[],3,FALSE))^2+(VLOOKUP($G75,Coords[],4,FALSE)-VLOOKUP(BT$5,Coords[],4,FALSE))^2)))</f>
        <v>1000</v>
      </c>
      <c r="BU75" s="10">
        <f>IF($G75=BU$5,1000,IF(BU$4=0,1000,SQRT((VLOOKUP($G75,Coords[],3,FALSE)-VLOOKUP(BU$5,Coords[],3,FALSE))^2+(VLOOKUP($G75,Coords[],4,FALSE)-VLOOKUP(BU$5,Coords[],4,FALSE))^2)))</f>
        <v>1000</v>
      </c>
      <c r="BV75" s="10">
        <f>IF($G75=BV$5,1000,IF(BV$4=0,1000,SQRT((VLOOKUP($G75,Coords[],3,FALSE)-VLOOKUP(BV$5,Coords[],3,FALSE))^2+(VLOOKUP($G75,Coords[],4,FALSE)-VLOOKUP(BV$5,Coords[],4,FALSE))^2)))</f>
        <v>1000</v>
      </c>
      <c r="BW75" s="10">
        <f>IF($G75=BW$5,1000,IF(BW$4=0,1000,SQRT((VLOOKUP($G75,Coords[],3,FALSE)-VLOOKUP(BW$5,Coords[],3,FALSE))^2+(VLOOKUP($G75,Coords[],4,FALSE)-VLOOKUP(BW$5,Coords[],4,FALSE))^2)))</f>
        <v>1000</v>
      </c>
      <c r="BX75" s="10">
        <f>IF($G75=BX$5,1000,IF(BX$4=0,1000,SQRT((VLOOKUP($G75,Coords[],3,FALSE)-VLOOKUP(BX$5,Coords[],3,FALSE))^2+(VLOOKUP($G75,Coords[],4,FALSE)-VLOOKUP(BX$5,Coords[],4,FALSE))^2)))</f>
        <v>1000</v>
      </c>
      <c r="BY75" s="10">
        <f>IF($G75=BY$5,1000,IF(BY$4=0,1000,SQRT((VLOOKUP($G75,Coords[],3,FALSE)-VLOOKUP(BY$5,Coords[],3,FALSE))^2+(VLOOKUP($G75,Coords[],4,FALSE)-VLOOKUP(BY$5,Coords[],4,FALSE))^2)))</f>
        <v>1000</v>
      </c>
      <c r="BZ75" s="10">
        <f>IF($G75=BZ$5,1000,IF(BZ$4=0,1000,SQRT((VLOOKUP($G75,Coords[],3,FALSE)-VLOOKUP(BZ$5,Coords[],3,FALSE))^2+(VLOOKUP($G75,Coords[],4,FALSE)-VLOOKUP(BZ$5,Coords[],4,FALSE))^2)))</f>
        <v>1000</v>
      </c>
      <c r="CA75" s="10">
        <f>IF($G75=CA$5,1000,IF(CA$4=0,1000,SQRT((VLOOKUP($G75,Coords[],3,FALSE)-VLOOKUP(CA$5,Coords[],3,FALSE))^2+(VLOOKUP($G75,Coords[],4,FALSE)-VLOOKUP(CA$5,Coords[],4,FALSE))^2)))</f>
        <v>1000</v>
      </c>
      <c r="CB75" s="10">
        <f>IF($G75=CB$5,1000,IF(CB$4=0,1000,SQRT((VLOOKUP($G75,Coords[],3,FALSE)-VLOOKUP(CB$5,Coords[],3,FALSE))^2+(VLOOKUP($G75,Coords[],4,FALSE)-VLOOKUP(CB$5,Coords[],4,FALSE))^2)))</f>
        <v>1000</v>
      </c>
      <c r="CC75" s="10">
        <f>IF($G75=CC$5,1000,IF(CC$4=0,1000,SQRT((VLOOKUP($G75,Coords[],3,FALSE)-VLOOKUP(CC$5,Coords[],3,FALSE))^2+(VLOOKUP($G75,Coords[],4,FALSE)-VLOOKUP(CC$5,Coords[],4,FALSE))^2)))</f>
        <v>1000</v>
      </c>
      <c r="CD75" s="10">
        <f>IF($G75=CD$5,1000,IF(CD$4=0,1000,SQRT((VLOOKUP($G75,Coords[],3,FALSE)-VLOOKUP(CD$5,Coords[],3,FALSE))^2+(VLOOKUP($G75,Coords[],4,FALSE)-VLOOKUP(CD$5,Coords[],4,FALSE))^2)))</f>
        <v>1000</v>
      </c>
      <c r="CE75" s="10">
        <f>IF($G75=CE$5,1000,IF(CE$4=0,1000,SQRT((VLOOKUP($G75,Coords[],3,FALSE)-VLOOKUP(CE$5,Coords[],3,FALSE))^2+(VLOOKUP($G75,Coords[],4,FALSE)-VLOOKUP(CE$5,Coords[],4,FALSE))^2)))</f>
        <v>1000</v>
      </c>
      <c r="CF75" s="4">
        <v>70</v>
      </c>
      <c r="CH75" s="5">
        <f>IF(E75=1,0,VLOOKUP($G75,$G$6:$CE$82,HLOOKUP(MIN(H75:CE75),$H75:$CE$82,((COUNT($G$6:$G$81)+2)-$G75),FALSE)+1,FALSE)*B75)</f>
        <v>0</v>
      </c>
      <c r="CI75" s="9">
        <f>VLOOKUP($G75,$G$6:$CE$82,HLOOKUP(MIN(H75:CE75),$H75:$CE$82,((COUNT($G$6:$G$81)+2)-$G75),FALSE)+1,FALSE)</f>
        <v>1000</v>
      </c>
      <c r="CJ75" s="7">
        <f>HLOOKUP(MIN(H75:CE75),$H75:$CE$82,((COUNT($G$6:$G$81)+2)-$G75),FALSE)</f>
        <v>1</v>
      </c>
      <c r="CK75">
        <f>CI75*Coords[[#This Row],[Demand]]</f>
        <v>0</v>
      </c>
    </row>
    <row r="76" spans="1:89" x14ac:dyDescent="0.25">
      <c r="A76" s="8">
        <v>71</v>
      </c>
      <c r="B76" s="3"/>
      <c r="C76" s="3"/>
      <c r="D76" s="3"/>
      <c r="E76" s="3"/>
      <c r="G76" s="4">
        <v>71</v>
      </c>
      <c r="H76" s="10">
        <f>IF($G76=H$5,1000,IF(H$4=0,1000,SQRT((VLOOKUP($G76,Coords[],3,FALSE)-VLOOKUP(H$5,Coords[],3,FALSE))^2+(VLOOKUP($G76,Coords[],4,FALSE)-VLOOKUP(H$5,Coords[],4,FALSE))^2)))</f>
        <v>1000</v>
      </c>
      <c r="I76" s="10">
        <f>IF($G76=I$5,1000,IF(I$4=0,1000,SQRT((VLOOKUP($G76,Coords[],3,FALSE)-VLOOKUP(I$5,Coords[],3,FALSE))^2+(VLOOKUP($G76,Coords[],4,FALSE)-VLOOKUP(I$5,Coords[],4,FALSE))^2)))</f>
        <v>1000</v>
      </c>
      <c r="J76" s="10">
        <f>IF($G76=J$5,1000,IF(J$4=0,1000,SQRT((VLOOKUP($G76,Coords[],3,FALSE)-VLOOKUP(J$5,Coords[],3,FALSE))^2+(VLOOKUP($G76,Coords[],4,FALSE)-VLOOKUP(J$5,Coords[],4,FALSE))^2)))</f>
        <v>1000</v>
      </c>
      <c r="K76" s="10">
        <f>IF($G76=K$5,1000,IF(K$4=0,1000,SQRT((VLOOKUP($G76,Coords[],3,FALSE)-VLOOKUP(K$5,Coords[],3,FALSE))^2+(VLOOKUP($G76,Coords[],4,FALSE)-VLOOKUP(K$5,Coords[],4,FALSE))^2)))</f>
        <v>1000</v>
      </c>
      <c r="L76" s="10">
        <f>IF($G76=L$5,1000,IF(L$4=0,1000,SQRT((VLOOKUP($G76,Coords[],3,FALSE)-VLOOKUP(L$5,Coords[],3,FALSE))^2+(VLOOKUP($G76,Coords[],4,FALSE)-VLOOKUP(L$5,Coords[],4,FALSE))^2)))</f>
        <v>1000</v>
      </c>
      <c r="M76" s="10">
        <f>IF($G76=M$5,1000,IF(M$4=0,1000,SQRT((VLOOKUP($G76,Coords[],3,FALSE)-VLOOKUP(M$5,Coords[],3,FALSE))^2+(VLOOKUP($G76,Coords[],4,FALSE)-VLOOKUP(M$5,Coords[],4,FALSE))^2)))</f>
        <v>1000</v>
      </c>
      <c r="N76" s="10">
        <f>IF($G76=N$5,1000,IF(N$4=0,1000,SQRT((VLOOKUP($G76,Coords[],3,FALSE)-VLOOKUP(N$5,Coords[],3,FALSE))^2+(VLOOKUP($G76,Coords[],4,FALSE)-VLOOKUP(N$5,Coords[],4,FALSE))^2)))</f>
        <v>1000</v>
      </c>
      <c r="O76" s="10">
        <f>IF($G76=O$5,1000,IF(O$4=0,1000,SQRT((VLOOKUP($G76,Coords[],3,FALSE)-VLOOKUP(O$5,Coords[],3,FALSE))^2+(VLOOKUP($G76,Coords[],4,FALSE)-VLOOKUP(O$5,Coords[],4,FALSE))^2)))</f>
        <v>1000</v>
      </c>
      <c r="P76" s="10">
        <f>IF($G76=P$5,1000,IF(P$4=0,1000,SQRT((VLOOKUP($G76,Coords[],3,FALSE)-VLOOKUP(P$5,Coords[],3,FALSE))^2+(VLOOKUP($G76,Coords[],4,FALSE)-VLOOKUP(P$5,Coords[],4,FALSE))^2)))</f>
        <v>1000</v>
      </c>
      <c r="Q76" s="10">
        <f>IF($G76=Q$5,1000,IF(Q$4=0,1000,SQRT((VLOOKUP($G76,Coords[],3,FALSE)-VLOOKUP(Q$5,Coords[],3,FALSE))^2+(VLOOKUP($G76,Coords[],4,FALSE)-VLOOKUP(Q$5,Coords[],4,FALSE))^2)))</f>
        <v>1000</v>
      </c>
      <c r="R76" s="10">
        <f>IF($G76=R$5,1000,IF(R$4=0,1000,SQRT((VLOOKUP($G76,Coords[],3,FALSE)-VLOOKUP(R$5,Coords[],3,FALSE))^2+(VLOOKUP($G76,Coords[],4,FALSE)-VLOOKUP(R$5,Coords[],4,FALSE))^2)))</f>
        <v>1000</v>
      </c>
      <c r="S76" s="10">
        <f>IF($G76=S$5,1000,IF(S$4=0,1000,SQRT((VLOOKUP($G76,Coords[],3,FALSE)-VLOOKUP(S$5,Coords[],3,FALSE))^2+(VLOOKUP($G76,Coords[],4,FALSE)-VLOOKUP(S$5,Coords[],4,FALSE))^2)))</f>
        <v>1000</v>
      </c>
      <c r="T76" s="10">
        <f>IF($G76=T$5,1000,IF(T$4=0,1000,SQRT((VLOOKUP($G76,Coords[],3,FALSE)-VLOOKUP(T$5,Coords[],3,FALSE))^2+(VLOOKUP($G76,Coords[],4,FALSE)-VLOOKUP(T$5,Coords[],4,FALSE))^2)))</f>
        <v>1000</v>
      </c>
      <c r="U76" s="10">
        <f>IF($G76=U$5,1000,IF(U$4=0,1000,SQRT((VLOOKUP($G76,Coords[],3,FALSE)-VLOOKUP(U$5,Coords[],3,FALSE))^2+(VLOOKUP($G76,Coords[],4,FALSE)-VLOOKUP(U$5,Coords[],4,FALSE))^2)))</f>
        <v>1000</v>
      </c>
      <c r="V76" s="10">
        <f>IF($G76=V$5,1000,IF(V$4=0,1000,SQRT((VLOOKUP($G76,Coords[],3,FALSE)-VLOOKUP(V$5,Coords[],3,FALSE))^2+(VLOOKUP($G76,Coords[],4,FALSE)-VLOOKUP(V$5,Coords[],4,FALSE))^2)))</f>
        <v>1000</v>
      </c>
      <c r="W76" s="10">
        <f>IF($G76=W$5,1000,IF(W$4=0,1000,SQRT((VLOOKUP($G76,Coords[],3,FALSE)-VLOOKUP(W$5,Coords[],3,FALSE))^2+(VLOOKUP($G76,Coords[],4,FALSE)-VLOOKUP(W$5,Coords[],4,FALSE))^2)))</f>
        <v>1000</v>
      </c>
      <c r="X76" s="10">
        <f>IF($G76=X$5,1000,IF(X$4=0,1000,SQRT((VLOOKUP($G76,Coords[],3,FALSE)-VLOOKUP(X$5,Coords[],3,FALSE))^2+(VLOOKUP($G76,Coords[],4,FALSE)-VLOOKUP(X$5,Coords[],4,FALSE))^2)))</f>
        <v>1000</v>
      </c>
      <c r="Y76" s="10">
        <f>IF($G76=Y$5,1000,IF(Y$4=0,1000,SQRT((VLOOKUP($G76,Coords[],3,FALSE)-VLOOKUP(Y$5,Coords[],3,FALSE))^2+(VLOOKUP($G76,Coords[],4,FALSE)-VLOOKUP(Y$5,Coords[],4,FALSE))^2)))</f>
        <v>1000</v>
      </c>
      <c r="Z76" s="10">
        <f>IF($G76=Z$5,1000,IF(Z$4=0,1000,SQRT((VLOOKUP($G76,Coords[],3,FALSE)-VLOOKUP(Z$5,Coords[],3,FALSE))^2+(VLOOKUP($G76,Coords[],4,FALSE)-VLOOKUP(Z$5,Coords[],4,FALSE))^2)))</f>
        <v>1000</v>
      </c>
      <c r="AA76" s="10">
        <f>IF($G76=AA$5,1000,IF(AA$4=0,1000,SQRT((VLOOKUP($G76,Coords[],3,FALSE)-VLOOKUP(AA$5,Coords[],3,FALSE))^2+(VLOOKUP($G76,Coords[],4,FALSE)-VLOOKUP(AA$5,Coords[],4,FALSE))^2)))</f>
        <v>1000</v>
      </c>
      <c r="AB76" s="10">
        <f>IF($G76=AB$5,1000,IF(AB$4=0,1000,SQRT((VLOOKUP($G76,Coords[],3,FALSE)-VLOOKUP(AB$5,Coords[],3,FALSE))^2+(VLOOKUP($G76,Coords[],4,FALSE)-VLOOKUP(AB$5,Coords[],4,FALSE))^2)))</f>
        <v>1000</v>
      </c>
      <c r="AC76" s="10">
        <f>IF($G76=AC$5,1000,IF(AC$4=0,1000,SQRT((VLOOKUP($G76,Coords[],3,FALSE)-VLOOKUP(AC$5,Coords[],3,FALSE))^2+(VLOOKUP($G76,Coords[],4,FALSE)-VLOOKUP(AC$5,Coords[],4,FALSE))^2)))</f>
        <v>1000</v>
      </c>
      <c r="AD76" s="10">
        <f>IF($G76=AD$5,1000,IF(AD$4=0,1000,SQRT((VLOOKUP($G76,Coords[],3,FALSE)-VLOOKUP(AD$5,Coords[],3,FALSE))^2+(VLOOKUP($G76,Coords[],4,FALSE)-VLOOKUP(AD$5,Coords[],4,FALSE))^2)))</f>
        <v>1000</v>
      </c>
      <c r="AE76" s="10">
        <f>IF($G76=AE$5,1000,IF(AE$4=0,1000,SQRT((VLOOKUP($G76,Coords[],3,FALSE)-VLOOKUP(AE$5,Coords[],3,FALSE))^2+(VLOOKUP($G76,Coords[],4,FALSE)-VLOOKUP(AE$5,Coords[],4,FALSE))^2)))</f>
        <v>1000</v>
      </c>
      <c r="AF76" s="10">
        <f>IF($G76=AF$5,1000,IF(AF$4=0,1000,SQRT((VLOOKUP($G76,Coords[],3,FALSE)-VLOOKUP(AF$5,Coords[],3,FALSE))^2+(VLOOKUP($G76,Coords[],4,FALSE)-VLOOKUP(AF$5,Coords[],4,FALSE))^2)))</f>
        <v>1000</v>
      </c>
      <c r="AG76" s="10">
        <f>IF($G76=AG$5,1000,IF(AG$4=0,1000,SQRT((VLOOKUP($G76,Coords[],3,FALSE)-VLOOKUP(AG$5,Coords[],3,FALSE))^2+(VLOOKUP($G76,Coords[],4,FALSE)-VLOOKUP(AG$5,Coords[],4,FALSE))^2)))</f>
        <v>1000</v>
      </c>
      <c r="AH76" s="10">
        <f>IF($G76=AH$5,1000,IF(AH$4=0,1000,SQRT((VLOOKUP($G76,Coords[],3,FALSE)-VLOOKUP(AH$5,Coords[],3,FALSE))^2+(VLOOKUP($G76,Coords[],4,FALSE)-VLOOKUP(AH$5,Coords[],4,FALSE))^2)))</f>
        <v>1000</v>
      </c>
      <c r="AI76" s="10">
        <f>IF($G76=AI$5,1000,IF(AI$4=0,1000,SQRT((VLOOKUP($G76,Coords[],3,FALSE)-VLOOKUP(AI$5,Coords[],3,FALSE))^2+(VLOOKUP($G76,Coords[],4,FALSE)-VLOOKUP(AI$5,Coords[],4,FALSE))^2)))</f>
        <v>1000</v>
      </c>
      <c r="AJ76" s="10">
        <f>IF($G76=AJ$5,1000,IF(AJ$4=0,1000,SQRT((VLOOKUP($G76,Coords[],3,FALSE)-VLOOKUP(AJ$5,Coords[],3,FALSE))^2+(VLOOKUP($G76,Coords[],4,FALSE)-VLOOKUP(AJ$5,Coords[],4,FALSE))^2)))</f>
        <v>1000</v>
      </c>
      <c r="AK76" s="10">
        <f>IF($G76=AK$5,1000,IF(AK$4=0,1000,SQRT((VLOOKUP($G76,Coords[],3,FALSE)-VLOOKUP(AK$5,Coords[],3,FALSE))^2+(VLOOKUP($G76,Coords[],4,FALSE)-VLOOKUP(AK$5,Coords[],4,FALSE))^2)))</f>
        <v>1000</v>
      </c>
      <c r="AL76" s="10">
        <f>IF($G76=AL$5,1000,IF(AL$4=0,1000,SQRT((VLOOKUP($G76,Coords[],3,FALSE)-VLOOKUP(AL$5,Coords[],3,FALSE))^2+(VLOOKUP($G76,Coords[],4,FALSE)-VLOOKUP(AL$5,Coords[],4,FALSE))^2)))</f>
        <v>1000</v>
      </c>
      <c r="AM76" s="10">
        <f>IF($G76=AM$5,1000,IF(AM$4=0,1000,SQRT((VLOOKUP($G76,Coords[],3,FALSE)-VLOOKUP(AM$5,Coords[],3,FALSE))^2+(VLOOKUP($G76,Coords[],4,FALSE)-VLOOKUP(AM$5,Coords[],4,FALSE))^2)))</f>
        <v>1000</v>
      </c>
      <c r="AN76" s="10">
        <f>IF($G76=AN$5,1000,IF(AN$4=0,1000,SQRT((VLOOKUP($G76,Coords[],3,FALSE)-VLOOKUP(AN$5,Coords[],3,FALSE))^2+(VLOOKUP($G76,Coords[],4,FALSE)-VLOOKUP(AN$5,Coords[],4,FALSE))^2)))</f>
        <v>1000</v>
      </c>
      <c r="AO76" s="10">
        <f>IF($G76=AO$5,1000,IF(AO$4=0,1000,SQRT((VLOOKUP($G76,Coords[],3,FALSE)-VLOOKUP(AO$5,Coords[],3,FALSE))^2+(VLOOKUP($G76,Coords[],4,FALSE)-VLOOKUP(AO$5,Coords[],4,FALSE))^2)))</f>
        <v>1000</v>
      </c>
      <c r="AP76" s="10">
        <f>IF($G76=AP$5,1000,IF(AP$4=0,1000,SQRT((VLOOKUP($G76,Coords[],3,FALSE)-VLOOKUP(AP$5,Coords[],3,FALSE))^2+(VLOOKUP($G76,Coords[],4,FALSE)-VLOOKUP(AP$5,Coords[],4,FALSE))^2)))</f>
        <v>1000</v>
      </c>
      <c r="AQ76" s="10">
        <f>IF($G76=AQ$5,1000,IF(AQ$4=0,1000,SQRT((VLOOKUP($G76,Coords[],3,FALSE)-VLOOKUP(AQ$5,Coords[],3,FALSE))^2+(VLOOKUP($G76,Coords[],4,FALSE)-VLOOKUP(AQ$5,Coords[],4,FALSE))^2)))</f>
        <v>1000</v>
      </c>
      <c r="AR76" s="10">
        <f>IF($G76=AR$5,1000,IF(AR$4=0,1000,SQRT((VLOOKUP($G76,Coords[],3,FALSE)-VLOOKUP(AR$5,Coords[],3,FALSE))^2+(VLOOKUP($G76,Coords[],4,FALSE)-VLOOKUP(AR$5,Coords[],4,FALSE))^2)))</f>
        <v>1000</v>
      </c>
      <c r="AS76" s="10">
        <f>IF($G76=AS$5,1000,IF(AS$4=0,1000,SQRT((VLOOKUP($G76,Coords[],3,FALSE)-VLOOKUP(AS$5,Coords[],3,FALSE))^2+(VLOOKUP($G76,Coords[],4,FALSE)-VLOOKUP(AS$5,Coords[],4,FALSE))^2)))</f>
        <v>1000</v>
      </c>
      <c r="AT76" s="10">
        <f>IF($G76=AT$5,1000,IF(AT$4=0,1000,SQRT((VLOOKUP($G76,Coords[],3,FALSE)-VLOOKUP(AT$5,Coords[],3,FALSE))^2+(VLOOKUP($G76,Coords[],4,FALSE)-VLOOKUP(AT$5,Coords[],4,FALSE))^2)))</f>
        <v>1000</v>
      </c>
      <c r="AU76" s="10">
        <f>IF($G76=AU$5,1000,IF(AU$4=0,1000,SQRT((VLOOKUP($G76,Coords[],3,FALSE)-VLOOKUP(AU$5,Coords[],3,FALSE))^2+(VLOOKUP($G76,Coords[],4,FALSE)-VLOOKUP(AU$5,Coords[],4,FALSE))^2)))</f>
        <v>1000</v>
      </c>
      <c r="AV76" s="10">
        <f>IF($G76=AV$5,1000,IF(AV$4=0,1000,SQRT((VLOOKUP($G76,Coords[],3,FALSE)-VLOOKUP(AV$5,Coords[],3,FALSE))^2+(VLOOKUP($G76,Coords[],4,FALSE)-VLOOKUP(AV$5,Coords[],4,FALSE))^2)))</f>
        <v>1000</v>
      </c>
      <c r="AW76" s="10">
        <f>IF($G76=AW$5,1000,IF(AW$4=0,1000,SQRT((VLOOKUP($G76,Coords[],3,FALSE)-VLOOKUP(AW$5,Coords[],3,FALSE))^2+(VLOOKUP($G76,Coords[],4,FALSE)-VLOOKUP(AW$5,Coords[],4,FALSE))^2)))</f>
        <v>1000</v>
      </c>
      <c r="AX76" s="10">
        <f>IF($G76=AX$5,1000,IF(AX$4=0,1000,SQRT((VLOOKUP($G76,Coords[],3,FALSE)-VLOOKUP(AX$5,Coords[],3,FALSE))^2+(VLOOKUP($G76,Coords[],4,FALSE)-VLOOKUP(AX$5,Coords[],4,FALSE))^2)))</f>
        <v>1000</v>
      </c>
      <c r="AY76" s="10">
        <f>IF($G76=AY$5,1000,IF(AY$4=0,1000,SQRT((VLOOKUP($G76,Coords[],3,FALSE)-VLOOKUP(AY$5,Coords[],3,FALSE))^2+(VLOOKUP($G76,Coords[],4,FALSE)-VLOOKUP(AY$5,Coords[],4,FALSE))^2)))</f>
        <v>1000</v>
      </c>
      <c r="AZ76" s="10">
        <f>IF($G76=AZ$5,1000,IF(AZ$4=0,1000,SQRT((VLOOKUP($G76,Coords[],3,FALSE)-VLOOKUP(AZ$5,Coords[],3,FALSE))^2+(VLOOKUP($G76,Coords[],4,FALSE)-VLOOKUP(AZ$5,Coords[],4,FALSE))^2)))</f>
        <v>1000</v>
      </c>
      <c r="BA76" s="10">
        <f>IF($G76=BA$5,1000,IF(BA$4=0,1000,SQRT((VLOOKUP($G76,Coords[],3,FALSE)-VLOOKUP(BA$5,Coords[],3,FALSE))^2+(VLOOKUP($G76,Coords[],4,FALSE)-VLOOKUP(BA$5,Coords[],4,FALSE))^2)))</f>
        <v>1000</v>
      </c>
      <c r="BB76" s="10">
        <f>IF($G76=BB$5,1000,IF(BB$4=0,1000,SQRT((VLOOKUP($G76,Coords[],3,FALSE)-VLOOKUP(BB$5,Coords[],3,FALSE))^2+(VLOOKUP($G76,Coords[],4,FALSE)-VLOOKUP(BB$5,Coords[],4,FALSE))^2)))</f>
        <v>1000</v>
      </c>
      <c r="BC76" s="10">
        <f>IF($G76=BC$5,1000,IF(BC$4=0,1000,SQRT((VLOOKUP($G76,Coords[],3,FALSE)-VLOOKUP(BC$5,Coords[],3,FALSE))^2+(VLOOKUP($G76,Coords[],4,FALSE)-VLOOKUP(BC$5,Coords[],4,FALSE))^2)))</f>
        <v>1000</v>
      </c>
      <c r="BD76" s="10">
        <f>IF($G76=BD$5,1000,IF(BD$4=0,1000,SQRT((VLOOKUP($G76,Coords[],3,FALSE)-VLOOKUP(BD$5,Coords[],3,FALSE))^2+(VLOOKUP($G76,Coords[],4,FALSE)-VLOOKUP(BD$5,Coords[],4,FALSE))^2)))</f>
        <v>1000</v>
      </c>
      <c r="BE76" s="10">
        <f>IF($G76=BE$5,1000,IF(BE$4=0,1000,SQRT((VLOOKUP($G76,Coords[],3,FALSE)-VLOOKUP(BE$5,Coords[],3,FALSE))^2+(VLOOKUP($G76,Coords[],4,FALSE)-VLOOKUP(BE$5,Coords[],4,FALSE))^2)))</f>
        <v>1000</v>
      </c>
      <c r="BF76" s="10">
        <f>IF($G76=BF$5,1000,IF(BF$4=0,1000,SQRT((VLOOKUP($G76,Coords[],3,FALSE)-VLOOKUP(BF$5,Coords[],3,FALSE))^2+(VLOOKUP($G76,Coords[],4,FALSE)-VLOOKUP(BF$5,Coords[],4,FALSE))^2)))</f>
        <v>1000</v>
      </c>
      <c r="BG76" s="10">
        <f>IF($G76=BG$5,1000,IF(BG$4=0,1000,SQRT((VLOOKUP($G76,Coords[],3,FALSE)-VLOOKUP(BG$5,Coords[],3,FALSE))^2+(VLOOKUP($G76,Coords[],4,FALSE)-VLOOKUP(BG$5,Coords[],4,FALSE))^2)))</f>
        <v>1000</v>
      </c>
      <c r="BH76" s="10">
        <f>IF($G76=BH$5,1000,IF(BH$4=0,1000,SQRT((VLOOKUP($G76,Coords[],3,FALSE)-VLOOKUP(BH$5,Coords[],3,FALSE))^2+(VLOOKUP($G76,Coords[],4,FALSE)-VLOOKUP(BH$5,Coords[],4,FALSE))^2)))</f>
        <v>1000</v>
      </c>
      <c r="BI76" s="10">
        <f>IF($G76=BI$5,1000,IF(BI$4=0,1000,SQRT((VLOOKUP($G76,Coords[],3,FALSE)-VLOOKUP(BI$5,Coords[],3,FALSE))^2+(VLOOKUP($G76,Coords[],4,FALSE)-VLOOKUP(BI$5,Coords[],4,FALSE))^2)))</f>
        <v>1000</v>
      </c>
      <c r="BJ76" s="10">
        <f>IF($G76=BJ$5,1000,IF(BJ$4=0,1000,SQRT((VLOOKUP($G76,Coords[],3,FALSE)-VLOOKUP(BJ$5,Coords[],3,FALSE))^2+(VLOOKUP($G76,Coords[],4,FALSE)-VLOOKUP(BJ$5,Coords[],4,FALSE))^2)))</f>
        <v>1000</v>
      </c>
      <c r="BK76" s="10">
        <f>IF($G76=BK$5,1000,IF(BK$4=0,1000,SQRT((VLOOKUP($G76,Coords[],3,FALSE)-VLOOKUP(BK$5,Coords[],3,FALSE))^2+(VLOOKUP($G76,Coords[],4,FALSE)-VLOOKUP(BK$5,Coords[],4,FALSE))^2)))</f>
        <v>1000</v>
      </c>
      <c r="BL76" s="10">
        <f>IF($G76=BL$5,1000,IF(BL$4=0,1000,SQRT((VLOOKUP($G76,Coords[],3,FALSE)-VLOOKUP(BL$5,Coords[],3,FALSE))^2+(VLOOKUP($G76,Coords[],4,FALSE)-VLOOKUP(BL$5,Coords[],4,FALSE))^2)))</f>
        <v>1000</v>
      </c>
      <c r="BM76" s="10">
        <f>IF($G76=BM$5,1000,IF(BM$4=0,1000,SQRT((VLOOKUP($G76,Coords[],3,FALSE)-VLOOKUP(BM$5,Coords[],3,FALSE))^2+(VLOOKUP($G76,Coords[],4,FALSE)-VLOOKUP(BM$5,Coords[],4,FALSE))^2)))</f>
        <v>1000</v>
      </c>
      <c r="BN76" s="10">
        <f>IF($G76=BN$5,1000,IF(BN$4=0,1000,SQRT((VLOOKUP($G76,Coords[],3,FALSE)-VLOOKUP(BN$5,Coords[],3,FALSE))^2+(VLOOKUP($G76,Coords[],4,FALSE)-VLOOKUP(BN$5,Coords[],4,FALSE))^2)))</f>
        <v>1000</v>
      </c>
      <c r="BO76" s="10">
        <f>IF($G76=BO$5,1000,IF(BO$4=0,1000,SQRT((VLOOKUP($G76,Coords[],3,FALSE)-VLOOKUP(BO$5,Coords[],3,FALSE))^2+(VLOOKUP($G76,Coords[],4,FALSE)-VLOOKUP(BO$5,Coords[],4,FALSE))^2)))</f>
        <v>1000</v>
      </c>
      <c r="BP76" s="10">
        <f>IF($G76=BP$5,1000,IF(BP$4=0,1000,SQRT((VLOOKUP($G76,Coords[],3,FALSE)-VLOOKUP(BP$5,Coords[],3,FALSE))^2+(VLOOKUP($G76,Coords[],4,FALSE)-VLOOKUP(BP$5,Coords[],4,FALSE))^2)))</f>
        <v>1000</v>
      </c>
      <c r="BQ76" s="10">
        <f>IF($G76=BQ$5,1000,IF(BQ$4=0,1000,SQRT((VLOOKUP($G76,Coords[],3,FALSE)-VLOOKUP(BQ$5,Coords[],3,FALSE))^2+(VLOOKUP($G76,Coords[],4,FALSE)-VLOOKUP(BQ$5,Coords[],4,FALSE))^2)))</f>
        <v>1000</v>
      </c>
      <c r="BR76" s="10">
        <f>IF($G76=BR$5,1000,IF(BR$4=0,1000,SQRT((VLOOKUP($G76,Coords[],3,FALSE)-VLOOKUP(BR$5,Coords[],3,FALSE))^2+(VLOOKUP($G76,Coords[],4,FALSE)-VLOOKUP(BR$5,Coords[],4,FALSE))^2)))</f>
        <v>1000</v>
      </c>
      <c r="BS76" s="10">
        <f>IF($G76=BS$5,1000,IF(BS$4=0,1000,SQRT((VLOOKUP($G76,Coords[],3,FALSE)-VLOOKUP(BS$5,Coords[],3,FALSE))^2+(VLOOKUP($G76,Coords[],4,FALSE)-VLOOKUP(BS$5,Coords[],4,FALSE))^2)))</f>
        <v>1000</v>
      </c>
      <c r="BT76" s="10">
        <f>IF($G76=BT$5,1000,IF(BT$4=0,1000,SQRT((VLOOKUP($G76,Coords[],3,FALSE)-VLOOKUP(BT$5,Coords[],3,FALSE))^2+(VLOOKUP($G76,Coords[],4,FALSE)-VLOOKUP(BT$5,Coords[],4,FALSE))^2)))</f>
        <v>1000</v>
      </c>
      <c r="BU76" s="10">
        <f>IF($G76=BU$5,1000,IF(BU$4=0,1000,SQRT((VLOOKUP($G76,Coords[],3,FALSE)-VLOOKUP(BU$5,Coords[],3,FALSE))^2+(VLOOKUP($G76,Coords[],4,FALSE)-VLOOKUP(BU$5,Coords[],4,FALSE))^2)))</f>
        <v>1000</v>
      </c>
      <c r="BV76" s="10">
        <f>IF($G76=BV$5,1000,IF(BV$4=0,1000,SQRT((VLOOKUP($G76,Coords[],3,FALSE)-VLOOKUP(BV$5,Coords[],3,FALSE))^2+(VLOOKUP($G76,Coords[],4,FALSE)-VLOOKUP(BV$5,Coords[],4,FALSE))^2)))</f>
        <v>1000</v>
      </c>
      <c r="BW76" s="10">
        <f>IF($G76=BW$5,1000,IF(BW$4=0,1000,SQRT((VLOOKUP($G76,Coords[],3,FALSE)-VLOOKUP(BW$5,Coords[],3,FALSE))^2+(VLOOKUP($G76,Coords[],4,FALSE)-VLOOKUP(BW$5,Coords[],4,FALSE))^2)))</f>
        <v>1000</v>
      </c>
      <c r="BX76" s="10">
        <f>IF($G76=BX$5,1000,IF(BX$4=0,1000,SQRT((VLOOKUP($G76,Coords[],3,FALSE)-VLOOKUP(BX$5,Coords[],3,FALSE))^2+(VLOOKUP($G76,Coords[],4,FALSE)-VLOOKUP(BX$5,Coords[],4,FALSE))^2)))</f>
        <v>1000</v>
      </c>
      <c r="BY76" s="10">
        <f>IF($G76=BY$5,1000,IF(BY$4=0,1000,SQRT((VLOOKUP($G76,Coords[],3,FALSE)-VLOOKUP(BY$5,Coords[],3,FALSE))^2+(VLOOKUP($G76,Coords[],4,FALSE)-VLOOKUP(BY$5,Coords[],4,FALSE))^2)))</f>
        <v>1000</v>
      </c>
      <c r="BZ76" s="10">
        <f>IF($G76=BZ$5,1000,IF(BZ$4=0,1000,SQRT((VLOOKUP($G76,Coords[],3,FALSE)-VLOOKUP(BZ$5,Coords[],3,FALSE))^2+(VLOOKUP($G76,Coords[],4,FALSE)-VLOOKUP(BZ$5,Coords[],4,FALSE))^2)))</f>
        <v>1000</v>
      </c>
      <c r="CA76" s="10">
        <f>IF($G76=CA$5,1000,IF(CA$4=0,1000,SQRT((VLOOKUP($G76,Coords[],3,FALSE)-VLOOKUP(CA$5,Coords[],3,FALSE))^2+(VLOOKUP($G76,Coords[],4,FALSE)-VLOOKUP(CA$5,Coords[],4,FALSE))^2)))</f>
        <v>1000</v>
      </c>
      <c r="CB76" s="10">
        <f>IF($G76=CB$5,1000,IF(CB$4=0,1000,SQRT((VLOOKUP($G76,Coords[],3,FALSE)-VLOOKUP(CB$5,Coords[],3,FALSE))^2+(VLOOKUP($G76,Coords[],4,FALSE)-VLOOKUP(CB$5,Coords[],4,FALSE))^2)))</f>
        <v>1000</v>
      </c>
      <c r="CC76" s="10">
        <f>IF($G76=CC$5,1000,IF(CC$4=0,1000,SQRT((VLOOKUP($G76,Coords[],3,FALSE)-VLOOKUP(CC$5,Coords[],3,FALSE))^2+(VLOOKUP($G76,Coords[],4,FALSE)-VLOOKUP(CC$5,Coords[],4,FALSE))^2)))</f>
        <v>1000</v>
      </c>
      <c r="CD76" s="10">
        <f>IF($G76=CD$5,1000,IF(CD$4=0,1000,SQRT((VLOOKUP($G76,Coords[],3,FALSE)-VLOOKUP(CD$5,Coords[],3,FALSE))^2+(VLOOKUP($G76,Coords[],4,FALSE)-VLOOKUP(CD$5,Coords[],4,FALSE))^2)))</f>
        <v>1000</v>
      </c>
      <c r="CE76" s="10">
        <f>IF($G76=CE$5,1000,IF(CE$4=0,1000,SQRT((VLOOKUP($G76,Coords[],3,FALSE)-VLOOKUP(CE$5,Coords[],3,FALSE))^2+(VLOOKUP($G76,Coords[],4,FALSE)-VLOOKUP(CE$5,Coords[],4,FALSE))^2)))</f>
        <v>1000</v>
      </c>
      <c r="CF76" s="4">
        <v>71</v>
      </c>
      <c r="CH76" s="5">
        <f>IF(E76=1,0,VLOOKUP($G76,$G$6:$CE$82,HLOOKUP(MIN(H76:CE76),$H76:$CE$82,((COUNT($G$6:$G$81)+2)-$G76),FALSE)+1,FALSE)*B76)</f>
        <v>0</v>
      </c>
      <c r="CI76" s="9">
        <f>VLOOKUP($G76,$G$6:$CE$82,HLOOKUP(MIN(H76:CE76),$H76:$CE$82,((COUNT($G$6:$G$81)+2)-$G76),FALSE)+1,FALSE)</f>
        <v>1000</v>
      </c>
      <c r="CJ76" s="7">
        <f>HLOOKUP(MIN(H76:CE76),$H76:$CE$82,((COUNT($G$6:$G$81)+2)-$G76),FALSE)</f>
        <v>1</v>
      </c>
      <c r="CK76">
        <f>CI76*Coords[[#This Row],[Demand]]</f>
        <v>0</v>
      </c>
    </row>
    <row r="77" spans="1:89" x14ac:dyDescent="0.25">
      <c r="A77" s="8">
        <v>72</v>
      </c>
      <c r="B77" s="3"/>
      <c r="C77" s="3"/>
      <c r="D77" s="3"/>
      <c r="E77" s="3"/>
      <c r="G77" s="4">
        <v>72</v>
      </c>
      <c r="H77" s="10">
        <f>IF($G77=H$5,1000,IF(H$4=0,1000,SQRT((VLOOKUP($G77,Coords[],3,FALSE)-VLOOKUP(H$5,Coords[],3,FALSE))^2+(VLOOKUP($G77,Coords[],4,FALSE)-VLOOKUP(H$5,Coords[],4,FALSE))^2)))</f>
        <v>1000</v>
      </c>
      <c r="I77" s="10">
        <f>IF($G77=I$5,1000,IF(I$4=0,1000,SQRT((VLOOKUP($G77,Coords[],3,FALSE)-VLOOKUP(I$5,Coords[],3,FALSE))^2+(VLOOKUP($G77,Coords[],4,FALSE)-VLOOKUP(I$5,Coords[],4,FALSE))^2)))</f>
        <v>1000</v>
      </c>
      <c r="J77" s="10">
        <f>IF($G77=J$5,1000,IF(J$4=0,1000,SQRT((VLOOKUP($G77,Coords[],3,FALSE)-VLOOKUP(J$5,Coords[],3,FALSE))^2+(VLOOKUP($G77,Coords[],4,FALSE)-VLOOKUP(J$5,Coords[],4,FALSE))^2)))</f>
        <v>1000</v>
      </c>
      <c r="K77" s="10">
        <f>IF($G77=K$5,1000,IF(K$4=0,1000,SQRT((VLOOKUP($G77,Coords[],3,FALSE)-VLOOKUP(K$5,Coords[],3,FALSE))^2+(VLOOKUP($G77,Coords[],4,FALSE)-VLOOKUP(K$5,Coords[],4,FALSE))^2)))</f>
        <v>1000</v>
      </c>
      <c r="L77" s="10">
        <f>IF($G77=L$5,1000,IF(L$4=0,1000,SQRT((VLOOKUP($G77,Coords[],3,FALSE)-VLOOKUP(L$5,Coords[],3,FALSE))^2+(VLOOKUP($G77,Coords[],4,FALSE)-VLOOKUP(L$5,Coords[],4,FALSE))^2)))</f>
        <v>1000</v>
      </c>
      <c r="M77" s="10">
        <f>IF($G77=M$5,1000,IF(M$4=0,1000,SQRT((VLOOKUP($G77,Coords[],3,FALSE)-VLOOKUP(M$5,Coords[],3,FALSE))^2+(VLOOKUP($G77,Coords[],4,FALSE)-VLOOKUP(M$5,Coords[],4,FALSE))^2)))</f>
        <v>1000</v>
      </c>
      <c r="N77" s="10">
        <f>IF($G77=N$5,1000,IF(N$4=0,1000,SQRT((VLOOKUP($G77,Coords[],3,FALSE)-VLOOKUP(N$5,Coords[],3,FALSE))^2+(VLOOKUP($G77,Coords[],4,FALSE)-VLOOKUP(N$5,Coords[],4,FALSE))^2)))</f>
        <v>1000</v>
      </c>
      <c r="O77" s="10">
        <f>IF($G77=O$5,1000,IF(O$4=0,1000,SQRT((VLOOKUP($G77,Coords[],3,FALSE)-VLOOKUP(O$5,Coords[],3,FALSE))^2+(VLOOKUP($G77,Coords[],4,FALSE)-VLOOKUP(O$5,Coords[],4,FALSE))^2)))</f>
        <v>1000</v>
      </c>
      <c r="P77" s="10">
        <f>IF($G77=P$5,1000,IF(P$4=0,1000,SQRT((VLOOKUP($G77,Coords[],3,FALSE)-VLOOKUP(P$5,Coords[],3,FALSE))^2+(VLOOKUP($G77,Coords[],4,FALSE)-VLOOKUP(P$5,Coords[],4,FALSE))^2)))</f>
        <v>1000</v>
      </c>
      <c r="Q77" s="10">
        <f>IF($G77=Q$5,1000,IF(Q$4=0,1000,SQRT((VLOOKUP($G77,Coords[],3,FALSE)-VLOOKUP(Q$5,Coords[],3,FALSE))^2+(VLOOKUP($G77,Coords[],4,FALSE)-VLOOKUP(Q$5,Coords[],4,FALSE))^2)))</f>
        <v>1000</v>
      </c>
      <c r="R77" s="10">
        <f>IF($G77=R$5,1000,IF(R$4=0,1000,SQRT((VLOOKUP($G77,Coords[],3,FALSE)-VLOOKUP(R$5,Coords[],3,FALSE))^2+(VLOOKUP($G77,Coords[],4,FALSE)-VLOOKUP(R$5,Coords[],4,FALSE))^2)))</f>
        <v>1000</v>
      </c>
      <c r="S77" s="10">
        <f>IF($G77=S$5,1000,IF(S$4=0,1000,SQRT((VLOOKUP($G77,Coords[],3,FALSE)-VLOOKUP(S$5,Coords[],3,FALSE))^2+(VLOOKUP($G77,Coords[],4,FALSE)-VLOOKUP(S$5,Coords[],4,FALSE))^2)))</f>
        <v>1000</v>
      </c>
      <c r="T77" s="10">
        <f>IF($G77=T$5,1000,IF(T$4=0,1000,SQRT((VLOOKUP($G77,Coords[],3,FALSE)-VLOOKUP(T$5,Coords[],3,FALSE))^2+(VLOOKUP($G77,Coords[],4,FALSE)-VLOOKUP(T$5,Coords[],4,FALSE))^2)))</f>
        <v>1000</v>
      </c>
      <c r="U77" s="10">
        <f>IF($G77=U$5,1000,IF(U$4=0,1000,SQRT((VLOOKUP($G77,Coords[],3,FALSE)-VLOOKUP(U$5,Coords[],3,FALSE))^2+(VLOOKUP($G77,Coords[],4,FALSE)-VLOOKUP(U$5,Coords[],4,FALSE))^2)))</f>
        <v>1000</v>
      </c>
      <c r="V77" s="10">
        <f>IF($G77=V$5,1000,IF(V$4=0,1000,SQRT((VLOOKUP($G77,Coords[],3,FALSE)-VLOOKUP(V$5,Coords[],3,FALSE))^2+(VLOOKUP($G77,Coords[],4,FALSE)-VLOOKUP(V$5,Coords[],4,FALSE))^2)))</f>
        <v>1000</v>
      </c>
      <c r="W77" s="10">
        <f>IF($G77=W$5,1000,IF(W$4=0,1000,SQRT((VLOOKUP($G77,Coords[],3,FALSE)-VLOOKUP(W$5,Coords[],3,FALSE))^2+(VLOOKUP($G77,Coords[],4,FALSE)-VLOOKUP(W$5,Coords[],4,FALSE))^2)))</f>
        <v>1000</v>
      </c>
      <c r="X77" s="10">
        <f>IF($G77=X$5,1000,IF(X$4=0,1000,SQRT((VLOOKUP($G77,Coords[],3,FALSE)-VLOOKUP(X$5,Coords[],3,FALSE))^2+(VLOOKUP($G77,Coords[],4,FALSE)-VLOOKUP(X$5,Coords[],4,FALSE))^2)))</f>
        <v>1000</v>
      </c>
      <c r="Y77" s="10">
        <f>IF($G77=Y$5,1000,IF(Y$4=0,1000,SQRT((VLOOKUP($G77,Coords[],3,FALSE)-VLOOKUP(Y$5,Coords[],3,FALSE))^2+(VLOOKUP($G77,Coords[],4,FALSE)-VLOOKUP(Y$5,Coords[],4,FALSE))^2)))</f>
        <v>1000</v>
      </c>
      <c r="Z77" s="10">
        <f>IF($G77=Z$5,1000,IF(Z$4=0,1000,SQRT((VLOOKUP($G77,Coords[],3,FALSE)-VLOOKUP(Z$5,Coords[],3,FALSE))^2+(VLOOKUP($G77,Coords[],4,FALSE)-VLOOKUP(Z$5,Coords[],4,FALSE))^2)))</f>
        <v>1000</v>
      </c>
      <c r="AA77" s="10">
        <f>IF($G77=AA$5,1000,IF(AA$4=0,1000,SQRT((VLOOKUP($G77,Coords[],3,FALSE)-VLOOKUP(AA$5,Coords[],3,FALSE))^2+(VLOOKUP($G77,Coords[],4,FALSE)-VLOOKUP(AA$5,Coords[],4,FALSE))^2)))</f>
        <v>1000</v>
      </c>
      <c r="AB77" s="10">
        <f>IF($G77=AB$5,1000,IF(AB$4=0,1000,SQRT((VLOOKUP($G77,Coords[],3,FALSE)-VLOOKUP(AB$5,Coords[],3,FALSE))^2+(VLOOKUP($G77,Coords[],4,FALSE)-VLOOKUP(AB$5,Coords[],4,FALSE))^2)))</f>
        <v>1000</v>
      </c>
      <c r="AC77" s="10">
        <f>IF($G77=AC$5,1000,IF(AC$4=0,1000,SQRT((VLOOKUP($G77,Coords[],3,FALSE)-VLOOKUP(AC$5,Coords[],3,FALSE))^2+(VLOOKUP($G77,Coords[],4,FALSE)-VLOOKUP(AC$5,Coords[],4,FALSE))^2)))</f>
        <v>1000</v>
      </c>
      <c r="AD77" s="10">
        <f>IF($G77=AD$5,1000,IF(AD$4=0,1000,SQRT((VLOOKUP($G77,Coords[],3,FALSE)-VLOOKUP(AD$5,Coords[],3,FALSE))^2+(VLOOKUP($G77,Coords[],4,FALSE)-VLOOKUP(AD$5,Coords[],4,FALSE))^2)))</f>
        <v>1000</v>
      </c>
      <c r="AE77" s="10">
        <f>IF($G77=AE$5,1000,IF(AE$4=0,1000,SQRT((VLOOKUP($G77,Coords[],3,FALSE)-VLOOKUP(AE$5,Coords[],3,FALSE))^2+(VLOOKUP($G77,Coords[],4,FALSE)-VLOOKUP(AE$5,Coords[],4,FALSE))^2)))</f>
        <v>1000</v>
      </c>
      <c r="AF77" s="10">
        <f>IF($G77=AF$5,1000,IF(AF$4=0,1000,SQRT((VLOOKUP($G77,Coords[],3,FALSE)-VLOOKUP(AF$5,Coords[],3,FALSE))^2+(VLOOKUP($G77,Coords[],4,FALSE)-VLOOKUP(AF$5,Coords[],4,FALSE))^2)))</f>
        <v>1000</v>
      </c>
      <c r="AG77" s="10">
        <f>IF($G77=AG$5,1000,IF(AG$4=0,1000,SQRT((VLOOKUP($G77,Coords[],3,FALSE)-VLOOKUP(AG$5,Coords[],3,FALSE))^2+(VLOOKUP($G77,Coords[],4,FALSE)-VLOOKUP(AG$5,Coords[],4,FALSE))^2)))</f>
        <v>1000</v>
      </c>
      <c r="AH77" s="10">
        <f>IF($G77=AH$5,1000,IF(AH$4=0,1000,SQRT((VLOOKUP($G77,Coords[],3,FALSE)-VLOOKUP(AH$5,Coords[],3,FALSE))^2+(VLOOKUP($G77,Coords[],4,FALSE)-VLOOKUP(AH$5,Coords[],4,FALSE))^2)))</f>
        <v>1000</v>
      </c>
      <c r="AI77" s="10">
        <f>IF($G77=AI$5,1000,IF(AI$4=0,1000,SQRT((VLOOKUP($G77,Coords[],3,FALSE)-VLOOKUP(AI$5,Coords[],3,FALSE))^2+(VLOOKUP($G77,Coords[],4,FALSE)-VLOOKUP(AI$5,Coords[],4,FALSE))^2)))</f>
        <v>1000</v>
      </c>
      <c r="AJ77" s="10">
        <f>IF($G77=AJ$5,1000,IF(AJ$4=0,1000,SQRT((VLOOKUP($G77,Coords[],3,FALSE)-VLOOKUP(AJ$5,Coords[],3,FALSE))^2+(VLOOKUP($G77,Coords[],4,FALSE)-VLOOKUP(AJ$5,Coords[],4,FALSE))^2)))</f>
        <v>1000</v>
      </c>
      <c r="AK77" s="10">
        <f>IF($G77=AK$5,1000,IF(AK$4=0,1000,SQRT((VLOOKUP($G77,Coords[],3,FALSE)-VLOOKUP(AK$5,Coords[],3,FALSE))^2+(VLOOKUP($G77,Coords[],4,FALSE)-VLOOKUP(AK$5,Coords[],4,FALSE))^2)))</f>
        <v>1000</v>
      </c>
      <c r="AL77" s="10">
        <f>IF($G77=AL$5,1000,IF(AL$4=0,1000,SQRT((VLOOKUP($G77,Coords[],3,FALSE)-VLOOKUP(AL$5,Coords[],3,FALSE))^2+(VLOOKUP($G77,Coords[],4,FALSE)-VLOOKUP(AL$5,Coords[],4,FALSE))^2)))</f>
        <v>1000</v>
      </c>
      <c r="AM77" s="10">
        <f>IF($G77=AM$5,1000,IF(AM$4=0,1000,SQRT((VLOOKUP($G77,Coords[],3,FALSE)-VLOOKUP(AM$5,Coords[],3,FALSE))^2+(VLOOKUP($G77,Coords[],4,FALSE)-VLOOKUP(AM$5,Coords[],4,FALSE))^2)))</f>
        <v>1000</v>
      </c>
      <c r="AN77" s="10">
        <f>IF($G77=AN$5,1000,IF(AN$4=0,1000,SQRT((VLOOKUP($G77,Coords[],3,FALSE)-VLOOKUP(AN$5,Coords[],3,FALSE))^2+(VLOOKUP($G77,Coords[],4,FALSE)-VLOOKUP(AN$5,Coords[],4,FALSE))^2)))</f>
        <v>1000</v>
      </c>
      <c r="AO77" s="10">
        <f>IF($G77=AO$5,1000,IF(AO$4=0,1000,SQRT((VLOOKUP($G77,Coords[],3,FALSE)-VLOOKUP(AO$5,Coords[],3,FALSE))^2+(VLOOKUP($G77,Coords[],4,FALSE)-VLOOKUP(AO$5,Coords[],4,FALSE))^2)))</f>
        <v>1000</v>
      </c>
      <c r="AP77" s="10">
        <f>IF($G77=AP$5,1000,IF(AP$4=0,1000,SQRT((VLOOKUP($G77,Coords[],3,FALSE)-VLOOKUP(AP$5,Coords[],3,FALSE))^2+(VLOOKUP($G77,Coords[],4,FALSE)-VLOOKUP(AP$5,Coords[],4,FALSE))^2)))</f>
        <v>1000</v>
      </c>
      <c r="AQ77" s="10">
        <f>IF($G77=AQ$5,1000,IF(AQ$4=0,1000,SQRT((VLOOKUP($G77,Coords[],3,FALSE)-VLOOKUP(AQ$5,Coords[],3,FALSE))^2+(VLOOKUP($G77,Coords[],4,FALSE)-VLOOKUP(AQ$5,Coords[],4,FALSE))^2)))</f>
        <v>1000</v>
      </c>
      <c r="AR77" s="10">
        <f>IF($G77=AR$5,1000,IF(AR$4=0,1000,SQRT((VLOOKUP($G77,Coords[],3,FALSE)-VLOOKUP(AR$5,Coords[],3,FALSE))^2+(VLOOKUP($G77,Coords[],4,FALSE)-VLOOKUP(AR$5,Coords[],4,FALSE))^2)))</f>
        <v>1000</v>
      </c>
      <c r="AS77" s="10">
        <f>IF($G77=AS$5,1000,IF(AS$4=0,1000,SQRT((VLOOKUP($G77,Coords[],3,FALSE)-VLOOKUP(AS$5,Coords[],3,FALSE))^2+(VLOOKUP($G77,Coords[],4,FALSE)-VLOOKUP(AS$5,Coords[],4,FALSE))^2)))</f>
        <v>1000</v>
      </c>
      <c r="AT77" s="10">
        <f>IF($G77=AT$5,1000,IF(AT$4=0,1000,SQRT((VLOOKUP($G77,Coords[],3,FALSE)-VLOOKUP(AT$5,Coords[],3,FALSE))^2+(VLOOKUP($G77,Coords[],4,FALSE)-VLOOKUP(AT$5,Coords[],4,FALSE))^2)))</f>
        <v>1000</v>
      </c>
      <c r="AU77" s="10">
        <f>IF($G77=AU$5,1000,IF(AU$4=0,1000,SQRT((VLOOKUP($G77,Coords[],3,FALSE)-VLOOKUP(AU$5,Coords[],3,FALSE))^2+(VLOOKUP($G77,Coords[],4,FALSE)-VLOOKUP(AU$5,Coords[],4,FALSE))^2)))</f>
        <v>1000</v>
      </c>
      <c r="AV77" s="10">
        <f>IF($G77=AV$5,1000,IF(AV$4=0,1000,SQRT((VLOOKUP($G77,Coords[],3,FALSE)-VLOOKUP(AV$5,Coords[],3,FALSE))^2+(VLOOKUP($G77,Coords[],4,FALSE)-VLOOKUP(AV$5,Coords[],4,FALSE))^2)))</f>
        <v>1000</v>
      </c>
      <c r="AW77" s="10">
        <f>IF($G77=AW$5,1000,IF(AW$4=0,1000,SQRT((VLOOKUP($G77,Coords[],3,FALSE)-VLOOKUP(AW$5,Coords[],3,FALSE))^2+(VLOOKUP($G77,Coords[],4,FALSE)-VLOOKUP(AW$5,Coords[],4,FALSE))^2)))</f>
        <v>1000</v>
      </c>
      <c r="AX77" s="10">
        <f>IF($G77=AX$5,1000,IF(AX$4=0,1000,SQRT((VLOOKUP($G77,Coords[],3,FALSE)-VLOOKUP(AX$5,Coords[],3,FALSE))^2+(VLOOKUP($G77,Coords[],4,FALSE)-VLOOKUP(AX$5,Coords[],4,FALSE))^2)))</f>
        <v>1000</v>
      </c>
      <c r="AY77" s="10">
        <f>IF($G77=AY$5,1000,IF(AY$4=0,1000,SQRT((VLOOKUP($G77,Coords[],3,FALSE)-VLOOKUP(AY$5,Coords[],3,FALSE))^2+(VLOOKUP($G77,Coords[],4,FALSE)-VLOOKUP(AY$5,Coords[],4,FALSE))^2)))</f>
        <v>1000</v>
      </c>
      <c r="AZ77" s="10">
        <f>IF($G77=AZ$5,1000,IF(AZ$4=0,1000,SQRT((VLOOKUP($G77,Coords[],3,FALSE)-VLOOKUP(AZ$5,Coords[],3,FALSE))^2+(VLOOKUP($G77,Coords[],4,FALSE)-VLOOKUP(AZ$5,Coords[],4,FALSE))^2)))</f>
        <v>1000</v>
      </c>
      <c r="BA77" s="10">
        <f>IF($G77=BA$5,1000,IF(BA$4=0,1000,SQRT((VLOOKUP($G77,Coords[],3,FALSE)-VLOOKUP(BA$5,Coords[],3,FALSE))^2+(VLOOKUP($G77,Coords[],4,FALSE)-VLOOKUP(BA$5,Coords[],4,FALSE))^2)))</f>
        <v>1000</v>
      </c>
      <c r="BB77" s="10">
        <f>IF($G77=BB$5,1000,IF(BB$4=0,1000,SQRT((VLOOKUP($G77,Coords[],3,FALSE)-VLOOKUP(BB$5,Coords[],3,FALSE))^2+(VLOOKUP($G77,Coords[],4,FALSE)-VLOOKUP(BB$5,Coords[],4,FALSE))^2)))</f>
        <v>1000</v>
      </c>
      <c r="BC77" s="10">
        <f>IF($G77=BC$5,1000,IF(BC$4=0,1000,SQRT((VLOOKUP($G77,Coords[],3,FALSE)-VLOOKUP(BC$5,Coords[],3,FALSE))^2+(VLOOKUP($G77,Coords[],4,FALSE)-VLOOKUP(BC$5,Coords[],4,FALSE))^2)))</f>
        <v>1000</v>
      </c>
      <c r="BD77" s="10">
        <f>IF($G77=BD$5,1000,IF(BD$4=0,1000,SQRT((VLOOKUP($G77,Coords[],3,FALSE)-VLOOKUP(BD$5,Coords[],3,FALSE))^2+(VLOOKUP($G77,Coords[],4,FALSE)-VLOOKUP(BD$5,Coords[],4,FALSE))^2)))</f>
        <v>1000</v>
      </c>
      <c r="BE77" s="10">
        <f>IF($G77=BE$5,1000,IF(BE$4=0,1000,SQRT((VLOOKUP($G77,Coords[],3,FALSE)-VLOOKUP(BE$5,Coords[],3,FALSE))^2+(VLOOKUP($G77,Coords[],4,FALSE)-VLOOKUP(BE$5,Coords[],4,FALSE))^2)))</f>
        <v>1000</v>
      </c>
      <c r="BF77" s="10">
        <f>IF($G77=BF$5,1000,IF(BF$4=0,1000,SQRT((VLOOKUP($G77,Coords[],3,FALSE)-VLOOKUP(BF$5,Coords[],3,FALSE))^2+(VLOOKUP($G77,Coords[],4,FALSE)-VLOOKUP(BF$5,Coords[],4,FALSE))^2)))</f>
        <v>1000</v>
      </c>
      <c r="BG77" s="10">
        <f>IF($G77=BG$5,1000,IF(BG$4=0,1000,SQRT((VLOOKUP($G77,Coords[],3,FALSE)-VLOOKUP(BG$5,Coords[],3,FALSE))^2+(VLOOKUP($G77,Coords[],4,FALSE)-VLOOKUP(BG$5,Coords[],4,FALSE))^2)))</f>
        <v>1000</v>
      </c>
      <c r="BH77" s="10">
        <f>IF($G77=BH$5,1000,IF(BH$4=0,1000,SQRT((VLOOKUP($G77,Coords[],3,FALSE)-VLOOKUP(BH$5,Coords[],3,FALSE))^2+(VLOOKUP($G77,Coords[],4,FALSE)-VLOOKUP(BH$5,Coords[],4,FALSE))^2)))</f>
        <v>1000</v>
      </c>
      <c r="BI77" s="10">
        <f>IF($G77=BI$5,1000,IF(BI$4=0,1000,SQRT((VLOOKUP($G77,Coords[],3,FALSE)-VLOOKUP(BI$5,Coords[],3,FALSE))^2+(VLOOKUP($G77,Coords[],4,FALSE)-VLOOKUP(BI$5,Coords[],4,FALSE))^2)))</f>
        <v>1000</v>
      </c>
      <c r="BJ77" s="10">
        <f>IF($G77=BJ$5,1000,IF(BJ$4=0,1000,SQRT((VLOOKUP($G77,Coords[],3,FALSE)-VLOOKUP(BJ$5,Coords[],3,FALSE))^2+(VLOOKUP($G77,Coords[],4,FALSE)-VLOOKUP(BJ$5,Coords[],4,FALSE))^2)))</f>
        <v>1000</v>
      </c>
      <c r="BK77" s="10">
        <f>IF($G77=BK$5,1000,IF(BK$4=0,1000,SQRT((VLOOKUP($G77,Coords[],3,FALSE)-VLOOKUP(BK$5,Coords[],3,FALSE))^2+(VLOOKUP($G77,Coords[],4,FALSE)-VLOOKUP(BK$5,Coords[],4,FALSE))^2)))</f>
        <v>1000</v>
      </c>
      <c r="BL77" s="10">
        <f>IF($G77=BL$5,1000,IF(BL$4=0,1000,SQRT((VLOOKUP($G77,Coords[],3,FALSE)-VLOOKUP(BL$5,Coords[],3,FALSE))^2+(VLOOKUP($G77,Coords[],4,FALSE)-VLOOKUP(BL$5,Coords[],4,FALSE))^2)))</f>
        <v>1000</v>
      </c>
      <c r="BM77" s="10">
        <f>IF($G77=BM$5,1000,IF(BM$4=0,1000,SQRT((VLOOKUP($G77,Coords[],3,FALSE)-VLOOKUP(BM$5,Coords[],3,FALSE))^2+(VLOOKUP($G77,Coords[],4,FALSE)-VLOOKUP(BM$5,Coords[],4,FALSE))^2)))</f>
        <v>1000</v>
      </c>
      <c r="BN77" s="10">
        <f>IF($G77=BN$5,1000,IF(BN$4=0,1000,SQRT((VLOOKUP($G77,Coords[],3,FALSE)-VLOOKUP(BN$5,Coords[],3,FALSE))^2+(VLOOKUP($G77,Coords[],4,FALSE)-VLOOKUP(BN$5,Coords[],4,FALSE))^2)))</f>
        <v>1000</v>
      </c>
      <c r="BO77" s="10">
        <f>IF($G77=BO$5,1000,IF(BO$4=0,1000,SQRT((VLOOKUP($G77,Coords[],3,FALSE)-VLOOKUP(BO$5,Coords[],3,FALSE))^2+(VLOOKUP($G77,Coords[],4,FALSE)-VLOOKUP(BO$5,Coords[],4,FALSE))^2)))</f>
        <v>1000</v>
      </c>
      <c r="BP77" s="10">
        <f>IF($G77=BP$5,1000,IF(BP$4=0,1000,SQRT((VLOOKUP($G77,Coords[],3,FALSE)-VLOOKUP(BP$5,Coords[],3,FALSE))^2+(VLOOKUP($G77,Coords[],4,FALSE)-VLOOKUP(BP$5,Coords[],4,FALSE))^2)))</f>
        <v>1000</v>
      </c>
      <c r="BQ77" s="10">
        <f>IF($G77=BQ$5,1000,IF(BQ$4=0,1000,SQRT((VLOOKUP($G77,Coords[],3,FALSE)-VLOOKUP(BQ$5,Coords[],3,FALSE))^2+(VLOOKUP($G77,Coords[],4,FALSE)-VLOOKUP(BQ$5,Coords[],4,FALSE))^2)))</f>
        <v>1000</v>
      </c>
      <c r="BR77" s="10">
        <f>IF($G77=BR$5,1000,IF(BR$4=0,1000,SQRT((VLOOKUP($G77,Coords[],3,FALSE)-VLOOKUP(BR$5,Coords[],3,FALSE))^2+(VLOOKUP($G77,Coords[],4,FALSE)-VLOOKUP(BR$5,Coords[],4,FALSE))^2)))</f>
        <v>1000</v>
      </c>
      <c r="BS77" s="10">
        <f>IF($G77=BS$5,1000,IF(BS$4=0,1000,SQRT((VLOOKUP($G77,Coords[],3,FALSE)-VLOOKUP(BS$5,Coords[],3,FALSE))^2+(VLOOKUP($G77,Coords[],4,FALSE)-VLOOKUP(BS$5,Coords[],4,FALSE))^2)))</f>
        <v>1000</v>
      </c>
      <c r="BT77" s="10">
        <f>IF($G77=BT$5,1000,IF(BT$4=0,1000,SQRT((VLOOKUP($G77,Coords[],3,FALSE)-VLOOKUP(BT$5,Coords[],3,FALSE))^2+(VLOOKUP($G77,Coords[],4,FALSE)-VLOOKUP(BT$5,Coords[],4,FALSE))^2)))</f>
        <v>1000</v>
      </c>
      <c r="BU77" s="10">
        <f>IF($G77=BU$5,1000,IF(BU$4=0,1000,SQRT((VLOOKUP($G77,Coords[],3,FALSE)-VLOOKUP(BU$5,Coords[],3,FALSE))^2+(VLOOKUP($G77,Coords[],4,FALSE)-VLOOKUP(BU$5,Coords[],4,FALSE))^2)))</f>
        <v>1000</v>
      </c>
      <c r="BV77" s="10">
        <f>IF($G77=BV$5,1000,IF(BV$4=0,1000,SQRT((VLOOKUP($G77,Coords[],3,FALSE)-VLOOKUP(BV$5,Coords[],3,FALSE))^2+(VLOOKUP($G77,Coords[],4,FALSE)-VLOOKUP(BV$5,Coords[],4,FALSE))^2)))</f>
        <v>1000</v>
      </c>
      <c r="BW77" s="10">
        <f>IF($G77=BW$5,1000,IF(BW$4=0,1000,SQRT((VLOOKUP($G77,Coords[],3,FALSE)-VLOOKUP(BW$5,Coords[],3,FALSE))^2+(VLOOKUP($G77,Coords[],4,FALSE)-VLOOKUP(BW$5,Coords[],4,FALSE))^2)))</f>
        <v>1000</v>
      </c>
      <c r="BX77" s="10">
        <f>IF($G77=BX$5,1000,IF(BX$4=0,1000,SQRT((VLOOKUP($G77,Coords[],3,FALSE)-VLOOKUP(BX$5,Coords[],3,FALSE))^2+(VLOOKUP($G77,Coords[],4,FALSE)-VLOOKUP(BX$5,Coords[],4,FALSE))^2)))</f>
        <v>1000</v>
      </c>
      <c r="BY77" s="10">
        <f>IF($G77=BY$5,1000,IF(BY$4=0,1000,SQRT((VLOOKUP($G77,Coords[],3,FALSE)-VLOOKUP(BY$5,Coords[],3,FALSE))^2+(VLOOKUP($G77,Coords[],4,FALSE)-VLOOKUP(BY$5,Coords[],4,FALSE))^2)))</f>
        <v>1000</v>
      </c>
      <c r="BZ77" s="10">
        <f>IF($G77=BZ$5,1000,IF(BZ$4=0,1000,SQRT((VLOOKUP($G77,Coords[],3,FALSE)-VLOOKUP(BZ$5,Coords[],3,FALSE))^2+(VLOOKUP($G77,Coords[],4,FALSE)-VLOOKUP(BZ$5,Coords[],4,FALSE))^2)))</f>
        <v>1000</v>
      </c>
      <c r="CA77" s="10">
        <f>IF($G77=CA$5,1000,IF(CA$4=0,1000,SQRT((VLOOKUP($G77,Coords[],3,FALSE)-VLOOKUP(CA$5,Coords[],3,FALSE))^2+(VLOOKUP($G77,Coords[],4,FALSE)-VLOOKUP(CA$5,Coords[],4,FALSE))^2)))</f>
        <v>1000</v>
      </c>
      <c r="CB77" s="10">
        <f>IF($G77=CB$5,1000,IF(CB$4=0,1000,SQRT((VLOOKUP($G77,Coords[],3,FALSE)-VLOOKUP(CB$5,Coords[],3,FALSE))^2+(VLOOKUP($G77,Coords[],4,FALSE)-VLOOKUP(CB$5,Coords[],4,FALSE))^2)))</f>
        <v>1000</v>
      </c>
      <c r="CC77" s="10">
        <f>IF($G77=CC$5,1000,IF(CC$4=0,1000,SQRT((VLOOKUP($G77,Coords[],3,FALSE)-VLOOKUP(CC$5,Coords[],3,FALSE))^2+(VLOOKUP($G77,Coords[],4,FALSE)-VLOOKUP(CC$5,Coords[],4,FALSE))^2)))</f>
        <v>1000</v>
      </c>
      <c r="CD77" s="10">
        <f>IF($G77=CD$5,1000,IF(CD$4=0,1000,SQRT((VLOOKUP($G77,Coords[],3,FALSE)-VLOOKUP(CD$5,Coords[],3,FALSE))^2+(VLOOKUP($G77,Coords[],4,FALSE)-VLOOKUP(CD$5,Coords[],4,FALSE))^2)))</f>
        <v>1000</v>
      </c>
      <c r="CE77" s="10">
        <f>IF($G77=CE$5,1000,IF(CE$4=0,1000,SQRT((VLOOKUP($G77,Coords[],3,FALSE)-VLOOKUP(CE$5,Coords[],3,FALSE))^2+(VLOOKUP($G77,Coords[],4,FALSE)-VLOOKUP(CE$5,Coords[],4,FALSE))^2)))</f>
        <v>1000</v>
      </c>
      <c r="CF77" s="4">
        <v>72</v>
      </c>
      <c r="CH77" s="5">
        <f>IF(E77=1,0,VLOOKUP($G77,$G$6:$CE$82,HLOOKUP(MIN(H77:CE77),$H77:$CE$82,((COUNT($G$6:$G$81)+2)-$G77),FALSE)+1,FALSE)*B77)</f>
        <v>0</v>
      </c>
      <c r="CI77" s="9">
        <f>VLOOKUP($G77,$G$6:$CE$82,HLOOKUP(MIN(H77:CE77),$H77:$CE$82,((COUNT($G$6:$G$81)+2)-$G77),FALSE)+1,FALSE)</f>
        <v>1000</v>
      </c>
      <c r="CJ77" s="7">
        <f>HLOOKUP(MIN(H77:CE77),$H77:$CE$82,((COUNT($G$6:$G$81)+2)-$G77),FALSE)</f>
        <v>1</v>
      </c>
      <c r="CK77">
        <f>CI77*Coords[[#This Row],[Demand]]</f>
        <v>0</v>
      </c>
    </row>
    <row r="78" spans="1:89" x14ac:dyDescent="0.25">
      <c r="A78" s="8">
        <v>73</v>
      </c>
      <c r="B78" s="3"/>
      <c r="C78" s="3"/>
      <c r="D78" s="3"/>
      <c r="E78" s="3"/>
      <c r="G78" s="4">
        <v>73</v>
      </c>
      <c r="H78" s="10">
        <f>IF($G78=H$5,1000,IF(H$4=0,1000,SQRT((VLOOKUP($G78,Coords[],3,FALSE)-VLOOKUP(H$5,Coords[],3,FALSE))^2+(VLOOKUP($G78,Coords[],4,FALSE)-VLOOKUP(H$5,Coords[],4,FALSE))^2)))</f>
        <v>1000</v>
      </c>
      <c r="I78" s="10">
        <f>IF($G78=I$5,1000,IF(I$4=0,1000,SQRT((VLOOKUP($G78,Coords[],3,FALSE)-VLOOKUP(I$5,Coords[],3,FALSE))^2+(VLOOKUP($G78,Coords[],4,FALSE)-VLOOKUP(I$5,Coords[],4,FALSE))^2)))</f>
        <v>1000</v>
      </c>
      <c r="J78" s="10">
        <f>IF($G78=J$5,1000,IF(J$4=0,1000,SQRT((VLOOKUP($G78,Coords[],3,FALSE)-VLOOKUP(J$5,Coords[],3,FALSE))^2+(VLOOKUP($G78,Coords[],4,FALSE)-VLOOKUP(J$5,Coords[],4,FALSE))^2)))</f>
        <v>1000</v>
      </c>
      <c r="K78" s="10">
        <f>IF($G78=K$5,1000,IF(K$4=0,1000,SQRT((VLOOKUP($G78,Coords[],3,FALSE)-VLOOKUP(K$5,Coords[],3,FALSE))^2+(VLOOKUP($G78,Coords[],4,FALSE)-VLOOKUP(K$5,Coords[],4,FALSE))^2)))</f>
        <v>1000</v>
      </c>
      <c r="L78" s="10">
        <f>IF($G78=L$5,1000,IF(L$4=0,1000,SQRT((VLOOKUP($G78,Coords[],3,FALSE)-VLOOKUP(L$5,Coords[],3,FALSE))^2+(VLOOKUP($G78,Coords[],4,FALSE)-VLOOKUP(L$5,Coords[],4,FALSE))^2)))</f>
        <v>1000</v>
      </c>
      <c r="M78" s="10">
        <f>IF($G78=M$5,1000,IF(M$4=0,1000,SQRT((VLOOKUP($G78,Coords[],3,FALSE)-VLOOKUP(M$5,Coords[],3,FALSE))^2+(VLOOKUP($G78,Coords[],4,FALSE)-VLOOKUP(M$5,Coords[],4,FALSE))^2)))</f>
        <v>1000</v>
      </c>
      <c r="N78" s="10">
        <f>IF($G78=N$5,1000,IF(N$4=0,1000,SQRT((VLOOKUP($G78,Coords[],3,FALSE)-VLOOKUP(N$5,Coords[],3,FALSE))^2+(VLOOKUP($G78,Coords[],4,FALSE)-VLOOKUP(N$5,Coords[],4,FALSE))^2)))</f>
        <v>1000</v>
      </c>
      <c r="O78" s="10">
        <f>IF($G78=O$5,1000,IF(O$4=0,1000,SQRT((VLOOKUP($G78,Coords[],3,FALSE)-VLOOKUP(O$5,Coords[],3,FALSE))^2+(VLOOKUP($G78,Coords[],4,FALSE)-VLOOKUP(O$5,Coords[],4,FALSE))^2)))</f>
        <v>1000</v>
      </c>
      <c r="P78" s="10">
        <f>IF($G78=P$5,1000,IF(P$4=0,1000,SQRT((VLOOKUP($G78,Coords[],3,FALSE)-VLOOKUP(P$5,Coords[],3,FALSE))^2+(VLOOKUP($G78,Coords[],4,FALSE)-VLOOKUP(P$5,Coords[],4,FALSE))^2)))</f>
        <v>1000</v>
      </c>
      <c r="Q78" s="10">
        <f>IF($G78=Q$5,1000,IF(Q$4=0,1000,SQRT((VLOOKUP($G78,Coords[],3,FALSE)-VLOOKUP(Q$5,Coords[],3,FALSE))^2+(VLOOKUP($G78,Coords[],4,FALSE)-VLOOKUP(Q$5,Coords[],4,FALSE))^2)))</f>
        <v>1000</v>
      </c>
      <c r="R78" s="10">
        <f>IF($G78=R$5,1000,IF(R$4=0,1000,SQRT((VLOOKUP($G78,Coords[],3,FALSE)-VLOOKUP(R$5,Coords[],3,FALSE))^2+(VLOOKUP($G78,Coords[],4,FALSE)-VLOOKUP(R$5,Coords[],4,FALSE))^2)))</f>
        <v>1000</v>
      </c>
      <c r="S78" s="10">
        <f>IF($G78=S$5,1000,IF(S$4=0,1000,SQRT((VLOOKUP($G78,Coords[],3,FALSE)-VLOOKUP(S$5,Coords[],3,FALSE))^2+(VLOOKUP($G78,Coords[],4,FALSE)-VLOOKUP(S$5,Coords[],4,FALSE))^2)))</f>
        <v>1000</v>
      </c>
      <c r="T78" s="10">
        <f>IF($G78=T$5,1000,IF(T$4=0,1000,SQRT((VLOOKUP($G78,Coords[],3,FALSE)-VLOOKUP(T$5,Coords[],3,FALSE))^2+(VLOOKUP($G78,Coords[],4,FALSE)-VLOOKUP(T$5,Coords[],4,FALSE))^2)))</f>
        <v>1000</v>
      </c>
      <c r="U78" s="10">
        <f>IF($G78=U$5,1000,IF(U$4=0,1000,SQRT((VLOOKUP($G78,Coords[],3,FALSE)-VLOOKUP(U$5,Coords[],3,FALSE))^2+(VLOOKUP($G78,Coords[],4,FALSE)-VLOOKUP(U$5,Coords[],4,FALSE))^2)))</f>
        <v>1000</v>
      </c>
      <c r="V78" s="10">
        <f>IF($G78=V$5,1000,IF(V$4=0,1000,SQRT((VLOOKUP($G78,Coords[],3,FALSE)-VLOOKUP(V$5,Coords[],3,FALSE))^2+(VLOOKUP($G78,Coords[],4,FALSE)-VLOOKUP(V$5,Coords[],4,FALSE))^2)))</f>
        <v>1000</v>
      </c>
      <c r="W78" s="10">
        <f>IF($G78=W$5,1000,IF(W$4=0,1000,SQRT((VLOOKUP($G78,Coords[],3,FALSE)-VLOOKUP(W$5,Coords[],3,FALSE))^2+(VLOOKUP($G78,Coords[],4,FALSE)-VLOOKUP(W$5,Coords[],4,FALSE))^2)))</f>
        <v>1000</v>
      </c>
      <c r="X78" s="10">
        <f>IF($G78=X$5,1000,IF(X$4=0,1000,SQRT((VLOOKUP($G78,Coords[],3,FALSE)-VLOOKUP(X$5,Coords[],3,FALSE))^2+(VLOOKUP($G78,Coords[],4,FALSE)-VLOOKUP(X$5,Coords[],4,FALSE))^2)))</f>
        <v>1000</v>
      </c>
      <c r="Y78" s="10">
        <f>IF($G78=Y$5,1000,IF(Y$4=0,1000,SQRT((VLOOKUP($G78,Coords[],3,FALSE)-VLOOKUP(Y$5,Coords[],3,FALSE))^2+(VLOOKUP($G78,Coords[],4,FALSE)-VLOOKUP(Y$5,Coords[],4,FALSE))^2)))</f>
        <v>1000</v>
      </c>
      <c r="Z78" s="10">
        <f>IF($G78=Z$5,1000,IF(Z$4=0,1000,SQRT((VLOOKUP($G78,Coords[],3,FALSE)-VLOOKUP(Z$5,Coords[],3,FALSE))^2+(VLOOKUP($G78,Coords[],4,FALSE)-VLOOKUP(Z$5,Coords[],4,FALSE))^2)))</f>
        <v>1000</v>
      </c>
      <c r="AA78" s="10">
        <f>IF($G78=AA$5,1000,IF(AA$4=0,1000,SQRT((VLOOKUP($G78,Coords[],3,FALSE)-VLOOKUP(AA$5,Coords[],3,FALSE))^2+(VLOOKUP($G78,Coords[],4,FALSE)-VLOOKUP(AA$5,Coords[],4,FALSE))^2)))</f>
        <v>1000</v>
      </c>
      <c r="AB78" s="10">
        <f>IF($G78=AB$5,1000,IF(AB$4=0,1000,SQRT((VLOOKUP($G78,Coords[],3,FALSE)-VLOOKUP(AB$5,Coords[],3,FALSE))^2+(VLOOKUP($G78,Coords[],4,FALSE)-VLOOKUP(AB$5,Coords[],4,FALSE))^2)))</f>
        <v>1000</v>
      </c>
      <c r="AC78" s="10">
        <f>IF($G78=AC$5,1000,IF(AC$4=0,1000,SQRT((VLOOKUP($G78,Coords[],3,FALSE)-VLOOKUP(AC$5,Coords[],3,FALSE))^2+(VLOOKUP($G78,Coords[],4,FALSE)-VLOOKUP(AC$5,Coords[],4,FALSE))^2)))</f>
        <v>1000</v>
      </c>
      <c r="AD78" s="10">
        <f>IF($G78=AD$5,1000,IF(AD$4=0,1000,SQRT((VLOOKUP($G78,Coords[],3,FALSE)-VLOOKUP(AD$5,Coords[],3,FALSE))^2+(VLOOKUP($G78,Coords[],4,FALSE)-VLOOKUP(AD$5,Coords[],4,FALSE))^2)))</f>
        <v>1000</v>
      </c>
      <c r="AE78" s="10">
        <f>IF($G78=AE$5,1000,IF(AE$4=0,1000,SQRT((VLOOKUP($G78,Coords[],3,FALSE)-VLOOKUP(AE$5,Coords[],3,FALSE))^2+(VLOOKUP($G78,Coords[],4,FALSE)-VLOOKUP(AE$5,Coords[],4,FALSE))^2)))</f>
        <v>1000</v>
      </c>
      <c r="AF78" s="10">
        <f>IF($G78=AF$5,1000,IF(AF$4=0,1000,SQRT((VLOOKUP($G78,Coords[],3,FALSE)-VLOOKUP(AF$5,Coords[],3,FALSE))^2+(VLOOKUP($G78,Coords[],4,FALSE)-VLOOKUP(AF$5,Coords[],4,FALSE))^2)))</f>
        <v>1000</v>
      </c>
      <c r="AG78" s="10">
        <f>IF($G78=AG$5,1000,IF(AG$4=0,1000,SQRT((VLOOKUP($G78,Coords[],3,FALSE)-VLOOKUP(AG$5,Coords[],3,FALSE))^2+(VLOOKUP($G78,Coords[],4,FALSE)-VLOOKUP(AG$5,Coords[],4,FALSE))^2)))</f>
        <v>1000</v>
      </c>
      <c r="AH78" s="10">
        <f>IF($G78=AH$5,1000,IF(AH$4=0,1000,SQRT((VLOOKUP($G78,Coords[],3,FALSE)-VLOOKUP(AH$5,Coords[],3,FALSE))^2+(VLOOKUP($G78,Coords[],4,FALSE)-VLOOKUP(AH$5,Coords[],4,FALSE))^2)))</f>
        <v>1000</v>
      </c>
      <c r="AI78" s="10">
        <f>IF($G78=AI$5,1000,IF(AI$4=0,1000,SQRT((VLOOKUP($G78,Coords[],3,FALSE)-VLOOKUP(AI$5,Coords[],3,FALSE))^2+(VLOOKUP($G78,Coords[],4,FALSE)-VLOOKUP(AI$5,Coords[],4,FALSE))^2)))</f>
        <v>1000</v>
      </c>
      <c r="AJ78" s="10">
        <f>IF($G78=AJ$5,1000,IF(AJ$4=0,1000,SQRT((VLOOKUP($G78,Coords[],3,FALSE)-VLOOKUP(AJ$5,Coords[],3,FALSE))^2+(VLOOKUP($G78,Coords[],4,FALSE)-VLOOKUP(AJ$5,Coords[],4,FALSE))^2)))</f>
        <v>1000</v>
      </c>
      <c r="AK78" s="10">
        <f>IF($G78=AK$5,1000,IF(AK$4=0,1000,SQRT((VLOOKUP($G78,Coords[],3,FALSE)-VLOOKUP(AK$5,Coords[],3,FALSE))^2+(VLOOKUP($G78,Coords[],4,FALSE)-VLOOKUP(AK$5,Coords[],4,FALSE))^2)))</f>
        <v>1000</v>
      </c>
      <c r="AL78" s="10">
        <f>IF($G78=AL$5,1000,IF(AL$4=0,1000,SQRT((VLOOKUP($G78,Coords[],3,FALSE)-VLOOKUP(AL$5,Coords[],3,FALSE))^2+(VLOOKUP($G78,Coords[],4,FALSE)-VLOOKUP(AL$5,Coords[],4,FALSE))^2)))</f>
        <v>1000</v>
      </c>
      <c r="AM78" s="10">
        <f>IF($G78=AM$5,1000,IF(AM$4=0,1000,SQRT((VLOOKUP($G78,Coords[],3,FALSE)-VLOOKUP(AM$5,Coords[],3,FALSE))^2+(VLOOKUP($G78,Coords[],4,FALSE)-VLOOKUP(AM$5,Coords[],4,FALSE))^2)))</f>
        <v>1000</v>
      </c>
      <c r="AN78" s="10">
        <f>IF($G78=AN$5,1000,IF(AN$4=0,1000,SQRT((VLOOKUP($G78,Coords[],3,FALSE)-VLOOKUP(AN$5,Coords[],3,FALSE))^2+(VLOOKUP($G78,Coords[],4,FALSE)-VLOOKUP(AN$5,Coords[],4,FALSE))^2)))</f>
        <v>1000</v>
      </c>
      <c r="AO78" s="10">
        <f>IF($G78=AO$5,1000,IF(AO$4=0,1000,SQRT((VLOOKUP($G78,Coords[],3,FALSE)-VLOOKUP(AO$5,Coords[],3,FALSE))^2+(VLOOKUP($G78,Coords[],4,FALSE)-VLOOKUP(AO$5,Coords[],4,FALSE))^2)))</f>
        <v>1000</v>
      </c>
      <c r="AP78" s="10">
        <f>IF($G78=AP$5,1000,IF(AP$4=0,1000,SQRT((VLOOKUP($G78,Coords[],3,FALSE)-VLOOKUP(AP$5,Coords[],3,FALSE))^2+(VLOOKUP($G78,Coords[],4,FALSE)-VLOOKUP(AP$5,Coords[],4,FALSE))^2)))</f>
        <v>1000</v>
      </c>
      <c r="AQ78" s="10">
        <f>IF($G78=AQ$5,1000,IF(AQ$4=0,1000,SQRT((VLOOKUP($G78,Coords[],3,FALSE)-VLOOKUP(AQ$5,Coords[],3,FALSE))^2+(VLOOKUP($G78,Coords[],4,FALSE)-VLOOKUP(AQ$5,Coords[],4,FALSE))^2)))</f>
        <v>1000</v>
      </c>
      <c r="AR78" s="10">
        <f>IF($G78=AR$5,1000,IF(AR$4=0,1000,SQRT((VLOOKUP($G78,Coords[],3,FALSE)-VLOOKUP(AR$5,Coords[],3,FALSE))^2+(VLOOKUP($G78,Coords[],4,FALSE)-VLOOKUP(AR$5,Coords[],4,FALSE))^2)))</f>
        <v>1000</v>
      </c>
      <c r="AS78" s="10">
        <f>IF($G78=AS$5,1000,IF(AS$4=0,1000,SQRT((VLOOKUP($G78,Coords[],3,FALSE)-VLOOKUP(AS$5,Coords[],3,FALSE))^2+(VLOOKUP($G78,Coords[],4,FALSE)-VLOOKUP(AS$5,Coords[],4,FALSE))^2)))</f>
        <v>1000</v>
      </c>
      <c r="AT78" s="10">
        <f>IF($G78=AT$5,1000,IF(AT$4=0,1000,SQRT((VLOOKUP($G78,Coords[],3,FALSE)-VLOOKUP(AT$5,Coords[],3,FALSE))^2+(VLOOKUP($G78,Coords[],4,FALSE)-VLOOKUP(AT$5,Coords[],4,FALSE))^2)))</f>
        <v>1000</v>
      </c>
      <c r="AU78" s="10">
        <f>IF($G78=AU$5,1000,IF(AU$4=0,1000,SQRT((VLOOKUP($G78,Coords[],3,FALSE)-VLOOKUP(AU$5,Coords[],3,FALSE))^2+(VLOOKUP($G78,Coords[],4,FALSE)-VLOOKUP(AU$5,Coords[],4,FALSE))^2)))</f>
        <v>1000</v>
      </c>
      <c r="AV78" s="10">
        <f>IF($G78=AV$5,1000,IF(AV$4=0,1000,SQRT((VLOOKUP($G78,Coords[],3,FALSE)-VLOOKUP(AV$5,Coords[],3,FALSE))^2+(VLOOKUP($G78,Coords[],4,FALSE)-VLOOKUP(AV$5,Coords[],4,FALSE))^2)))</f>
        <v>1000</v>
      </c>
      <c r="AW78" s="10">
        <f>IF($G78=AW$5,1000,IF(AW$4=0,1000,SQRT((VLOOKUP($G78,Coords[],3,FALSE)-VLOOKUP(AW$5,Coords[],3,FALSE))^2+(VLOOKUP($G78,Coords[],4,FALSE)-VLOOKUP(AW$5,Coords[],4,FALSE))^2)))</f>
        <v>1000</v>
      </c>
      <c r="AX78" s="10">
        <f>IF($G78=AX$5,1000,IF(AX$4=0,1000,SQRT((VLOOKUP($G78,Coords[],3,FALSE)-VLOOKUP(AX$5,Coords[],3,FALSE))^2+(VLOOKUP($G78,Coords[],4,FALSE)-VLOOKUP(AX$5,Coords[],4,FALSE))^2)))</f>
        <v>1000</v>
      </c>
      <c r="AY78" s="10">
        <f>IF($G78=AY$5,1000,IF(AY$4=0,1000,SQRT((VLOOKUP($G78,Coords[],3,FALSE)-VLOOKUP(AY$5,Coords[],3,FALSE))^2+(VLOOKUP($G78,Coords[],4,FALSE)-VLOOKUP(AY$5,Coords[],4,FALSE))^2)))</f>
        <v>1000</v>
      </c>
      <c r="AZ78" s="10">
        <f>IF($G78=AZ$5,1000,IF(AZ$4=0,1000,SQRT((VLOOKUP($G78,Coords[],3,FALSE)-VLOOKUP(AZ$5,Coords[],3,FALSE))^2+(VLOOKUP($G78,Coords[],4,FALSE)-VLOOKUP(AZ$5,Coords[],4,FALSE))^2)))</f>
        <v>1000</v>
      </c>
      <c r="BA78" s="10">
        <f>IF($G78=BA$5,1000,IF(BA$4=0,1000,SQRT((VLOOKUP($G78,Coords[],3,FALSE)-VLOOKUP(BA$5,Coords[],3,FALSE))^2+(VLOOKUP($G78,Coords[],4,FALSE)-VLOOKUP(BA$5,Coords[],4,FALSE))^2)))</f>
        <v>1000</v>
      </c>
      <c r="BB78" s="10">
        <f>IF($G78=BB$5,1000,IF(BB$4=0,1000,SQRT((VLOOKUP($G78,Coords[],3,FALSE)-VLOOKUP(BB$5,Coords[],3,FALSE))^2+(VLOOKUP($G78,Coords[],4,FALSE)-VLOOKUP(BB$5,Coords[],4,FALSE))^2)))</f>
        <v>1000</v>
      </c>
      <c r="BC78" s="10">
        <f>IF($G78=BC$5,1000,IF(BC$4=0,1000,SQRT((VLOOKUP($G78,Coords[],3,FALSE)-VLOOKUP(BC$5,Coords[],3,FALSE))^2+(VLOOKUP($G78,Coords[],4,FALSE)-VLOOKUP(BC$5,Coords[],4,FALSE))^2)))</f>
        <v>1000</v>
      </c>
      <c r="BD78" s="10">
        <f>IF($G78=BD$5,1000,IF(BD$4=0,1000,SQRT((VLOOKUP($G78,Coords[],3,FALSE)-VLOOKUP(BD$5,Coords[],3,FALSE))^2+(VLOOKUP($G78,Coords[],4,FALSE)-VLOOKUP(BD$5,Coords[],4,FALSE))^2)))</f>
        <v>1000</v>
      </c>
      <c r="BE78" s="10">
        <f>IF($G78=BE$5,1000,IF(BE$4=0,1000,SQRT((VLOOKUP($G78,Coords[],3,FALSE)-VLOOKUP(BE$5,Coords[],3,FALSE))^2+(VLOOKUP($G78,Coords[],4,FALSE)-VLOOKUP(BE$5,Coords[],4,FALSE))^2)))</f>
        <v>1000</v>
      </c>
      <c r="BF78" s="10">
        <f>IF($G78=BF$5,1000,IF(BF$4=0,1000,SQRT((VLOOKUP($G78,Coords[],3,FALSE)-VLOOKUP(BF$5,Coords[],3,FALSE))^2+(VLOOKUP($G78,Coords[],4,FALSE)-VLOOKUP(BF$5,Coords[],4,FALSE))^2)))</f>
        <v>1000</v>
      </c>
      <c r="BG78" s="10">
        <f>IF($G78=BG$5,1000,IF(BG$4=0,1000,SQRT((VLOOKUP($G78,Coords[],3,FALSE)-VLOOKUP(BG$5,Coords[],3,FALSE))^2+(VLOOKUP($G78,Coords[],4,FALSE)-VLOOKUP(BG$5,Coords[],4,FALSE))^2)))</f>
        <v>1000</v>
      </c>
      <c r="BH78" s="10">
        <f>IF($G78=BH$5,1000,IF(BH$4=0,1000,SQRT((VLOOKUP($G78,Coords[],3,FALSE)-VLOOKUP(BH$5,Coords[],3,FALSE))^2+(VLOOKUP($G78,Coords[],4,FALSE)-VLOOKUP(BH$5,Coords[],4,FALSE))^2)))</f>
        <v>1000</v>
      </c>
      <c r="BI78" s="10">
        <f>IF($G78=BI$5,1000,IF(BI$4=0,1000,SQRT((VLOOKUP($G78,Coords[],3,FALSE)-VLOOKUP(BI$5,Coords[],3,FALSE))^2+(VLOOKUP($G78,Coords[],4,FALSE)-VLOOKUP(BI$5,Coords[],4,FALSE))^2)))</f>
        <v>1000</v>
      </c>
      <c r="BJ78" s="10">
        <f>IF($G78=BJ$5,1000,IF(BJ$4=0,1000,SQRT((VLOOKUP($G78,Coords[],3,FALSE)-VLOOKUP(BJ$5,Coords[],3,FALSE))^2+(VLOOKUP($G78,Coords[],4,FALSE)-VLOOKUP(BJ$5,Coords[],4,FALSE))^2)))</f>
        <v>1000</v>
      </c>
      <c r="BK78" s="10">
        <f>IF($G78=BK$5,1000,IF(BK$4=0,1000,SQRT((VLOOKUP($G78,Coords[],3,FALSE)-VLOOKUP(BK$5,Coords[],3,FALSE))^2+(VLOOKUP($G78,Coords[],4,FALSE)-VLOOKUP(BK$5,Coords[],4,FALSE))^2)))</f>
        <v>1000</v>
      </c>
      <c r="BL78" s="10">
        <f>IF($G78=BL$5,1000,IF(BL$4=0,1000,SQRT((VLOOKUP($G78,Coords[],3,FALSE)-VLOOKUP(BL$5,Coords[],3,FALSE))^2+(VLOOKUP($G78,Coords[],4,FALSE)-VLOOKUP(BL$5,Coords[],4,FALSE))^2)))</f>
        <v>1000</v>
      </c>
      <c r="BM78" s="10">
        <f>IF($G78=BM$5,1000,IF(BM$4=0,1000,SQRT((VLOOKUP($G78,Coords[],3,FALSE)-VLOOKUP(BM$5,Coords[],3,FALSE))^2+(VLOOKUP($G78,Coords[],4,FALSE)-VLOOKUP(BM$5,Coords[],4,FALSE))^2)))</f>
        <v>1000</v>
      </c>
      <c r="BN78" s="10">
        <f>IF($G78=BN$5,1000,IF(BN$4=0,1000,SQRT((VLOOKUP($G78,Coords[],3,FALSE)-VLOOKUP(BN$5,Coords[],3,FALSE))^2+(VLOOKUP($G78,Coords[],4,FALSE)-VLOOKUP(BN$5,Coords[],4,FALSE))^2)))</f>
        <v>1000</v>
      </c>
      <c r="BO78" s="10">
        <f>IF($G78=BO$5,1000,IF(BO$4=0,1000,SQRT((VLOOKUP($G78,Coords[],3,FALSE)-VLOOKUP(BO$5,Coords[],3,FALSE))^2+(VLOOKUP($G78,Coords[],4,FALSE)-VLOOKUP(BO$5,Coords[],4,FALSE))^2)))</f>
        <v>1000</v>
      </c>
      <c r="BP78" s="10">
        <f>IF($G78=BP$5,1000,IF(BP$4=0,1000,SQRT((VLOOKUP($G78,Coords[],3,FALSE)-VLOOKUP(BP$5,Coords[],3,FALSE))^2+(VLOOKUP($G78,Coords[],4,FALSE)-VLOOKUP(BP$5,Coords[],4,FALSE))^2)))</f>
        <v>1000</v>
      </c>
      <c r="BQ78" s="10">
        <f>IF($G78=BQ$5,1000,IF(BQ$4=0,1000,SQRT((VLOOKUP($G78,Coords[],3,FALSE)-VLOOKUP(BQ$5,Coords[],3,FALSE))^2+(VLOOKUP($G78,Coords[],4,FALSE)-VLOOKUP(BQ$5,Coords[],4,FALSE))^2)))</f>
        <v>1000</v>
      </c>
      <c r="BR78" s="10">
        <f>IF($G78=BR$5,1000,IF(BR$4=0,1000,SQRT((VLOOKUP($G78,Coords[],3,FALSE)-VLOOKUP(BR$5,Coords[],3,FALSE))^2+(VLOOKUP($G78,Coords[],4,FALSE)-VLOOKUP(BR$5,Coords[],4,FALSE))^2)))</f>
        <v>1000</v>
      </c>
      <c r="BS78" s="10">
        <f>IF($G78=BS$5,1000,IF(BS$4=0,1000,SQRT((VLOOKUP($G78,Coords[],3,FALSE)-VLOOKUP(BS$5,Coords[],3,FALSE))^2+(VLOOKUP($G78,Coords[],4,FALSE)-VLOOKUP(BS$5,Coords[],4,FALSE))^2)))</f>
        <v>1000</v>
      </c>
      <c r="BT78" s="10">
        <f>IF($G78=BT$5,1000,IF(BT$4=0,1000,SQRT((VLOOKUP($G78,Coords[],3,FALSE)-VLOOKUP(BT$5,Coords[],3,FALSE))^2+(VLOOKUP($G78,Coords[],4,FALSE)-VLOOKUP(BT$5,Coords[],4,FALSE))^2)))</f>
        <v>1000</v>
      </c>
      <c r="BU78" s="10">
        <f>IF($G78=BU$5,1000,IF(BU$4=0,1000,SQRT((VLOOKUP($G78,Coords[],3,FALSE)-VLOOKUP(BU$5,Coords[],3,FALSE))^2+(VLOOKUP($G78,Coords[],4,FALSE)-VLOOKUP(BU$5,Coords[],4,FALSE))^2)))</f>
        <v>1000</v>
      </c>
      <c r="BV78" s="10">
        <f>IF($G78=BV$5,1000,IF(BV$4=0,1000,SQRT((VLOOKUP($G78,Coords[],3,FALSE)-VLOOKUP(BV$5,Coords[],3,FALSE))^2+(VLOOKUP($G78,Coords[],4,FALSE)-VLOOKUP(BV$5,Coords[],4,FALSE))^2)))</f>
        <v>1000</v>
      </c>
      <c r="BW78" s="10">
        <f>IF($G78=BW$5,1000,IF(BW$4=0,1000,SQRT((VLOOKUP($G78,Coords[],3,FALSE)-VLOOKUP(BW$5,Coords[],3,FALSE))^2+(VLOOKUP($G78,Coords[],4,FALSE)-VLOOKUP(BW$5,Coords[],4,FALSE))^2)))</f>
        <v>1000</v>
      </c>
      <c r="BX78" s="10">
        <f>IF($G78=BX$5,1000,IF(BX$4=0,1000,SQRT((VLOOKUP($G78,Coords[],3,FALSE)-VLOOKUP(BX$5,Coords[],3,FALSE))^2+(VLOOKUP($G78,Coords[],4,FALSE)-VLOOKUP(BX$5,Coords[],4,FALSE))^2)))</f>
        <v>1000</v>
      </c>
      <c r="BY78" s="10">
        <f>IF($G78=BY$5,1000,IF(BY$4=0,1000,SQRT((VLOOKUP($G78,Coords[],3,FALSE)-VLOOKUP(BY$5,Coords[],3,FALSE))^2+(VLOOKUP($G78,Coords[],4,FALSE)-VLOOKUP(BY$5,Coords[],4,FALSE))^2)))</f>
        <v>1000</v>
      </c>
      <c r="BZ78" s="10">
        <f>IF($G78=BZ$5,1000,IF(BZ$4=0,1000,SQRT((VLOOKUP($G78,Coords[],3,FALSE)-VLOOKUP(BZ$5,Coords[],3,FALSE))^2+(VLOOKUP($G78,Coords[],4,FALSE)-VLOOKUP(BZ$5,Coords[],4,FALSE))^2)))</f>
        <v>1000</v>
      </c>
      <c r="CA78" s="10">
        <f>IF($G78=CA$5,1000,IF(CA$4=0,1000,SQRT((VLOOKUP($G78,Coords[],3,FALSE)-VLOOKUP(CA$5,Coords[],3,FALSE))^2+(VLOOKUP($G78,Coords[],4,FALSE)-VLOOKUP(CA$5,Coords[],4,FALSE))^2)))</f>
        <v>1000</v>
      </c>
      <c r="CB78" s="10">
        <f>IF($G78=CB$5,1000,IF(CB$4=0,1000,SQRT((VLOOKUP($G78,Coords[],3,FALSE)-VLOOKUP(CB$5,Coords[],3,FALSE))^2+(VLOOKUP($G78,Coords[],4,FALSE)-VLOOKUP(CB$5,Coords[],4,FALSE))^2)))</f>
        <v>1000</v>
      </c>
      <c r="CC78" s="10">
        <f>IF($G78=CC$5,1000,IF(CC$4=0,1000,SQRT((VLOOKUP($G78,Coords[],3,FALSE)-VLOOKUP(CC$5,Coords[],3,FALSE))^2+(VLOOKUP($G78,Coords[],4,FALSE)-VLOOKUP(CC$5,Coords[],4,FALSE))^2)))</f>
        <v>1000</v>
      </c>
      <c r="CD78" s="10">
        <f>IF($G78=CD$5,1000,IF(CD$4=0,1000,SQRT((VLOOKUP($G78,Coords[],3,FALSE)-VLOOKUP(CD$5,Coords[],3,FALSE))^2+(VLOOKUP($G78,Coords[],4,FALSE)-VLOOKUP(CD$5,Coords[],4,FALSE))^2)))</f>
        <v>1000</v>
      </c>
      <c r="CE78" s="10">
        <f>IF($G78=CE$5,1000,IF(CE$4=0,1000,SQRT((VLOOKUP($G78,Coords[],3,FALSE)-VLOOKUP(CE$5,Coords[],3,FALSE))^2+(VLOOKUP($G78,Coords[],4,FALSE)-VLOOKUP(CE$5,Coords[],4,FALSE))^2)))</f>
        <v>1000</v>
      </c>
      <c r="CF78" s="4">
        <v>73</v>
      </c>
      <c r="CH78" s="5">
        <f>IF(E78=1,0,VLOOKUP($G78,$G$6:$CE$82,HLOOKUP(MIN(H78:CE78),$H78:$CE$82,((COUNT($G$6:$G$81)+2)-$G78),FALSE)+1,FALSE)*B78)</f>
        <v>0</v>
      </c>
      <c r="CI78" s="9">
        <f>VLOOKUP($G78,$G$6:$CE$82,HLOOKUP(MIN(H78:CE78),$H78:$CE$82,((COUNT($G$6:$G$81)+2)-$G78),FALSE)+1,FALSE)</f>
        <v>1000</v>
      </c>
      <c r="CJ78" s="7">
        <f>HLOOKUP(MIN(H78:CE78),$H78:$CE$82,((COUNT($G$6:$G$81)+2)-$G78),FALSE)</f>
        <v>1</v>
      </c>
      <c r="CK78">
        <f>CI78*Coords[[#This Row],[Demand]]</f>
        <v>0</v>
      </c>
    </row>
    <row r="79" spans="1:89" x14ac:dyDescent="0.25">
      <c r="A79" s="8">
        <v>74</v>
      </c>
      <c r="B79" s="3"/>
      <c r="C79" s="3"/>
      <c r="D79" s="3"/>
      <c r="E79" s="3"/>
      <c r="G79" s="4">
        <v>74</v>
      </c>
      <c r="H79" s="10">
        <f>IF($G79=H$5,1000,IF(H$4=0,1000,SQRT((VLOOKUP($G79,Coords[],3,FALSE)-VLOOKUP(H$5,Coords[],3,FALSE))^2+(VLOOKUP($G79,Coords[],4,FALSE)-VLOOKUP(H$5,Coords[],4,FALSE))^2)))</f>
        <v>1000</v>
      </c>
      <c r="I79" s="10">
        <f>IF($G79=I$5,1000,IF(I$4=0,1000,SQRT((VLOOKUP($G79,Coords[],3,FALSE)-VLOOKUP(I$5,Coords[],3,FALSE))^2+(VLOOKUP($G79,Coords[],4,FALSE)-VLOOKUP(I$5,Coords[],4,FALSE))^2)))</f>
        <v>1000</v>
      </c>
      <c r="J79" s="10">
        <f>IF($G79=J$5,1000,IF(J$4=0,1000,SQRT((VLOOKUP($G79,Coords[],3,FALSE)-VLOOKUP(J$5,Coords[],3,FALSE))^2+(VLOOKUP($G79,Coords[],4,FALSE)-VLOOKUP(J$5,Coords[],4,FALSE))^2)))</f>
        <v>1000</v>
      </c>
      <c r="K79" s="10">
        <f>IF($G79=K$5,1000,IF(K$4=0,1000,SQRT((VLOOKUP($G79,Coords[],3,FALSE)-VLOOKUP(K$5,Coords[],3,FALSE))^2+(VLOOKUP($G79,Coords[],4,FALSE)-VLOOKUP(K$5,Coords[],4,FALSE))^2)))</f>
        <v>1000</v>
      </c>
      <c r="L79" s="10">
        <f>IF($G79=L$5,1000,IF(L$4=0,1000,SQRT((VLOOKUP($G79,Coords[],3,FALSE)-VLOOKUP(L$5,Coords[],3,FALSE))^2+(VLOOKUP($G79,Coords[],4,FALSE)-VLOOKUP(L$5,Coords[],4,FALSE))^2)))</f>
        <v>1000</v>
      </c>
      <c r="M79" s="10">
        <f>IF($G79=M$5,1000,IF(M$4=0,1000,SQRT((VLOOKUP($G79,Coords[],3,FALSE)-VLOOKUP(M$5,Coords[],3,FALSE))^2+(VLOOKUP($G79,Coords[],4,FALSE)-VLOOKUP(M$5,Coords[],4,FALSE))^2)))</f>
        <v>1000</v>
      </c>
      <c r="N79" s="10">
        <f>IF($G79=N$5,1000,IF(N$4=0,1000,SQRT((VLOOKUP($G79,Coords[],3,FALSE)-VLOOKUP(N$5,Coords[],3,FALSE))^2+(VLOOKUP($G79,Coords[],4,FALSE)-VLOOKUP(N$5,Coords[],4,FALSE))^2)))</f>
        <v>1000</v>
      </c>
      <c r="O79" s="10">
        <f>IF($G79=O$5,1000,IF(O$4=0,1000,SQRT((VLOOKUP($G79,Coords[],3,FALSE)-VLOOKUP(O$5,Coords[],3,FALSE))^2+(VLOOKUP($G79,Coords[],4,FALSE)-VLOOKUP(O$5,Coords[],4,FALSE))^2)))</f>
        <v>1000</v>
      </c>
      <c r="P79" s="10">
        <f>IF($G79=P$5,1000,IF(P$4=0,1000,SQRT((VLOOKUP($G79,Coords[],3,FALSE)-VLOOKUP(P$5,Coords[],3,FALSE))^2+(VLOOKUP($G79,Coords[],4,FALSE)-VLOOKUP(P$5,Coords[],4,FALSE))^2)))</f>
        <v>1000</v>
      </c>
      <c r="Q79" s="10">
        <f>IF($G79=Q$5,1000,IF(Q$4=0,1000,SQRT((VLOOKUP($G79,Coords[],3,FALSE)-VLOOKUP(Q$5,Coords[],3,FALSE))^2+(VLOOKUP($G79,Coords[],4,FALSE)-VLOOKUP(Q$5,Coords[],4,FALSE))^2)))</f>
        <v>1000</v>
      </c>
      <c r="R79" s="10">
        <f>IF($G79=R$5,1000,IF(R$4=0,1000,SQRT((VLOOKUP($G79,Coords[],3,FALSE)-VLOOKUP(R$5,Coords[],3,FALSE))^2+(VLOOKUP($G79,Coords[],4,FALSE)-VLOOKUP(R$5,Coords[],4,FALSE))^2)))</f>
        <v>1000</v>
      </c>
      <c r="S79" s="10">
        <f>IF($G79=S$5,1000,IF(S$4=0,1000,SQRT((VLOOKUP($G79,Coords[],3,FALSE)-VLOOKUP(S$5,Coords[],3,FALSE))^2+(VLOOKUP($G79,Coords[],4,FALSE)-VLOOKUP(S$5,Coords[],4,FALSE))^2)))</f>
        <v>1000</v>
      </c>
      <c r="T79" s="10">
        <f>IF($G79=T$5,1000,IF(T$4=0,1000,SQRT((VLOOKUP($G79,Coords[],3,FALSE)-VLOOKUP(T$5,Coords[],3,FALSE))^2+(VLOOKUP($G79,Coords[],4,FALSE)-VLOOKUP(T$5,Coords[],4,FALSE))^2)))</f>
        <v>1000</v>
      </c>
      <c r="U79" s="10">
        <f>IF($G79=U$5,1000,IF(U$4=0,1000,SQRT((VLOOKUP($G79,Coords[],3,FALSE)-VLOOKUP(U$5,Coords[],3,FALSE))^2+(VLOOKUP($G79,Coords[],4,FALSE)-VLOOKUP(U$5,Coords[],4,FALSE))^2)))</f>
        <v>1000</v>
      </c>
      <c r="V79" s="10">
        <f>IF($G79=V$5,1000,IF(V$4=0,1000,SQRT((VLOOKUP($G79,Coords[],3,FALSE)-VLOOKUP(V$5,Coords[],3,FALSE))^2+(VLOOKUP($G79,Coords[],4,FALSE)-VLOOKUP(V$5,Coords[],4,FALSE))^2)))</f>
        <v>1000</v>
      </c>
      <c r="W79" s="10">
        <f>IF($G79=W$5,1000,IF(W$4=0,1000,SQRT((VLOOKUP($G79,Coords[],3,FALSE)-VLOOKUP(W$5,Coords[],3,FALSE))^2+(VLOOKUP($G79,Coords[],4,FALSE)-VLOOKUP(W$5,Coords[],4,FALSE))^2)))</f>
        <v>1000</v>
      </c>
      <c r="X79" s="10">
        <f>IF($G79=X$5,1000,IF(X$4=0,1000,SQRT((VLOOKUP($G79,Coords[],3,FALSE)-VLOOKUP(X$5,Coords[],3,FALSE))^2+(VLOOKUP($G79,Coords[],4,FALSE)-VLOOKUP(X$5,Coords[],4,FALSE))^2)))</f>
        <v>1000</v>
      </c>
      <c r="Y79" s="10">
        <f>IF($G79=Y$5,1000,IF(Y$4=0,1000,SQRT((VLOOKUP($G79,Coords[],3,FALSE)-VLOOKUP(Y$5,Coords[],3,FALSE))^2+(VLOOKUP($G79,Coords[],4,FALSE)-VLOOKUP(Y$5,Coords[],4,FALSE))^2)))</f>
        <v>1000</v>
      </c>
      <c r="Z79" s="10">
        <f>IF($G79=Z$5,1000,IF(Z$4=0,1000,SQRT((VLOOKUP($G79,Coords[],3,FALSE)-VLOOKUP(Z$5,Coords[],3,FALSE))^2+(VLOOKUP($G79,Coords[],4,FALSE)-VLOOKUP(Z$5,Coords[],4,FALSE))^2)))</f>
        <v>1000</v>
      </c>
      <c r="AA79" s="10">
        <f>IF($G79=AA$5,1000,IF(AA$4=0,1000,SQRT((VLOOKUP($G79,Coords[],3,FALSE)-VLOOKUP(AA$5,Coords[],3,FALSE))^2+(VLOOKUP($G79,Coords[],4,FALSE)-VLOOKUP(AA$5,Coords[],4,FALSE))^2)))</f>
        <v>1000</v>
      </c>
      <c r="AB79" s="10">
        <f>IF($G79=AB$5,1000,IF(AB$4=0,1000,SQRT((VLOOKUP($G79,Coords[],3,FALSE)-VLOOKUP(AB$5,Coords[],3,FALSE))^2+(VLOOKUP($G79,Coords[],4,FALSE)-VLOOKUP(AB$5,Coords[],4,FALSE))^2)))</f>
        <v>1000</v>
      </c>
      <c r="AC79" s="10">
        <f>IF($G79=AC$5,1000,IF(AC$4=0,1000,SQRT((VLOOKUP($G79,Coords[],3,FALSE)-VLOOKUP(AC$5,Coords[],3,FALSE))^2+(VLOOKUP($G79,Coords[],4,FALSE)-VLOOKUP(AC$5,Coords[],4,FALSE))^2)))</f>
        <v>1000</v>
      </c>
      <c r="AD79" s="10">
        <f>IF($G79=AD$5,1000,IF(AD$4=0,1000,SQRT((VLOOKUP($G79,Coords[],3,FALSE)-VLOOKUP(AD$5,Coords[],3,FALSE))^2+(VLOOKUP($G79,Coords[],4,FALSE)-VLOOKUP(AD$5,Coords[],4,FALSE))^2)))</f>
        <v>1000</v>
      </c>
      <c r="AE79" s="10">
        <f>IF($G79=AE$5,1000,IF(AE$4=0,1000,SQRT((VLOOKUP($G79,Coords[],3,FALSE)-VLOOKUP(AE$5,Coords[],3,FALSE))^2+(VLOOKUP($G79,Coords[],4,FALSE)-VLOOKUP(AE$5,Coords[],4,FALSE))^2)))</f>
        <v>1000</v>
      </c>
      <c r="AF79" s="10">
        <f>IF($G79=AF$5,1000,IF(AF$4=0,1000,SQRT((VLOOKUP($G79,Coords[],3,FALSE)-VLOOKUP(AF$5,Coords[],3,FALSE))^2+(VLOOKUP($G79,Coords[],4,FALSE)-VLOOKUP(AF$5,Coords[],4,FALSE))^2)))</f>
        <v>1000</v>
      </c>
      <c r="AG79" s="10">
        <f>IF($G79=AG$5,1000,IF(AG$4=0,1000,SQRT((VLOOKUP($G79,Coords[],3,FALSE)-VLOOKUP(AG$5,Coords[],3,FALSE))^2+(VLOOKUP($G79,Coords[],4,FALSE)-VLOOKUP(AG$5,Coords[],4,FALSE))^2)))</f>
        <v>1000</v>
      </c>
      <c r="AH79" s="10">
        <f>IF($G79=AH$5,1000,IF(AH$4=0,1000,SQRT((VLOOKUP($G79,Coords[],3,FALSE)-VLOOKUP(AH$5,Coords[],3,FALSE))^2+(VLOOKUP($G79,Coords[],4,FALSE)-VLOOKUP(AH$5,Coords[],4,FALSE))^2)))</f>
        <v>1000</v>
      </c>
      <c r="AI79" s="10">
        <f>IF($G79=AI$5,1000,IF(AI$4=0,1000,SQRT((VLOOKUP($G79,Coords[],3,FALSE)-VLOOKUP(AI$5,Coords[],3,FALSE))^2+(VLOOKUP($G79,Coords[],4,FALSE)-VLOOKUP(AI$5,Coords[],4,FALSE))^2)))</f>
        <v>1000</v>
      </c>
      <c r="AJ79" s="10">
        <f>IF($G79=AJ$5,1000,IF(AJ$4=0,1000,SQRT((VLOOKUP($G79,Coords[],3,FALSE)-VLOOKUP(AJ$5,Coords[],3,FALSE))^2+(VLOOKUP($G79,Coords[],4,FALSE)-VLOOKUP(AJ$5,Coords[],4,FALSE))^2)))</f>
        <v>1000</v>
      </c>
      <c r="AK79" s="10">
        <f>IF($G79=AK$5,1000,IF(AK$4=0,1000,SQRT((VLOOKUP($G79,Coords[],3,FALSE)-VLOOKUP(AK$5,Coords[],3,FALSE))^2+(VLOOKUP($G79,Coords[],4,FALSE)-VLOOKUP(AK$5,Coords[],4,FALSE))^2)))</f>
        <v>1000</v>
      </c>
      <c r="AL79" s="10">
        <f>IF($G79=AL$5,1000,IF(AL$4=0,1000,SQRT((VLOOKUP($G79,Coords[],3,FALSE)-VLOOKUP(AL$5,Coords[],3,FALSE))^2+(VLOOKUP($G79,Coords[],4,FALSE)-VLOOKUP(AL$5,Coords[],4,FALSE))^2)))</f>
        <v>1000</v>
      </c>
      <c r="AM79" s="10">
        <f>IF($G79=AM$5,1000,IF(AM$4=0,1000,SQRT((VLOOKUP($G79,Coords[],3,FALSE)-VLOOKUP(AM$5,Coords[],3,FALSE))^2+(VLOOKUP($G79,Coords[],4,FALSE)-VLOOKUP(AM$5,Coords[],4,FALSE))^2)))</f>
        <v>1000</v>
      </c>
      <c r="AN79" s="10">
        <f>IF($G79=AN$5,1000,IF(AN$4=0,1000,SQRT((VLOOKUP($G79,Coords[],3,FALSE)-VLOOKUP(AN$5,Coords[],3,FALSE))^2+(VLOOKUP($G79,Coords[],4,FALSE)-VLOOKUP(AN$5,Coords[],4,FALSE))^2)))</f>
        <v>1000</v>
      </c>
      <c r="AO79" s="10">
        <f>IF($G79=AO$5,1000,IF(AO$4=0,1000,SQRT((VLOOKUP($G79,Coords[],3,FALSE)-VLOOKUP(AO$5,Coords[],3,FALSE))^2+(VLOOKUP($G79,Coords[],4,FALSE)-VLOOKUP(AO$5,Coords[],4,FALSE))^2)))</f>
        <v>1000</v>
      </c>
      <c r="AP79" s="10">
        <f>IF($G79=AP$5,1000,IF(AP$4=0,1000,SQRT((VLOOKUP($G79,Coords[],3,FALSE)-VLOOKUP(AP$5,Coords[],3,FALSE))^2+(VLOOKUP($G79,Coords[],4,FALSE)-VLOOKUP(AP$5,Coords[],4,FALSE))^2)))</f>
        <v>1000</v>
      </c>
      <c r="AQ79" s="10">
        <f>IF($G79=AQ$5,1000,IF(AQ$4=0,1000,SQRT((VLOOKUP($G79,Coords[],3,FALSE)-VLOOKUP(AQ$5,Coords[],3,FALSE))^2+(VLOOKUP($G79,Coords[],4,FALSE)-VLOOKUP(AQ$5,Coords[],4,FALSE))^2)))</f>
        <v>1000</v>
      </c>
      <c r="AR79" s="10">
        <f>IF($G79=AR$5,1000,IF(AR$4=0,1000,SQRT((VLOOKUP($G79,Coords[],3,FALSE)-VLOOKUP(AR$5,Coords[],3,FALSE))^2+(VLOOKUP($G79,Coords[],4,FALSE)-VLOOKUP(AR$5,Coords[],4,FALSE))^2)))</f>
        <v>1000</v>
      </c>
      <c r="AS79" s="10">
        <f>IF($G79=AS$5,1000,IF(AS$4=0,1000,SQRT((VLOOKUP($G79,Coords[],3,FALSE)-VLOOKUP(AS$5,Coords[],3,FALSE))^2+(VLOOKUP($G79,Coords[],4,FALSE)-VLOOKUP(AS$5,Coords[],4,FALSE))^2)))</f>
        <v>1000</v>
      </c>
      <c r="AT79" s="10">
        <f>IF($G79=AT$5,1000,IF(AT$4=0,1000,SQRT((VLOOKUP($G79,Coords[],3,FALSE)-VLOOKUP(AT$5,Coords[],3,FALSE))^2+(VLOOKUP($G79,Coords[],4,FALSE)-VLOOKUP(AT$5,Coords[],4,FALSE))^2)))</f>
        <v>1000</v>
      </c>
      <c r="AU79" s="10">
        <f>IF($G79=AU$5,1000,IF(AU$4=0,1000,SQRT((VLOOKUP($G79,Coords[],3,FALSE)-VLOOKUP(AU$5,Coords[],3,FALSE))^2+(VLOOKUP($G79,Coords[],4,FALSE)-VLOOKUP(AU$5,Coords[],4,FALSE))^2)))</f>
        <v>1000</v>
      </c>
      <c r="AV79" s="10">
        <f>IF($G79=AV$5,1000,IF(AV$4=0,1000,SQRT((VLOOKUP($G79,Coords[],3,FALSE)-VLOOKUP(AV$5,Coords[],3,FALSE))^2+(VLOOKUP($G79,Coords[],4,FALSE)-VLOOKUP(AV$5,Coords[],4,FALSE))^2)))</f>
        <v>1000</v>
      </c>
      <c r="AW79" s="10">
        <f>IF($G79=AW$5,1000,IF(AW$4=0,1000,SQRT((VLOOKUP($G79,Coords[],3,FALSE)-VLOOKUP(AW$5,Coords[],3,FALSE))^2+(VLOOKUP($G79,Coords[],4,FALSE)-VLOOKUP(AW$5,Coords[],4,FALSE))^2)))</f>
        <v>1000</v>
      </c>
      <c r="AX79" s="10">
        <f>IF($G79=AX$5,1000,IF(AX$4=0,1000,SQRT((VLOOKUP($G79,Coords[],3,FALSE)-VLOOKUP(AX$5,Coords[],3,FALSE))^2+(VLOOKUP($G79,Coords[],4,FALSE)-VLOOKUP(AX$5,Coords[],4,FALSE))^2)))</f>
        <v>1000</v>
      </c>
      <c r="AY79" s="10">
        <f>IF($G79=AY$5,1000,IF(AY$4=0,1000,SQRT((VLOOKUP($G79,Coords[],3,FALSE)-VLOOKUP(AY$5,Coords[],3,FALSE))^2+(VLOOKUP($G79,Coords[],4,FALSE)-VLOOKUP(AY$5,Coords[],4,FALSE))^2)))</f>
        <v>1000</v>
      </c>
      <c r="AZ79" s="10">
        <f>IF($G79=AZ$5,1000,IF(AZ$4=0,1000,SQRT((VLOOKUP($G79,Coords[],3,FALSE)-VLOOKUP(AZ$5,Coords[],3,FALSE))^2+(VLOOKUP($G79,Coords[],4,FALSE)-VLOOKUP(AZ$5,Coords[],4,FALSE))^2)))</f>
        <v>1000</v>
      </c>
      <c r="BA79" s="10">
        <f>IF($G79=BA$5,1000,IF(BA$4=0,1000,SQRT((VLOOKUP($G79,Coords[],3,FALSE)-VLOOKUP(BA$5,Coords[],3,FALSE))^2+(VLOOKUP($G79,Coords[],4,FALSE)-VLOOKUP(BA$5,Coords[],4,FALSE))^2)))</f>
        <v>1000</v>
      </c>
      <c r="BB79" s="10">
        <f>IF($G79=BB$5,1000,IF(BB$4=0,1000,SQRT((VLOOKUP($G79,Coords[],3,FALSE)-VLOOKUP(BB$5,Coords[],3,FALSE))^2+(VLOOKUP($G79,Coords[],4,FALSE)-VLOOKUP(BB$5,Coords[],4,FALSE))^2)))</f>
        <v>1000</v>
      </c>
      <c r="BC79" s="10">
        <f>IF($G79=BC$5,1000,IF(BC$4=0,1000,SQRT((VLOOKUP($G79,Coords[],3,FALSE)-VLOOKUP(BC$5,Coords[],3,FALSE))^2+(VLOOKUP($G79,Coords[],4,FALSE)-VLOOKUP(BC$5,Coords[],4,FALSE))^2)))</f>
        <v>1000</v>
      </c>
      <c r="BD79" s="10">
        <f>IF($G79=BD$5,1000,IF(BD$4=0,1000,SQRT((VLOOKUP($G79,Coords[],3,FALSE)-VLOOKUP(BD$5,Coords[],3,FALSE))^2+(VLOOKUP($G79,Coords[],4,FALSE)-VLOOKUP(BD$5,Coords[],4,FALSE))^2)))</f>
        <v>1000</v>
      </c>
      <c r="BE79" s="10">
        <f>IF($G79=BE$5,1000,IF(BE$4=0,1000,SQRT((VLOOKUP($G79,Coords[],3,FALSE)-VLOOKUP(BE$5,Coords[],3,FALSE))^2+(VLOOKUP($G79,Coords[],4,FALSE)-VLOOKUP(BE$5,Coords[],4,FALSE))^2)))</f>
        <v>1000</v>
      </c>
      <c r="BF79" s="10">
        <f>IF($G79=BF$5,1000,IF(BF$4=0,1000,SQRT((VLOOKUP($G79,Coords[],3,FALSE)-VLOOKUP(BF$5,Coords[],3,FALSE))^2+(VLOOKUP($G79,Coords[],4,FALSE)-VLOOKUP(BF$5,Coords[],4,FALSE))^2)))</f>
        <v>1000</v>
      </c>
      <c r="BG79" s="10">
        <f>IF($G79=BG$5,1000,IF(BG$4=0,1000,SQRT((VLOOKUP($G79,Coords[],3,FALSE)-VLOOKUP(BG$5,Coords[],3,FALSE))^2+(VLOOKUP($G79,Coords[],4,FALSE)-VLOOKUP(BG$5,Coords[],4,FALSE))^2)))</f>
        <v>1000</v>
      </c>
      <c r="BH79" s="10">
        <f>IF($G79=BH$5,1000,IF(BH$4=0,1000,SQRT((VLOOKUP($G79,Coords[],3,FALSE)-VLOOKUP(BH$5,Coords[],3,FALSE))^2+(VLOOKUP($G79,Coords[],4,FALSE)-VLOOKUP(BH$5,Coords[],4,FALSE))^2)))</f>
        <v>1000</v>
      </c>
      <c r="BI79" s="10">
        <f>IF($G79=BI$5,1000,IF(BI$4=0,1000,SQRT((VLOOKUP($G79,Coords[],3,FALSE)-VLOOKUP(BI$5,Coords[],3,FALSE))^2+(VLOOKUP($G79,Coords[],4,FALSE)-VLOOKUP(BI$5,Coords[],4,FALSE))^2)))</f>
        <v>1000</v>
      </c>
      <c r="BJ79" s="10">
        <f>IF($G79=BJ$5,1000,IF(BJ$4=0,1000,SQRT((VLOOKUP($G79,Coords[],3,FALSE)-VLOOKUP(BJ$5,Coords[],3,FALSE))^2+(VLOOKUP($G79,Coords[],4,FALSE)-VLOOKUP(BJ$5,Coords[],4,FALSE))^2)))</f>
        <v>1000</v>
      </c>
      <c r="BK79" s="10">
        <f>IF($G79=BK$5,1000,IF(BK$4=0,1000,SQRT((VLOOKUP($G79,Coords[],3,FALSE)-VLOOKUP(BK$5,Coords[],3,FALSE))^2+(VLOOKUP($G79,Coords[],4,FALSE)-VLOOKUP(BK$5,Coords[],4,FALSE))^2)))</f>
        <v>1000</v>
      </c>
      <c r="BL79" s="10">
        <f>IF($G79=BL$5,1000,IF(BL$4=0,1000,SQRT((VLOOKUP($G79,Coords[],3,FALSE)-VLOOKUP(BL$5,Coords[],3,FALSE))^2+(VLOOKUP($G79,Coords[],4,FALSE)-VLOOKUP(BL$5,Coords[],4,FALSE))^2)))</f>
        <v>1000</v>
      </c>
      <c r="BM79" s="10">
        <f>IF($G79=BM$5,1000,IF(BM$4=0,1000,SQRT((VLOOKUP($G79,Coords[],3,FALSE)-VLOOKUP(BM$5,Coords[],3,FALSE))^2+(VLOOKUP($G79,Coords[],4,FALSE)-VLOOKUP(BM$5,Coords[],4,FALSE))^2)))</f>
        <v>1000</v>
      </c>
      <c r="BN79" s="10">
        <f>IF($G79=BN$5,1000,IF(BN$4=0,1000,SQRT((VLOOKUP($G79,Coords[],3,FALSE)-VLOOKUP(BN$5,Coords[],3,FALSE))^2+(VLOOKUP($G79,Coords[],4,FALSE)-VLOOKUP(BN$5,Coords[],4,FALSE))^2)))</f>
        <v>1000</v>
      </c>
      <c r="BO79" s="10">
        <f>IF($G79=BO$5,1000,IF(BO$4=0,1000,SQRT((VLOOKUP($G79,Coords[],3,FALSE)-VLOOKUP(BO$5,Coords[],3,FALSE))^2+(VLOOKUP($G79,Coords[],4,FALSE)-VLOOKUP(BO$5,Coords[],4,FALSE))^2)))</f>
        <v>1000</v>
      </c>
      <c r="BP79" s="10">
        <f>IF($G79=BP$5,1000,IF(BP$4=0,1000,SQRT((VLOOKUP($G79,Coords[],3,FALSE)-VLOOKUP(BP$5,Coords[],3,FALSE))^2+(VLOOKUP($G79,Coords[],4,FALSE)-VLOOKUP(BP$5,Coords[],4,FALSE))^2)))</f>
        <v>1000</v>
      </c>
      <c r="BQ79" s="10">
        <f>IF($G79=BQ$5,1000,IF(BQ$4=0,1000,SQRT((VLOOKUP($G79,Coords[],3,FALSE)-VLOOKUP(BQ$5,Coords[],3,FALSE))^2+(VLOOKUP($G79,Coords[],4,FALSE)-VLOOKUP(BQ$5,Coords[],4,FALSE))^2)))</f>
        <v>1000</v>
      </c>
      <c r="BR79" s="10">
        <f>IF($G79=BR$5,1000,IF(BR$4=0,1000,SQRT((VLOOKUP($G79,Coords[],3,FALSE)-VLOOKUP(BR$5,Coords[],3,FALSE))^2+(VLOOKUP($G79,Coords[],4,FALSE)-VLOOKUP(BR$5,Coords[],4,FALSE))^2)))</f>
        <v>1000</v>
      </c>
      <c r="BS79" s="10">
        <f>IF($G79=BS$5,1000,IF(BS$4=0,1000,SQRT((VLOOKUP($G79,Coords[],3,FALSE)-VLOOKUP(BS$5,Coords[],3,FALSE))^2+(VLOOKUP($G79,Coords[],4,FALSE)-VLOOKUP(BS$5,Coords[],4,FALSE))^2)))</f>
        <v>1000</v>
      </c>
      <c r="BT79" s="10">
        <f>IF($G79=BT$5,1000,IF(BT$4=0,1000,SQRT((VLOOKUP($G79,Coords[],3,FALSE)-VLOOKUP(BT$5,Coords[],3,FALSE))^2+(VLOOKUP($G79,Coords[],4,FALSE)-VLOOKUP(BT$5,Coords[],4,FALSE))^2)))</f>
        <v>1000</v>
      </c>
      <c r="BU79" s="10">
        <f>IF($G79=BU$5,1000,IF(BU$4=0,1000,SQRT((VLOOKUP($G79,Coords[],3,FALSE)-VLOOKUP(BU$5,Coords[],3,FALSE))^2+(VLOOKUP($G79,Coords[],4,FALSE)-VLOOKUP(BU$5,Coords[],4,FALSE))^2)))</f>
        <v>1000</v>
      </c>
      <c r="BV79" s="10">
        <f>IF($G79=BV$5,1000,IF(BV$4=0,1000,SQRT((VLOOKUP($G79,Coords[],3,FALSE)-VLOOKUP(BV$5,Coords[],3,FALSE))^2+(VLOOKUP($G79,Coords[],4,FALSE)-VLOOKUP(BV$5,Coords[],4,FALSE))^2)))</f>
        <v>1000</v>
      </c>
      <c r="BW79" s="10">
        <f>IF($G79=BW$5,1000,IF(BW$4=0,1000,SQRT((VLOOKUP($G79,Coords[],3,FALSE)-VLOOKUP(BW$5,Coords[],3,FALSE))^2+(VLOOKUP($G79,Coords[],4,FALSE)-VLOOKUP(BW$5,Coords[],4,FALSE))^2)))</f>
        <v>1000</v>
      </c>
      <c r="BX79" s="10">
        <f>IF($G79=BX$5,1000,IF(BX$4=0,1000,SQRT((VLOOKUP($G79,Coords[],3,FALSE)-VLOOKUP(BX$5,Coords[],3,FALSE))^2+(VLOOKUP($G79,Coords[],4,FALSE)-VLOOKUP(BX$5,Coords[],4,FALSE))^2)))</f>
        <v>1000</v>
      </c>
      <c r="BY79" s="10">
        <f>IF($G79=BY$5,1000,IF(BY$4=0,1000,SQRT((VLOOKUP($G79,Coords[],3,FALSE)-VLOOKUP(BY$5,Coords[],3,FALSE))^2+(VLOOKUP($G79,Coords[],4,FALSE)-VLOOKUP(BY$5,Coords[],4,FALSE))^2)))</f>
        <v>1000</v>
      </c>
      <c r="BZ79" s="10">
        <f>IF($G79=BZ$5,1000,IF(BZ$4=0,1000,SQRT((VLOOKUP($G79,Coords[],3,FALSE)-VLOOKUP(BZ$5,Coords[],3,FALSE))^2+(VLOOKUP($G79,Coords[],4,FALSE)-VLOOKUP(BZ$5,Coords[],4,FALSE))^2)))</f>
        <v>1000</v>
      </c>
      <c r="CA79" s="10">
        <f>IF($G79=CA$5,1000,IF(CA$4=0,1000,SQRT((VLOOKUP($G79,Coords[],3,FALSE)-VLOOKUP(CA$5,Coords[],3,FALSE))^2+(VLOOKUP($G79,Coords[],4,FALSE)-VLOOKUP(CA$5,Coords[],4,FALSE))^2)))</f>
        <v>1000</v>
      </c>
      <c r="CB79" s="10">
        <f>IF($G79=CB$5,1000,IF(CB$4=0,1000,SQRT((VLOOKUP($G79,Coords[],3,FALSE)-VLOOKUP(CB$5,Coords[],3,FALSE))^2+(VLOOKUP($G79,Coords[],4,FALSE)-VLOOKUP(CB$5,Coords[],4,FALSE))^2)))</f>
        <v>1000</v>
      </c>
      <c r="CC79" s="10">
        <f>IF($G79=CC$5,1000,IF(CC$4=0,1000,SQRT((VLOOKUP($G79,Coords[],3,FALSE)-VLOOKUP(CC$5,Coords[],3,FALSE))^2+(VLOOKUP($G79,Coords[],4,FALSE)-VLOOKUP(CC$5,Coords[],4,FALSE))^2)))</f>
        <v>1000</v>
      </c>
      <c r="CD79" s="10">
        <f>IF($G79=CD$5,1000,IF(CD$4=0,1000,SQRT((VLOOKUP($G79,Coords[],3,FALSE)-VLOOKUP(CD$5,Coords[],3,FALSE))^2+(VLOOKUP($G79,Coords[],4,FALSE)-VLOOKUP(CD$5,Coords[],4,FALSE))^2)))</f>
        <v>1000</v>
      </c>
      <c r="CE79" s="10">
        <f>IF($G79=CE$5,1000,IF(CE$4=0,1000,SQRT((VLOOKUP($G79,Coords[],3,FALSE)-VLOOKUP(CE$5,Coords[],3,FALSE))^2+(VLOOKUP($G79,Coords[],4,FALSE)-VLOOKUP(CE$5,Coords[],4,FALSE))^2)))</f>
        <v>1000</v>
      </c>
      <c r="CF79" s="4">
        <v>74</v>
      </c>
      <c r="CH79" s="5">
        <f>IF(E79=1,0,VLOOKUP($G79,$G$6:$CE$82,HLOOKUP(MIN(H79:CE79),$H79:$CE$82,((COUNT($G$6:$G$81)+2)-$G79),FALSE)+1,FALSE)*B79)</f>
        <v>0</v>
      </c>
      <c r="CI79" s="9">
        <f>VLOOKUP($G79,$G$6:$CE$82,HLOOKUP(MIN(H79:CE79),$H79:$CE$82,((COUNT($G$6:$G$81)+2)-$G79),FALSE)+1,FALSE)</f>
        <v>1000</v>
      </c>
      <c r="CJ79" s="7">
        <f>HLOOKUP(MIN(H79:CE79),$H79:$CE$82,((COUNT($G$6:$G$81)+2)-$G79),FALSE)</f>
        <v>1</v>
      </c>
      <c r="CK79">
        <f>CI79*Coords[[#This Row],[Demand]]</f>
        <v>0</v>
      </c>
    </row>
    <row r="80" spans="1:89" x14ac:dyDescent="0.25">
      <c r="A80" s="8">
        <v>75</v>
      </c>
      <c r="B80" s="3"/>
      <c r="C80" s="3"/>
      <c r="D80" s="3"/>
      <c r="E80" s="3"/>
      <c r="G80" s="4">
        <v>75</v>
      </c>
      <c r="H80" s="10">
        <f>IF($G80=H$5,1000,IF(H$4=0,1000,SQRT((VLOOKUP($G80,Coords[],3,FALSE)-VLOOKUP(H$5,Coords[],3,FALSE))^2+(VLOOKUP($G80,Coords[],4,FALSE)-VLOOKUP(H$5,Coords[],4,FALSE))^2)))</f>
        <v>1000</v>
      </c>
      <c r="I80" s="10">
        <f>IF($G80=I$5,1000,IF(I$4=0,1000,SQRT((VLOOKUP($G80,Coords[],3,FALSE)-VLOOKUP(I$5,Coords[],3,FALSE))^2+(VLOOKUP($G80,Coords[],4,FALSE)-VLOOKUP(I$5,Coords[],4,FALSE))^2)))</f>
        <v>1000</v>
      </c>
      <c r="J80" s="10">
        <f>IF($G80=J$5,1000,IF(J$4=0,1000,SQRT((VLOOKUP($G80,Coords[],3,FALSE)-VLOOKUP(J$5,Coords[],3,FALSE))^2+(VLOOKUP($G80,Coords[],4,FALSE)-VLOOKUP(J$5,Coords[],4,FALSE))^2)))</f>
        <v>1000</v>
      </c>
      <c r="K80" s="10">
        <f>IF($G80=K$5,1000,IF(K$4=0,1000,SQRT((VLOOKUP($G80,Coords[],3,FALSE)-VLOOKUP(K$5,Coords[],3,FALSE))^2+(VLOOKUP($G80,Coords[],4,FALSE)-VLOOKUP(K$5,Coords[],4,FALSE))^2)))</f>
        <v>1000</v>
      </c>
      <c r="L80" s="10">
        <f>IF($G80=L$5,1000,IF(L$4=0,1000,SQRT((VLOOKUP($G80,Coords[],3,FALSE)-VLOOKUP(L$5,Coords[],3,FALSE))^2+(VLOOKUP($G80,Coords[],4,FALSE)-VLOOKUP(L$5,Coords[],4,FALSE))^2)))</f>
        <v>1000</v>
      </c>
      <c r="M80" s="10">
        <f>IF($G80=M$5,1000,IF(M$4=0,1000,SQRT((VLOOKUP($G80,Coords[],3,FALSE)-VLOOKUP(M$5,Coords[],3,FALSE))^2+(VLOOKUP($G80,Coords[],4,FALSE)-VLOOKUP(M$5,Coords[],4,FALSE))^2)))</f>
        <v>1000</v>
      </c>
      <c r="N80" s="10">
        <f>IF($G80=N$5,1000,IF(N$4=0,1000,SQRT((VLOOKUP($G80,Coords[],3,FALSE)-VLOOKUP(N$5,Coords[],3,FALSE))^2+(VLOOKUP($G80,Coords[],4,FALSE)-VLOOKUP(N$5,Coords[],4,FALSE))^2)))</f>
        <v>1000</v>
      </c>
      <c r="O80" s="10">
        <f>IF($G80=O$5,1000,IF(O$4=0,1000,SQRT((VLOOKUP($G80,Coords[],3,FALSE)-VLOOKUP(O$5,Coords[],3,FALSE))^2+(VLOOKUP($G80,Coords[],4,FALSE)-VLOOKUP(O$5,Coords[],4,FALSE))^2)))</f>
        <v>1000</v>
      </c>
      <c r="P80" s="10">
        <f>IF($G80=P$5,1000,IF(P$4=0,1000,SQRT((VLOOKUP($G80,Coords[],3,FALSE)-VLOOKUP(P$5,Coords[],3,FALSE))^2+(VLOOKUP($G80,Coords[],4,FALSE)-VLOOKUP(P$5,Coords[],4,FALSE))^2)))</f>
        <v>1000</v>
      </c>
      <c r="Q80" s="10">
        <f>IF($G80=Q$5,1000,IF(Q$4=0,1000,SQRT((VLOOKUP($G80,Coords[],3,FALSE)-VLOOKUP(Q$5,Coords[],3,FALSE))^2+(VLOOKUP($G80,Coords[],4,FALSE)-VLOOKUP(Q$5,Coords[],4,FALSE))^2)))</f>
        <v>1000</v>
      </c>
      <c r="R80" s="10">
        <f>IF($G80=R$5,1000,IF(R$4=0,1000,SQRT((VLOOKUP($G80,Coords[],3,FALSE)-VLOOKUP(R$5,Coords[],3,FALSE))^2+(VLOOKUP($G80,Coords[],4,FALSE)-VLOOKUP(R$5,Coords[],4,FALSE))^2)))</f>
        <v>1000</v>
      </c>
      <c r="S80" s="10">
        <f>IF($G80=S$5,1000,IF(S$4=0,1000,SQRT((VLOOKUP($G80,Coords[],3,FALSE)-VLOOKUP(S$5,Coords[],3,FALSE))^2+(VLOOKUP($G80,Coords[],4,FALSE)-VLOOKUP(S$5,Coords[],4,FALSE))^2)))</f>
        <v>1000</v>
      </c>
      <c r="T80" s="10">
        <f>IF($G80=T$5,1000,IF(T$4=0,1000,SQRT((VLOOKUP($G80,Coords[],3,FALSE)-VLOOKUP(T$5,Coords[],3,FALSE))^2+(VLOOKUP($G80,Coords[],4,FALSE)-VLOOKUP(T$5,Coords[],4,FALSE))^2)))</f>
        <v>1000</v>
      </c>
      <c r="U80" s="10">
        <f>IF($G80=U$5,1000,IF(U$4=0,1000,SQRT((VLOOKUP($G80,Coords[],3,FALSE)-VLOOKUP(U$5,Coords[],3,FALSE))^2+(VLOOKUP($G80,Coords[],4,FALSE)-VLOOKUP(U$5,Coords[],4,FALSE))^2)))</f>
        <v>1000</v>
      </c>
      <c r="V80" s="10">
        <f>IF($G80=V$5,1000,IF(V$4=0,1000,SQRT((VLOOKUP($G80,Coords[],3,FALSE)-VLOOKUP(V$5,Coords[],3,FALSE))^2+(VLOOKUP($G80,Coords[],4,FALSE)-VLOOKUP(V$5,Coords[],4,FALSE))^2)))</f>
        <v>1000</v>
      </c>
      <c r="W80" s="10">
        <f>IF($G80=W$5,1000,IF(W$4=0,1000,SQRT((VLOOKUP($G80,Coords[],3,FALSE)-VLOOKUP(W$5,Coords[],3,FALSE))^2+(VLOOKUP($G80,Coords[],4,FALSE)-VLOOKUP(W$5,Coords[],4,FALSE))^2)))</f>
        <v>1000</v>
      </c>
      <c r="X80" s="10">
        <f>IF($G80=X$5,1000,IF(X$4=0,1000,SQRT((VLOOKUP($G80,Coords[],3,FALSE)-VLOOKUP(X$5,Coords[],3,FALSE))^2+(VLOOKUP($G80,Coords[],4,FALSE)-VLOOKUP(X$5,Coords[],4,FALSE))^2)))</f>
        <v>1000</v>
      </c>
      <c r="Y80" s="10">
        <f>IF($G80=Y$5,1000,IF(Y$4=0,1000,SQRT((VLOOKUP($G80,Coords[],3,FALSE)-VLOOKUP(Y$5,Coords[],3,FALSE))^2+(VLOOKUP($G80,Coords[],4,FALSE)-VLOOKUP(Y$5,Coords[],4,FALSE))^2)))</f>
        <v>1000</v>
      </c>
      <c r="Z80" s="10">
        <f>IF($G80=Z$5,1000,IF(Z$4=0,1000,SQRT((VLOOKUP($G80,Coords[],3,FALSE)-VLOOKUP(Z$5,Coords[],3,FALSE))^2+(VLOOKUP($G80,Coords[],4,FALSE)-VLOOKUP(Z$5,Coords[],4,FALSE))^2)))</f>
        <v>1000</v>
      </c>
      <c r="AA80" s="10">
        <f>IF($G80=AA$5,1000,IF(AA$4=0,1000,SQRT((VLOOKUP($G80,Coords[],3,FALSE)-VLOOKUP(AA$5,Coords[],3,FALSE))^2+(VLOOKUP($G80,Coords[],4,FALSE)-VLOOKUP(AA$5,Coords[],4,FALSE))^2)))</f>
        <v>1000</v>
      </c>
      <c r="AB80" s="10">
        <f>IF($G80=AB$5,1000,IF(AB$4=0,1000,SQRT((VLOOKUP($G80,Coords[],3,FALSE)-VLOOKUP(AB$5,Coords[],3,FALSE))^2+(VLOOKUP($G80,Coords[],4,FALSE)-VLOOKUP(AB$5,Coords[],4,FALSE))^2)))</f>
        <v>1000</v>
      </c>
      <c r="AC80" s="10">
        <f>IF($G80=AC$5,1000,IF(AC$4=0,1000,SQRT((VLOOKUP($G80,Coords[],3,FALSE)-VLOOKUP(AC$5,Coords[],3,FALSE))^2+(VLOOKUP($G80,Coords[],4,FALSE)-VLOOKUP(AC$5,Coords[],4,FALSE))^2)))</f>
        <v>1000</v>
      </c>
      <c r="AD80" s="10">
        <f>IF($G80=AD$5,1000,IF(AD$4=0,1000,SQRT((VLOOKUP($G80,Coords[],3,FALSE)-VLOOKUP(AD$5,Coords[],3,FALSE))^2+(VLOOKUP($G80,Coords[],4,FALSE)-VLOOKUP(AD$5,Coords[],4,FALSE))^2)))</f>
        <v>1000</v>
      </c>
      <c r="AE80" s="10">
        <f>IF($G80=AE$5,1000,IF(AE$4=0,1000,SQRT((VLOOKUP($G80,Coords[],3,FALSE)-VLOOKUP(AE$5,Coords[],3,FALSE))^2+(VLOOKUP($G80,Coords[],4,FALSE)-VLOOKUP(AE$5,Coords[],4,FALSE))^2)))</f>
        <v>1000</v>
      </c>
      <c r="AF80" s="10">
        <f>IF($G80=AF$5,1000,IF(AF$4=0,1000,SQRT((VLOOKUP($G80,Coords[],3,FALSE)-VLOOKUP(AF$5,Coords[],3,FALSE))^2+(VLOOKUP($G80,Coords[],4,FALSE)-VLOOKUP(AF$5,Coords[],4,FALSE))^2)))</f>
        <v>1000</v>
      </c>
      <c r="AG80" s="10">
        <f>IF($G80=AG$5,1000,IF(AG$4=0,1000,SQRT((VLOOKUP($G80,Coords[],3,FALSE)-VLOOKUP(AG$5,Coords[],3,FALSE))^2+(VLOOKUP($G80,Coords[],4,FALSE)-VLOOKUP(AG$5,Coords[],4,FALSE))^2)))</f>
        <v>1000</v>
      </c>
      <c r="AH80" s="10">
        <f>IF($G80=AH$5,1000,IF(AH$4=0,1000,SQRT((VLOOKUP($G80,Coords[],3,FALSE)-VLOOKUP(AH$5,Coords[],3,FALSE))^2+(VLOOKUP($G80,Coords[],4,FALSE)-VLOOKUP(AH$5,Coords[],4,FALSE))^2)))</f>
        <v>1000</v>
      </c>
      <c r="AI80" s="10">
        <f>IF($G80=AI$5,1000,IF(AI$4=0,1000,SQRT((VLOOKUP($G80,Coords[],3,FALSE)-VLOOKUP(AI$5,Coords[],3,FALSE))^2+(VLOOKUP($G80,Coords[],4,FALSE)-VLOOKUP(AI$5,Coords[],4,FALSE))^2)))</f>
        <v>1000</v>
      </c>
      <c r="AJ80" s="10">
        <f>IF($G80=AJ$5,1000,IF(AJ$4=0,1000,SQRT((VLOOKUP($G80,Coords[],3,FALSE)-VLOOKUP(AJ$5,Coords[],3,FALSE))^2+(VLOOKUP($G80,Coords[],4,FALSE)-VLOOKUP(AJ$5,Coords[],4,FALSE))^2)))</f>
        <v>1000</v>
      </c>
      <c r="AK80" s="10">
        <f>IF($G80=AK$5,1000,IF(AK$4=0,1000,SQRT((VLOOKUP($G80,Coords[],3,FALSE)-VLOOKUP(AK$5,Coords[],3,FALSE))^2+(VLOOKUP($G80,Coords[],4,FALSE)-VLOOKUP(AK$5,Coords[],4,FALSE))^2)))</f>
        <v>1000</v>
      </c>
      <c r="AL80" s="10">
        <f>IF($G80=AL$5,1000,IF(AL$4=0,1000,SQRT((VLOOKUP($G80,Coords[],3,FALSE)-VLOOKUP(AL$5,Coords[],3,FALSE))^2+(VLOOKUP($G80,Coords[],4,FALSE)-VLOOKUP(AL$5,Coords[],4,FALSE))^2)))</f>
        <v>1000</v>
      </c>
      <c r="AM80" s="10">
        <f>IF($G80=AM$5,1000,IF(AM$4=0,1000,SQRT((VLOOKUP($G80,Coords[],3,FALSE)-VLOOKUP(AM$5,Coords[],3,FALSE))^2+(VLOOKUP($G80,Coords[],4,FALSE)-VLOOKUP(AM$5,Coords[],4,FALSE))^2)))</f>
        <v>1000</v>
      </c>
      <c r="AN80" s="10">
        <f>IF($G80=AN$5,1000,IF(AN$4=0,1000,SQRT((VLOOKUP($G80,Coords[],3,FALSE)-VLOOKUP(AN$5,Coords[],3,FALSE))^2+(VLOOKUP($G80,Coords[],4,FALSE)-VLOOKUP(AN$5,Coords[],4,FALSE))^2)))</f>
        <v>1000</v>
      </c>
      <c r="AO80" s="10">
        <f>IF($G80=AO$5,1000,IF(AO$4=0,1000,SQRT((VLOOKUP($G80,Coords[],3,FALSE)-VLOOKUP(AO$5,Coords[],3,FALSE))^2+(VLOOKUP($G80,Coords[],4,FALSE)-VLOOKUP(AO$5,Coords[],4,FALSE))^2)))</f>
        <v>1000</v>
      </c>
      <c r="AP80" s="10">
        <f>IF($G80=AP$5,1000,IF(AP$4=0,1000,SQRT((VLOOKUP($G80,Coords[],3,FALSE)-VLOOKUP(AP$5,Coords[],3,FALSE))^2+(VLOOKUP($G80,Coords[],4,FALSE)-VLOOKUP(AP$5,Coords[],4,FALSE))^2)))</f>
        <v>1000</v>
      </c>
      <c r="AQ80" s="10">
        <f>IF($G80=AQ$5,1000,IF(AQ$4=0,1000,SQRT((VLOOKUP($G80,Coords[],3,FALSE)-VLOOKUP(AQ$5,Coords[],3,FALSE))^2+(VLOOKUP($G80,Coords[],4,FALSE)-VLOOKUP(AQ$5,Coords[],4,FALSE))^2)))</f>
        <v>1000</v>
      </c>
      <c r="AR80" s="10">
        <f>IF($G80=AR$5,1000,IF(AR$4=0,1000,SQRT((VLOOKUP($G80,Coords[],3,FALSE)-VLOOKUP(AR$5,Coords[],3,FALSE))^2+(VLOOKUP($G80,Coords[],4,FALSE)-VLOOKUP(AR$5,Coords[],4,FALSE))^2)))</f>
        <v>1000</v>
      </c>
      <c r="AS80" s="10">
        <f>IF($G80=AS$5,1000,IF(AS$4=0,1000,SQRT((VLOOKUP($G80,Coords[],3,FALSE)-VLOOKUP(AS$5,Coords[],3,FALSE))^2+(VLOOKUP($G80,Coords[],4,FALSE)-VLOOKUP(AS$5,Coords[],4,FALSE))^2)))</f>
        <v>1000</v>
      </c>
      <c r="AT80" s="10">
        <f>IF($G80=AT$5,1000,IF(AT$4=0,1000,SQRT((VLOOKUP($G80,Coords[],3,FALSE)-VLOOKUP(AT$5,Coords[],3,FALSE))^2+(VLOOKUP($G80,Coords[],4,FALSE)-VLOOKUP(AT$5,Coords[],4,FALSE))^2)))</f>
        <v>1000</v>
      </c>
      <c r="AU80" s="10">
        <f>IF($G80=AU$5,1000,IF(AU$4=0,1000,SQRT((VLOOKUP($G80,Coords[],3,FALSE)-VLOOKUP(AU$5,Coords[],3,FALSE))^2+(VLOOKUP($G80,Coords[],4,FALSE)-VLOOKUP(AU$5,Coords[],4,FALSE))^2)))</f>
        <v>1000</v>
      </c>
      <c r="AV80" s="10">
        <f>IF($G80=AV$5,1000,IF(AV$4=0,1000,SQRT((VLOOKUP($G80,Coords[],3,FALSE)-VLOOKUP(AV$5,Coords[],3,FALSE))^2+(VLOOKUP($G80,Coords[],4,FALSE)-VLOOKUP(AV$5,Coords[],4,FALSE))^2)))</f>
        <v>1000</v>
      </c>
      <c r="AW80" s="10">
        <f>IF($G80=AW$5,1000,IF(AW$4=0,1000,SQRT((VLOOKUP($G80,Coords[],3,FALSE)-VLOOKUP(AW$5,Coords[],3,FALSE))^2+(VLOOKUP($G80,Coords[],4,FALSE)-VLOOKUP(AW$5,Coords[],4,FALSE))^2)))</f>
        <v>1000</v>
      </c>
      <c r="AX80" s="10">
        <f>IF($G80=AX$5,1000,IF(AX$4=0,1000,SQRT((VLOOKUP($G80,Coords[],3,FALSE)-VLOOKUP(AX$5,Coords[],3,FALSE))^2+(VLOOKUP($G80,Coords[],4,FALSE)-VLOOKUP(AX$5,Coords[],4,FALSE))^2)))</f>
        <v>1000</v>
      </c>
      <c r="AY80" s="10">
        <f>IF($G80=AY$5,1000,IF(AY$4=0,1000,SQRT((VLOOKUP($G80,Coords[],3,FALSE)-VLOOKUP(AY$5,Coords[],3,FALSE))^2+(VLOOKUP($G80,Coords[],4,FALSE)-VLOOKUP(AY$5,Coords[],4,FALSE))^2)))</f>
        <v>1000</v>
      </c>
      <c r="AZ80" s="10">
        <f>IF($G80=AZ$5,1000,IF(AZ$4=0,1000,SQRT((VLOOKUP($G80,Coords[],3,FALSE)-VLOOKUP(AZ$5,Coords[],3,FALSE))^2+(VLOOKUP($G80,Coords[],4,FALSE)-VLOOKUP(AZ$5,Coords[],4,FALSE))^2)))</f>
        <v>1000</v>
      </c>
      <c r="BA80" s="10">
        <f>IF($G80=BA$5,1000,IF(BA$4=0,1000,SQRT((VLOOKUP($G80,Coords[],3,FALSE)-VLOOKUP(BA$5,Coords[],3,FALSE))^2+(VLOOKUP($G80,Coords[],4,FALSE)-VLOOKUP(BA$5,Coords[],4,FALSE))^2)))</f>
        <v>1000</v>
      </c>
      <c r="BB80" s="10">
        <f>IF($G80=BB$5,1000,IF(BB$4=0,1000,SQRT((VLOOKUP($G80,Coords[],3,FALSE)-VLOOKUP(BB$5,Coords[],3,FALSE))^2+(VLOOKUP($G80,Coords[],4,FALSE)-VLOOKUP(BB$5,Coords[],4,FALSE))^2)))</f>
        <v>1000</v>
      </c>
      <c r="BC80" s="10">
        <f>IF($G80=BC$5,1000,IF(BC$4=0,1000,SQRT((VLOOKUP($G80,Coords[],3,FALSE)-VLOOKUP(BC$5,Coords[],3,FALSE))^2+(VLOOKUP($G80,Coords[],4,FALSE)-VLOOKUP(BC$5,Coords[],4,FALSE))^2)))</f>
        <v>1000</v>
      </c>
      <c r="BD80" s="10">
        <f>IF($G80=BD$5,1000,IF(BD$4=0,1000,SQRT((VLOOKUP($G80,Coords[],3,FALSE)-VLOOKUP(BD$5,Coords[],3,FALSE))^2+(VLOOKUP($G80,Coords[],4,FALSE)-VLOOKUP(BD$5,Coords[],4,FALSE))^2)))</f>
        <v>1000</v>
      </c>
      <c r="BE80" s="10">
        <f>IF($G80=BE$5,1000,IF(BE$4=0,1000,SQRT((VLOOKUP($G80,Coords[],3,FALSE)-VLOOKUP(BE$5,Coords[],3,FALSE))^2+(VLOOKUP($G80,Coords[],4,FALSE)-VLOOKUP(BE$5,Coords[],4,FALSE))^2)))</f>
        <v>1000</v>
      </c>
      <c r="BF80" s="10">
        <f>IF($G80=BF$5,1000,IF(BF$4=0,1000,SQRT((VLOOKUP($G80,Coords[],3,FALSE)-VLOOKUP(BF$5,Coords[],3,FALSE))^2+(VLOOKUP($G80,Coords[],4,FALSE)-VLOOKUP(BF$5,Coords[],4,FALSE))^2)))</f>
        <v>1000</v>
      </c>
      <c r="BG80" s="10">
        <f>IF($G80=BG$5,1000,IF(BG$4=0,1000,SQRT((VLOOKUP($G80,Coords[],3,FALSE)-VLOOKUP(BG$5,Coords[],3,FALSE))^2+(VLOOKUP($G80,Coords[],4,FALSE)-VLOOKUP(BG$5,Coords[],4,FALSE))^2)))</f>
        <v>1000</v>
      </c>
      <c r="BH80" s="10">
        <f>IF($G80=BH$5,1000,IF(BH$4=0,1000,SQRT((VLOOKUP($G80,Coords[],3,FALSE)-VLOOKUP(BH$5,Coords[],3,FALSE))^2+(VLOOKUP($G80,Coords[],4,FALSE)-VLOOKUP(BH$5,Coords[],4,FALSE))^2)))</f>
        <v>1000</v>
      </c>
      <c r="BI80" s="10">
        <f>IF($G80=BI$5,1000,IF(BI$4=0,1000,SQRT((VLOOKUP($G80,Coords[],3,FALSE)-VLOOKUP(BI$5,Coords[],3,FALSE))^2+(VLOOKUP($G80,Coords[],4,FALSE)-VLOOKUP(BI$5,Coords[],4,FALSE))^2)))</f>
        <v>1000</v>
      </c>
      <c r="BJ80" s="10">
        <f>IF($G80=BJ$5,1000,IF(BJ$4=0,1000,SQRT((VLOOKUP($G80,Coords[],3,FALSE)-VLOOKUP(BJ$5,Coords[],3,FALSE))^2+(VLOOKUP($G80,Coords[],4,FALSE)-VLOOKUP(BJ$5,Coords[],4,FALSE))^2)))</f>
        <v>1000</v>
      </c>
      <c r="BK80" s="10">
        <f>IF($G80=BK$5,1000,IF(BK$4=0,1000,SQRT((VLOOKUP($G80,Coords[],3,FALSE)-VLOOKUP(BK$5,Coords[],3,FALSE))^2+(VLOOKUP($G80,Coords[],4,FALSE)-VLOOKUP(BK$5,Coords[],4,FALSE))^2)))</f>
        <v>1000</v>
      </c>
      <c r="BL80" s="10">
        <f>IF($G80=BL$5,1000,IF(BL$4=0,1000,SQRT((VLOOKUP($G80,Coords[],3,FALSE)-VLOOKUP(BL$5,Coords[],3,FALSE))^2+(VLOOKUP($G80,Coords[],4,FALSE)-VLOOKUP(BL$5,Coords[],4,FALSE))^2)))</f>
        <v>1000</v>
      </c>
      <c r="BM80" s="10">
        <f>IF($G80=BM$5,1000,IF(BM$4=0,1000,SQRT((VLOOKUP($G80,Coords[],3,FALSE)-VLOOKUP(BM$5,Coords[],3,FALSE))^2+(VLOOKUP($G80,Coords[],4,FALSE)-VLOOKUP(BM$5,Coords[],4,FALSE))^2)))</f>
        <v>1000</v>
      </c>
      <c r="BN80" s="10">
        <f>IF($G80=BN$5,1000,IF(BN$4=0,1000,SQRT((VLOOKUP($G80,Coords[],3,FALSE)-VLOOKUP(BN$5,Coords[],3,FALSE))^2+(VLOOKUP($G80,Coords[],4,FALSE)-VLOOKUP(BN$5,Coords[],4,FALSE))^2)))</f>
        <v>1000</v>
      </c>
      <c r="BO80" s="10">
        <f>IF($G80=BO$5,1000,IF(BO$4=0,1000,SQRT((VLOOKUP($G80,Coords[],3,FALSE)-VLOOKUP(BO$5,Coords[],3,FALSE))^2+(VLOOKUP($G80,Coords[],4,FALSE)-VLOOKUP(BO$5,Coords[],4,FALSE))^2)))</f>
        <v>1000</v>
      </c>
      <c r="BP80" s="10">
        <f>IF($G80=BP$5,1000,IF(BP$4=0,1000,SQRT((VLOOKUP($G80,Coords[],3,FALSE)-VLOOKUP(BP$5,Coords[],3,FALSE))^2+(VLOOKUP($G80,Coords[],4,FALSE)-VLOOKUP(BP$5,Coords[],4,FALSE))^2)))</f>
        <v>1000</v>
      </c>
      <c r="BQ80" s="10">
        <f>IF($G80=BQ$5,1000,IF(BQ$4=0,1000,SQRT((VLOOKUP($G80,Coords[],3,FALSE)-VLOOKUP(BQ$5,Coords[],3,FALSE))^2+(VLOOKUP($G80,Coords[],4,FALSE)-VLOOKUP(BQ$5,Coords[],4,FALSE))^2)))</f>
        <v>1000</v>
      </c>
      <c r="BR80" s="10">
        <f>IF($G80=BR$5,1000,IF(BR$4=0,1000,SQRT((VLOOKUP($G80,Coords[],3,FALSE)-VLOOKUP(BR$5,Coords[],3,FALSE))^2+(VLOOKUP($G80,Coords[],4,FALSE)-VLOOKUP(BR$5,Coords[],4,FALSE))^2)))</f>
        <v>1000</v>
      </c>
      <c r="BS80" s="10">
        <f>IF($G80=BS$5,1000,IF(BS$4=0,1000,SQRT((VLOOKUP($G80,Coords[],3,FALSE)-VLOOKUP(BS$5,Coords[],3,FALSE))^2+(VLOOKUP($G80,Coords[],4,FALSE)-VLOOKUP(BS$5,Coords[],4,FALSE))^2)))</f>
        <v>1000</v>
      </c>
      <c r="BT80" s="10">
        <f>IF($G80=BT$5,1000,IF(BT$4=0,1000,SQRT((VLOOKUP($G80,Coords[],3,FALSE)-VLOOKUP(BT$5,Coords[],3,FALSE))^2+(VLOOKUP($G80,Coords[],4,FALSE)-VLOOKUP(BT$5,Coords[],4,FALSE))^2)))</f>
        <v>1000</v>
      </c>
      <c r="BU80" s="10">
        <f>IF($G80=BU$5,1000,IF(BU$4=0,1000,SQRT((VLOOKUP($G80,Coords[],3,FALSE)-VLOOKUP(BU$5,Coords[],3,FALSE))^2+(VLOOKUP($G80,Coords[],4,FALSE)-VLOOKUP(BU$5,Coords[],4,FALSE))^2)))</f>
        <v>1000</v>
      </c>
      <c r="BV80" s="10">
        <f>IF($G80=BV$5,1000,IF(BV$4=0,1000,SQRT((VLOOKUP($G80,Coords[],3,FALSE)-VLOOKUP(BV$5,Coords[],3,FALSE))^2+(VLOOKUP($G80,Coords[],4,FALSE)-VLOOKUP(BV$5,Coords[],4,FALSE))^2)))</f>
        <v>1000</v>
      </c>
      <c r="BW80" s="10">
        <f>IF($G80=BW$5,1000,IF(BW$4=0,1000,SQRT((VLOOKUP($G80,Coords[],3,FALSE)-VLOOKUP(BW$5,Coords[],3,FALSE))^2+(VLOOKUP($G80,Coords[],4,FALSE)-VLOOKUP(BW$5,Coords[],4,FALSE))^2)))</f>
        <v>1000</v>
      </c>
      <c r="BX80" s="10">
        <f>IF($G80=BX$5,1000,IF(BX$4=0,1000,SQRT((VLOOKUP($G80,Coords[],3,FALSE)-VLOOKUP(BX$5,Coords[],3,FALSE))^2+(VLOOKUP($G80,Coords[],4,FALSE)-VLOOKUP(BX$5,Coords[],4,FALSE))^2)))</f>
        <v>1000</v>
      </c>
      <c r="BY80" s="10">
        <f>IF($G80=BY$5,1000,IF(BY$4=0,1000,SQRT((VLOOKUP($G80,Coords[],3,FALSE)-VLOOKUP(BY$5,Coords[],3,FALSE))^2+(VLOOKUP($G80,Coords[],4,FALSE)-VLOOKUP(BY$5,Coords[],4,FALSE))^2)))</f>
        <v>1000</v>
      </c>
      <c r="BZ80" s="10">
        <f>IF($G80=BZ$5,1000,IF(BZ$4=0,1000,SQRT((VLOOKUP($G80,Coords[],3,FALSE)-VLOOKUP(BZ$5,Coords[],3,FALSE))^2+(VLOOKUP($G80,Coords[],4,FALSE)-VLOOKUP(BZ$5,Coords[],4,FALSE))^2)))</f>
        <v>1000</v>
      </c>
      <c r="CA80" s="10">
        <f>IF($G80=CA$5,1000,IF(CA$4=0,1000,SQRT((VLOOKUP($G80,Coords[],3,FALSE)-VLOOKUP(CA$5,Coords[],3,FALSE))^2+(VLOOKUP($G80,Coords[],4,FALSE)-VLOOKUP(CA$5,Coords[],4,FALSE))^2)))</f>
        <v>1000</v>
      </c>
      <c r="CB80" s="10">
        <f>IF($G80=CB$5,1000,IF(CB$4=0,1000,SQRT((VLOOKUP($G80,Coords[],3,FALSE)-VLOOKUP(CB$5,Coords[],3,FALSE))^2+(VLOOKUP($G80,Coords[],4,FALSE)-VLOOKUP(CB$5,Coords[],4,FALSE))^2)))</f>
        <v>1000</v>
      </c>
      <c r="CC80" s="10">
        <f>IF($G80=CC$5,1000,IF(CC$4=0,1000,SQRT((VLOOKUP($G80,Coords[],3,FALSE)-VLOOKUP(CC$5,Coords[],3,FALSE))^2+(VLOOKUP($G80,Coords[],4,FALSE)-VLOOKUP(CC$5,Coords[],4,FALSE))^2)))</f>
        <v>1000</v>
      </c>
      <c r="CD80" s="10">
        <f>IF($G80=CD$5,1000,IF(CD$4=0,1000,SQRT((VLOOKUP($G80,Coords[],3,FALSE)-VLOOKUP(CD$5,Coords[],3,FALSE))^2+(VLOOKUP($G80,Coords[],4,FALSE)-VLOOKUP(CD$5,Coords[],4,FALSE))^2)))</f>
        <v>1000</v>
      </c>
      <c r="CE80" s="10">
        <f>IF($G80=CE$5,1000,IF(CE$4=0,1000,SQRT((VLOOKUP($G80,Coords[],3,FALSE)-VLOOKUP(CE$5,Coords[],3,FALSE))^2+(VLOOKUP($G80,Coords[],4,FALSE)-VLOOKUP(CE$5,Coords[],4,FALSE))^2)))</f>
        <v>1000</v>
      </c>
      <c r="CF80" s="4">
        <v>75</v>
      </c>
      <c r="CH80" s="5">
        <f>IF(E80=1,0,VLOOKUP($G80,$G$6:$CE$82,HLOOKUP(MIN(H80:CE80),$H80:$CE$82,((COUNT($G$6:$G$81)+2)-$G80),FALSE)+1,FALSE)*B80)</f>
        <v>0</v>
      </c>
      <c r="CI80" s="9">
        <f>VLOOKUP($G80,$G$6:$CE$82,HLOOKUP(MIN(H80:CE80),$H80:$CE$82,((COUNT($G$6:$G$81)+2)-$G80),FALSE)+1,FALSE)</f>
        <v>1000</v>
      </c>
      <c r="CJ80" s="7">
        <f>HLOOKUP(MIN(H80:CE80),$H80:$CE$82,((COUNT($G$6:$G$81)+2)-$G80),FALSE)</f>
        <v>1</v>
      </c>
      <c r="CK80">
        <f>CI80*Coords[[#This Row],[Demand]]</f>
        <v>0</v>
      </c>
    </row>
    <row r="81" spans="1:89" x14ac:dyDescent="0.25">
      <c r="A81" s="8">
        <v>76</v>
      </c>
      <c r="B81" s="3"/>
      <c r="C81" s="3"/>
      <c r="D81" s="3"/>
      <c r="E81" s="3"/>
      <c r="G81" s="4">
        <v>76</v>
      </c>
      <c r="H81" s="10">
        <f>IF($G81=H$5,1000,IF(H$4=0,1000,SQRT((VLOOKUP($G81,Coords[],3,FALSE)-VLOOKUP(H$5,Coords[],3,FALSE))^2+(VLOOKUP($G81,Coords[],4,FALSE)-VLOOKUP(H$5,Coords[],4,FALSE))^2)))</f>
        <v>1000</v>
      </c>
      <c r="I81" s="10">
        <f>IF($G81=I$5,1000,IF(I$4=0,1000,SQRT((VLOOKUP($G81,Coords[],3,FALSE)-VLOOKUP(I$5,Coords[],3,FALSE))^2+(VLOOKUP($G81,Coords[],4,FALSE)-VLOOKUP(I$5,Coords[],4,FALSE))^2)))</f>
        <v>1000</v>
      </c>
      <c r="J81" s="10">
        <f>IF($G81=J$5,1000,IF(J$4=0,1000,SQRT((VLOOKUP($G81,Coords[],3,FALSE)-VLOOKUP(J$5,Coords[],3,FALSE))^2+(VLOOKUP($G81,Coords[],4,FALSE)-VLOOKUP(J$5,Coords[],4,FALSE))^2)))</f>
        <v>1000</v>
      </c>
      <c r="K81" s="10">
        <f>IF($G81=K$5,1000,IF(K$4=0,1000,SQRT((VLOOKUP($G81,Coords[],3,FALSE)-VLOOKUP(K$5,Coords[],3,FALSE))^2+(VLOOKUP($G81,Coords[],4,FALSE)-VLOOKUP(K$5,Coords[],4,FALSE))^2)))</f>
        <v>1000</v>
      </c>
      <c r="L81" s="10">
        <f>IF($G81=L$5,1000,IF(L$4=0,1000,SQRT((VLOOKUP($G81,Coords[],3,FALSE)-VLOOKUP(L$5,Coords[],3,FALSE))^2+(VLOOKUP($G81,Coords[],4,FALSE)-VLOOKUP(L$5,Coords[],4,FALSE))^2)))</f>
        <v>1000</v>
      </c>
      <c r="M81" s="10">
        <f>IF($G81=M$5,1000,IF(M$4=0,1000,SQRT((VLOOKUP($G81,Coords[],3,FALSE)-VLOOKUP(M$5,Coords[],3,FALSE))^2+(VLOOKUP($G81,Coords[],4,FALSE)-VLOOKUP(M$5,Coords[],4,FALSE))^2)))</f>
        <v>1000</v>
      </c>
      <c r="N81" s="10">
        <f>IF($G81=N$5,1000,IF(N$4=0,1000,SQRT((VLOOKUP($G81,Coords[],3,FALSE)-VLOOKUP(N$5,Coords[],3,FALSE))^2+(VLOOKUP($G81,Coords[],4,FALSE)-VLOOKUP(N$5,Coords[],4,FALSE))^2)))</f>
        <v>1000</v>
      </c>
      <c r="O81" s="10">
        <f>IF($G81=O$5,1000,IF(O$4=0,1000,SQRT((VLOOKUP($G81,Coords[],3,FALSE)-VLOOKUP(O$5,Coords[],3,FALSE))^2+(VLOOKUP($G81,Coords[],4,FALSE)-VLOOKUP(O$5,Coords[],4,FALSE))^2)))</f>
        <v>1000</v>
      </c>
      <c r="P81" s="10">
        <f>IF($G81=P$5,1000,IF(P$4=0,1000,SQRT((VLOOKUP($G81,Coords[],3,FALSE)-VLOOKUP(P$5,Coords[],3,FALSE))^2+(VLOOKUP($G81,Coords[],4,FALSE)-VLOOKUP(P$5,Coords[],4,FALSE))^2)))</f>
        <v>1000</v>
      </c>
      <c r="Q81" s="10">
        <f>IF($G81=Q$5,1000,IF(Q$4=0,1000,SQRT((VLOOKUP($G81,Coords[],3,FALSE)-VLOOKUP(Q$5,Coords[],3,FALSE))^2+(VLOOKUP($G81,Coords[],4,FALSE)-VLOOKUP(Q$5,Coords[],4,FALSE))^2)))</f>
        <v>1000</v>
      </c>
      <c r="R81" s="10">
        <f>IF($G81=R$5,1000,IF(R$4=0,1000,SQRT((VLOOKUP($G81,Coords[],3,FALSE)-VLOOKUP(R$5,Coords[],3,FALSE))^2+(VLOOKUP($G81,Coords[],4,FALSE)-VLOOKUP(R$5,Coords[],4,FALSE))^2)))</f>
        <v>1000</v>
      </c>
      <c r="S81" s="10">
        <f>IF($G81=S$5,1000,IF(S$4=0,1000,SQRT((VLOOKUP($G81,Coords[],3,FALSE)-VLOOKUP(S$5,Coords[],3,FALSE))^2+(VLOOKUP($G81,Coords[],4,FALSE)-VLOOKUP(S$5,Coords[],4,FALSE))^2)))</f>
        <v>1000</v>
      </c>
      <c r="T81" s="10">
        <f>IF($G81=T$5,1000,IF(T$4=0,1000,SQRT((VLOOKUP($G81,Coords[],3,FALSE)-VLOOKUP(T$5,Coords[],3,FALSE))^2+(VLOOKUP($G81,Coords[],4,FALSE)-VLOOKUP(T$5,Coords[],4,FALSE))^2)))</f>
        <v>1000</v>
      </c>
      <c r="U81" s="10">
        <f>IF($G81=U$5,1000,IF(U$4=0,1000,SQRT((VLOOKUP($G81,Coords[],3,FALSE)-VLOOKUP(U$5,Coords[],3,FALSE))^2+(VLOOKUP($G81,Coords[],4,FALSE)-VLOOKUP(U$5,Coords[],4,FALSE))^2)))</f>
        <v>1000</v>
      </c>
      <c r="V81" s="10">
        <f>IF($G81=V$5,1000,IF(V$4=0,1000,SQRT((VLOOKUP($G81,Coords[],3,FALSE)-VLOOKUP(V$5,Coords[],3,FALSE))^2+(VLOOKUP($G81,Coords[],4,FALSE)-VLOOKUP(V$5,Coords[],4,FALSE))^2)))</f>
        <v>1000</v>
      </c>
      <c r="W81" s="10">
        <f>IF($G81=W$5,1000,IF(W$4=0,1000,SQRT((VLOOKUP($G81,Coords[],3,FALSE)-VLOOKUP(W$5,Coords[],3,FALSE))^2+(VLOOKUP($G81,Coords[],4,FALSE)-VLOOKUP(W$5,Coords[],4,FALSE))^2)))</f>
        <v>1000</v>
      </c>
      <c r="X81" s="10">
        <f>IF($G81=X$5,1000,IF(X$4=0,1000,SQRT((VLOOKUP($G81,Coords[],3,FALSE)-VLOOKUP(X$5,Coords[],3,FALSE))^2+(VLOOKUP($G81,Coords[],4,FALSE)-VLOOKUP(X$5,Coords[],4,FALSE))^2)))</f>
        <v>1000</v>
      </c>
      <c r="Y81" s="10">
        <f>IF($G81=Y$5,1000,IF(Y$4=0,1000,SQRT((VLOOKUP($G81,Coords[],3,FALSE)-VLOOKUP(Y$5,Coords[],3,FALSE))^2+(VLOOKUP($G81,Coords[],4,FALSE)-VLOOKUP(Y$5,Coords[],4,FALSE))^2)))</f>
        <v>1000</v>
      </c>
      <c r="Z81" s="10">
        <f>IF($G81=Z$5,1000,IF(Z$4=0,1000,SQRT((VLOOKUP($G81,Coords[],3,FALSE)-VLOOKUP(Z$5,Coords[],3,FALSE))^2+(VLOOKUP($G81,Coords[],4,FALSE)-VLOOKUP(Z$5,Coords[],4,FALSE))^2)))</f>
        <v>1000</v>
      </c>
      <c r="AA81" s="10">
        <f>IF($G81=AA$5,1000,IF(AA$4=0,1000,SQRT((VLOOKUP($G81,Coords[],3,FALSE)-VLOOKUP(AA$5,Coords[],3,FALSE))^2+(VLOOKUP($G81,Coords[],4,FALSE)-VLOOKUP(AA$5,Coords[],4,FALSE))^2)))</f>
        <v>1000</v>
      </c>
      <c r="AB81" s="10">
        <f>IF($G81=AB$5,1000,IF(AB$4=0,1000,SQRT((VLOOKUP($G81,Coords[],3,FALSE)-VLOOKUP(AB$5,Coords[],3,FALSE))^2+(VLOOKUP($G81,Coords[],4,FALSE)-VLOOKUP(AB$5,Coords[],4,FALSE))^2)))</f>
        <v>1000</v>
      </c>
      <c r="AC81" s="10">
        <f>IF($G81=AC$5,1000,IF(AC$4=0,1000,SQRT((VLOOKUP($G81,Coords[],3,FALSE)-VLOOKUP(AC$5,Coords[],3,FALSE))^2+(VLOOKUP($G81,Coords[],4,FALSE)-VLOOKUP(AC$5,Coords[],4,FALSE))^2)))</f>
        <v>1000</v>
      </c>
      <c r="AD81" s="10">
        <f>IF($G81=AD$5,1000,IF(AD$4=0,1000,SQRT((VLOOKUP($G81,Coords[],3,FALSE)-VLOOKUP(AD$5,Coords[],3,FALSE))^2+(VLOOKUP($G81,Coords[],4,FALSE)-VLOOKUP(AD$5,Coords[],4,FALSE))^2)))</f>
        <v>1000</v>
      </c>
      <c r="AE81" s="10">
        <f>IF($G81=AE$5,1000,IF(AE$4=0,1000,SQRT((VLOOKUP($G81,Coords[],3,FALSE)-VLOOKUP(AE$5,Coords[],3,FALSE))^2+(VLOOKUP($G81,Coords[],4,FALSE)-VLOOKUP(AE$5,Coords[],4,FALSE))^2)))</f>
        <v>1000</v>
      </c>
      <c r="AF81" s="10">
        <f>IF($G81=AF$5,1000,IF(AF$4=0,1000,SQRT((VLOOKUP($G81,Coords[],3,FALSE)-VLOOKUP(AF$5,Coords[],3,FALSE))^2+(VLOOKUP($G81,Coords[],4,FALSE)-VLOOKUP(AF$5,Coords[],4,FALSE))^2)))</f>
        <v>1000</v>
      </c>
      <c r="AG81" s="10">
        <f>IF($G81=AG$5,1000,IF(AG$4=0,1000,SQRT((VLOOKUP($G81,Coords[],3,FALSE)-VLOOKUP(AG$5,Coords[],3,FALSE))^2+(VLOOKUP($G81,Coords[],4,FALSE)-VLOOKUP(AG$5,Coords[],4,FALSE))^2)))</f>
        <v>1000</v>
      </c>
      <c r="AH81" s="10">
        <f>IF($G81=AH$5,1000,IF(AH$4=0,1000,SQRT((VLOOKUP($G81,Coords[],3,FALSE)-VLOOKUP(AH$5,Coords[],3,FALSE))^2+(VLOOKUP($G81,Coords[],4,FALSE)-VLOOKUP(AH$5,Coords[],4,FALSE))^2)))</f>
        <v>1000</v>
      </c>
      <c r="AI81" s="10">
        <f>IF($G81=AI$5,1000,IF(AI$4=0,1000,SQRT((VLOOKUP($G81,Coords[],3,FALSE)-VLOOKUP(AI$5,Coords[],3,FALSE))^2+(VLOOKUP($G81,Coords[],4,FALSE)-VLOOKUP(AI$5,Coords[],4,FALSE))^2)))</f>
        <v>1000</v>
      </c>
      <c r="AJ81" s="10">
        <f>IF($G81=AJ$5,1000,IF(AJ$4=0,1000,SQRT((VLOOKUP($G81,Coords[],3,FALSE)-VLOOKUP(AJ$5,Coords[],3,FALSE))^2+(VLOOKUP($G81,Coords[],4,FALSE)-VLOOKUP(AJ$5,Coords[],4,FALSE))^2)))</f>
        <v>1000</v>
      </c>
      <c r="AK81" s="10">
        <f>IF($G81=AK$5,1000,IF(AK$4=0,1000,SQRT((VLOOKUP($G81,Coords[],3,FALSE)-VLOOKUP(AK$5,Coords[],3,FALSE))^2+(VLOOKUP($G81,Coords[],4,FALSE)-VLOOKUP(AK$5,Coords[],4,FALSE))^2)))</f>
        <v>1000</v>
      </c>
      <c r="AL81" s="10">
        <f>IF($G81=AL$5,1000,IF(AL$4=0,1000,SQRT((VLOOKUP($G81,Coords[],3,FALSE)-VLOOKUP(AL$5,Coords[],3,FALSE))^2+(VLOOKUP($G81,Coords[],4,FALSE)-VLOOKUP(AL$5,Coords[],4,FALSE))^2)))</f>
        <v>1000</v>
      </c>
      <c r="AM81" s="10">
        <f>IF($G81=AM$5,1000,IF(AM$4=0,1000,SQRT((VLOOKUP($G81,Coords[],3,FALSE)-VLOOKUP(AM$5,Coords[],3,FALSE))^2+(VLOOKUP($G81,Coords[],4,FALSE)-VLOOKUP(AM$5,Coords[],4,FALSE))^2)))</f>
        <v>1000</v>
      </c>
      <c r="AN81" s="10">
        <f>IF($G81=AN$5,1000,IF(AN$4=0,1000,SQRT((VLOOKUP($G81,Coords[],3,FALSE)-VLOOKUP(AN$5,Coords[],3,FALSE))^2+(VLOOKUP($G81,Coords[],4,FALSE)-VLOOKUP(AN$5,Coords[],4,FALSE))^2)))</f>
        <v>1000</v>
      </c>
      <c r="AO81" s="10">
        <f>IF($G81=AO$5,1000,IF(AO$4=0,1000,SQRT((VLOOKUP($G81,Coords[],3,FALSE)-VLOOKUP(AO$5,Coords[],3,FALSE))^2+(VLOOKUP($G81,Coords[],4,FALSE)-VLOOKUP(AO$5,Coords[],4,FALSE))^2)))</f>
        <v>1000</v>
      </c>
      <c r="AP81" s="10">
        <f>IF($G81=AP$5,1000,IF(AP$4=0,1000,SQRT((VLOOKUP($G81,Coords[],3,FALSE)-VLOOKUP(AP$5,Coords[],3,FALSE))^2+(VLOOKUP($G81,Coords[],4,FALSE)-VLOOKUP(AP$5,Coords[],4,FALSE))^2)))</f>
        <v>1000</v>
      </c>
      <c r="AQ81" s="10">
        <f>IF($G81=AQ$5,1000,IF(AQ$4=0,1000,SQRT((VLOOKUP($G81,Coords[],3,FALSE)-VLOOKUP(AQ$5,Coords[],3,FALSE))^2+(VLOOKUP($G81,Coords[],4,FALSE)-VLOOKUP(AQ$5,Coords[],4,FALSE))^2)))</f>
        <v>1000</v>
      </c>
      <c r="AR81" s="10">
        <f>IF($G81=AR$5,1000,IF(AR$4=0,1000,SQRT((VLOOKUP($G81,Coords[],3,FALSE)-VLOOKUP(AR$5,Coords[],3,FALSE))^2+(VLOOKUP($G81,Coords[],4,FALSE)-VLOOKUP(AR$5,Coords[],4,FALSE))^2)))</f>
        <v>1000</v>
      </c>
      <c r="AS81" s="10">
        <f>IF($G81=AS$5,1000,IF(AS$4=0,1000,SQRT((VLOOKUP($G81,Coords[],3,FALSE)-VLOOKUP(AS$5,Coords[],3,FALSE))^2+(VLOOKUP($G81,Coords[],4,FALSE)-VLOOKUP(AS$5,Coords[],4,FALSE))^2)))</f>
        <v>1000</v>
      </c>
      <c r="AT81" s="10">
        <f>IF($G81=AT$5,1000,IF(AT$4=0,1000,SQRT((VLOOKUP($G81,Coords[],3,FALSE)-VLOOKUP(AT$5,Coords[],3,FALSE))^2+(VLOOKUP($G81,Coords[],4,FALSE)-VLOOKUP(AT$5,Coords[],4,FALSE))^2)))</f>
        <v>1000</v>
      </c>
      <c r="AU81" s="10">
        <f>IF($G81=AU$5,1000,IF(AU$4=0,1000,SQRT((VLOOKUP($G81,Coords[],3,FALSE)-VLOOKUP(AU$5,Coords[],3,FALSE))^2+(VLOOKUP($G81,Coords[],4,FALSE)-VLOOKUP(AU$5,Coords[],4,FALSE))^2)))</f>
        <v>1000</v>
      </c>
      <c r="AV81" s="10">
        <f>IF($G81=AV$5,1000,IF(AV$4=0,1000,SQRT((VLOOKUP($G81,Coords[],3,FALSE)-VLOOKUP(AV$5,Coords[],3,FALSE))^2+(VLOOKUP($G81,Coords[],4,FALSE)-VLOOKUP(AV$5,Coords[],4,FALSE))^2)))</f>
        <v>1000</v>
      </c>
      <c r="AW81" s="10">
        <f>IF($G81=AW$5,1000,IF(AW$4=0,1000,SQRT((VLOOKUP($G81,Coords[],3,FALSE)-VLOOKUP(AW$5,Coords[],3,FALSE))^2+(VLOOKUP($G81,Coords[],4,FALSE)-VLOOKUP(AW$5,Coords[],4,FALSE))^2)))</f>
        <v>1000</v>
      </c>
      <c r="AX81" s="10">
        <f>IF($G81=AX$5,1000,IF(AX$4=0,1000,SQRT((VLOOKUP($G81,Coords[],3,FALSE)-VLOOKUP(AX$5,Coords[],3,FALSE))^2+(VLOOKUP($G81,Coords[],4,FALSE)-VLOOKUP(AX$5,Coords[],4,FALSE))^2)))</f>
        <v>1000</v>
      </c>
      <c r="AY81" s="10">
        <f>IF($G81=AY$5,1000,IF(AY$4=0,1000,SQRT((VLOOKUP($G81,Coords[],3,FALSE)-VLOOKUP(AY$5,Coords[],3,FALSE))^2+(VLOOKUP($G81,Coords[],4,FALSE)-VLOOKUP(AY$5,Coords[],4,FALSE))^2)))</f>
        <v>1000</v>
      </c>
      <c r="AZ81" s="10">
        <f>IF($G81=AZ$5,1000,IF(AZ$4=0,1000,SQRT((VLOOKUP($G81,Coords[],3,FALSE)-VLOOKUP(AZ$5,Coords[],3,FALSE))^2+(VLOOKUP($G81,Coords[],4,FALSE)-VLOOKUP(AZ$5,Coords[],4,FALSE))^2)))</f>
        <v>1000</v>
      </c>
      <c r="BA81" s="10">
        <f>IF($G81=BA$5,1000,IF(BA$4=0,1000,SQRT((VLOOKUP($G81,Coords[],3,FALSE)-VLOOKUP(BA$5,Coords[],3,FALSE))^2+(VLOOKUP($G81,Coords[],4,FALSE)-VLOOKUP(BA$5,Coords[],4,FALSE))^2)))</f>
        <v>1000</v>
      </c>
      <c r="BB81" s="10">
        <f>IF($G81=BB$5,1000,IF(BB$4=0,1000,SQRT((VLOOKUP($G81,Coords[],3,FALSE)-VLOOKUP(BB$5,Coords[],3,FALSE))^2+(VLOOKUP($G81,Coords[],4,FALSE)-VLOOKUP(BB$5,Coords[],4,FALSE))^2)))</f>
        <v>1000</v>
      </c>
      <c r="BC81" s="10">
        <f>IF($G81=BC$5,1000,IF(BC$4=0,1000,SQRT((VLOOKUP($G81,Coords[],3,FALSE)-VLOOKUP(BC$5,Coords[],3,FALSE))^2+(VLOOKUP($G81,Coords[],4,FALSE)-VLOOKUP(BC$5,Coords[],4,FALSE))^2)))</f>
        <v>1000</v>
      </c>
      <c r="BD81" s="10">
        <f>IF($G81=BD$5,1000,IF(BD$4=0,1000,SQRT((VLOOKUP($G81,Coords[],3,FALSE)-VLOOKUP(BD$5,Coords[],3,FALSE))^2+(VLOOKUP($G81,Coords[],4,FALSE)-VLOOKUP(BD$5,Coords[],4,FALSE))^2)))</f>
        <v>1000</v>
      </c>
      <c r="BE81" s="10">
        <f>IF($G81=BE$5,1000,IF(BE$4=0,1000,SQRT((VLOOKUP($G81,Coords[],3,FALSE)-VLOOKUP(BE$5,Coords[],3,FALSE))^2+(VLOOKUP($G81,Coords[],4,FALSE)-VLOOKUP(BE$5,Coords[],4,FALSE))^2)))</f>
        <v>1000</v>
      </c>
      <c r="BF81" s="10">
        <f>IF($G81=BF$5,1000,IF(BF$4=0,1000,SQRT((VLOOKUP($G81,Coords[],3,FALSE)-VLOOKUP(BF$5,Coords[],3,FALSE))^2+(VLOOKUP($G81,Coords[],4,FALSE)-VLOOKUP(BF$5,Coords[],4,FALSE))^2)))</f>
        <v>1000</v>
      </c>
      <c r="BG81" s="10">
        <f>IF($G81=BG$5,1000,IF(BG$4=0,1000,SQRT((VLOOKUP($G81,Coords[],3,FALSE)-VLOOKUP(BG$5,Coords[],3,FALSE))^2+(VLOOKUP($G81,Coords[],4,FALSE)-VLOOKUP(BG$5,Coords[],4,FALSE))^2)))</f>
        <v>1000</v>
      </c>
      <c r="BH81" s="10">
        <f>IF($G81=BH$5,1000,IF(BH$4=0,1000,SQRT((VLOOKUP($G81,Coords[],3,FALSE)-VLOOKUP(BH$5,Coords[],3,FALSE))^2+(VLOOKUP($G81,Coords[],4,FALSE)-VLOOKUP(BH$5,Coords[],4,FALSE))^2)))</f>
        <v>1000</v>
      </c>
      <c r="BI81" s="10">
        <f>IF($G81=BI$5,1000,IF(BI$4=0,1000,SQRT((VLOOKUP($G81,Coords[],3,FALSE)-VLOOKUP(BI$5,Coords[],3,FALSE))^2+(VLOOKUP($G81,Coords[],4,FALSE)-VLOOKUP(BI$5,Coords[],4,FALSE))^2)))</f>
        <v>1000</v>
      </c>
      <c r="BJ81" s="10">
        <f>IF($G81=BJ$5,1000,IF(BJ$4=0,1000,SQRT((VLOOKUP($G81,Coords[],3,FALSE)-VLOOKUP(BJ$5,Coords[],3,FALSE))^2+(VLOOKUP($G81,Coords[],4,FALSE)-VLOOKUP(BJ$5,Coords[],4,FALSE))^2)))</f>
        <v>1000</v>
      </c>
      <c r="BK81" s="10">
        <f>IF($G81=BK$5,1000,IF(BK$4=0,1000,SQRT((VLOOKUP($G81,Coords[],3,FALSE)-VLOOKUP(BK$5,Coords[],3,FALSE))^2+(VLOOKUP($G81,Coords[],4,FALSE)-VLOOKUP(BK$5,Coords[],4,FALSE))^2)))</f>
        <v>1000</v>
      </c>
      <c r="BL81" s="10">
        <f>IF($G81=BL$5,1000,IF(BL$4=0,1000,SQRT((VLOOKUP($G81,Coords[],3,FALSE)-VLOOKUP(BL$5,Coords[],3,FALSE))^2+(VLOOKUP($G81,Coords[],4,FALSE)-VLOOKUP(BL$5,Coords[],4,FALSE))^2)))</f>
        <v>1000</v>
      </c>
      <c r="BM81" s="10">
        <f>IF($G81=BM$5,1000,IF(BM$4=0,1000,SQRT((VLOOKUP($G81,Coords[],3,FALSE)-VLOOKUP(BM$5,Coords[],3,FALSE))^2+(VLOOKUP($G81,Coords[],4,FALSE)-VLOOKUP(BM$5,Coords[],4,FALSE))^2)))</f>
        <v>1000</v>
      </c>
      <c r="BN81" s="10">
        <f>IF($G81=BN$5,1000,IF(BN$4=0,1000,SQRT((VLOOKUP($G81,Coords[],3,FALSE)-VLOOKUP(BN$5,Coords[],3,FALSE))^2+(VLOOKUP($G81,Coords[],4,FALSE)-VLOOKUP(BN$5,Coords[],4,FALSE))^2)))</f>
        <v>1000</v>
      </c>
      <c r="BO81" s="10">
        <f>IF($G81=BO$5,1000,IF(BO$4=0,1000,SQRT((VLOOKUP($G81,Coords[],3,FALSE)-VLOOKUP(BO$5,Coords[],3,FALSE))^2+(VLOOKUP($G81,Coords[],4,FALSE)-VLOOKUP(BO$5,Coords[],4,FALSE))^2)))</f>
        <v>1000</v>
      </c>
      <c r="BP81" s="10">
        <f>IF($G81=BP$5,1000,IF(BP$4=0,1000,SQRT((VLOOKUP($G81,Coords[],3,FALSE)-VLOOKUP(BP$5,Coords[],3,FALSE))^2+(VLOOKUP($G81,Coords[],4,FALSE)-VLOOKUP(BP$5,Coords[],4,FALSE))^2)))</f>
        <v>1000</v>
      </c>
      <c r="BQ81" s="10">
        <f>IF($G81=BQ$5,1000,IF(BQ$4=0,1000,SQRT((VLOOKUP($G81,Coords[],3,FALSE)-VLOOKUP(BQ$5,Coords[],3,FALSE))^2+(VLOOKUP($G81,Coords[],4,FALSE)-VLOOKUP(BQ$5,Coords[],4,FALSE))^2)))</f>
        <v>1000</v>
      </c>
      <c r="BR81" s="10">
        <f>IF($G81=BR$5,1000,IF(BR$4=0,1000,SQRT((VLOOKUP($G81,Coords[],3,FALSE)-VLOOKUP(BR$5,Coords[],3,FALSE))^2+(VLOOKUP($G81,Coords[],4,FALSE)-VLOOKUP(BR$5,Coords[],4,FALSE))^2)))</f>
        <v>1000</v>
      </c>
      <c r="BS81" s="10">
        <f>IF($G81=BS$5,1000,IF(BS$4=0,1000,SQRT((VLOOKUP($G81,Coords[],3,FALSE)-VLOOKUP(BS$5,Coords[],3,FALSE))^2+(VLOOKUP($G81,Coords[],4,FALSE)-VLOOKUP(BS$5,Coords[],4,FALSE))^2)))</f>
        <v>1000</v>
      </c>
      <c r="BT81" s="10">
        <f>IF($G81=BT$5,1000,IF(BT$4=0,1000,SQRT((VLOOKUP($G81,Coords[],3,FALSE)-VLOOKUP(BT$5,Coords[],3,FALSE))^2+(VLOOKUP($G81,Coords[],4,FALSE)-VLOOKUP(BT$5,Coords[],4,FALSE))^2)))</f>
        <v>1000</v>
      </c>
      <c r="BU81" s="10">
        <f>IF($G81=BU$5,1000,IF(BU$4=0,1000,SQRT((VLOOKUP($G81,Coords[],3,FALSE)-VLOOKUP(BU$5,Coords[],3,FALSE))^2+(VLOOKUP($G81,Coords[],4,FALSE)-VLOOKUP(BU$5,Coords[],4,FALSE))^2)))</f>
        <v>1000</v>
      </c>
      <c r="BV81" s="10">
        <f>IF($G81=BV$5,1000,IF(BV$4=0,1000,SQRT((VLOOKUP($G81,Coords[],3,FALSE)-VLOOKUP(BV$5,Coords[],3,FALSE))^2+(VLOOKUP($G81,Coords[],4,FALSE)-VLOOKUP(BV$5,Coords[],4,FALSE))^2)))</f>
        <v>1000</v>
      </c>
      <c r="BW81" s="10">
        <f>IF($G81=BW$5,1000,IF(BW$4=0,1000,SQRT((VLOOKUP($G81,Coords[],3,FALSE)-VLOOKUP(BW$5,Coords[],3,FALSE))^2+(VLOOKUP($G81,Coords[],4,FALSE)-VLOOKUP(BW$5,Coords[],4,FALSE))^2)))</f>
        <v>1000</v>
      </c>
      <c r="BX81" s="10">
        <f>IF($G81=BX$5,1000,IF(BX$4=0,1000,SQRT((VLOOKUP($G81,Coords[],3,FALSE)-VLOOKUP(BX$5,Coords[],3,FALSE))^2+(VLOOKUP($G81,Coords[],4,FALSE)-VLOOKUP(BX$5,Coords[],4,FALSE))^2)))</f>
        <v>1000</v>
      </c>
      <c r="BY81" s="10">
        <f>IF($G81=BY$5,1000,IF(BY$4=0,1000,SQRT((VLOOKUP($G81,Coords[],3,FALSE)-VLOOKUP(BY$5,Coords[],3,FALSE))^2+(VLOOKUP($G81,Coords[],4,FALSE)-VLOOKUP(BY$5,Coords[],4,FALSE))^2)))</f>
        <v>1000</v>
      </c>
      <c r="BZ81" s="10">
        <f>IF($G81=BZ$5,1000,IF(BZ$4=0,1000,SQRT((VLOOKUP($G81,Coords[],3,FALSE)-VLOOKUP(BZ$5,Coords[],3,FALSE))^2+(VLOOKUP($G81,Coords[],4,FALSE)-VLOOKUP(BZ$5,Coords[],4,FALSE))^2)))</f>
        <v>1000</v>
      </c>
      <c r="CA81" s="10">
        <f>IF($G81=CA$5,1000,IF(CA$4=0,1000,SQRT((VLOOKUP($G81,Coords[],3,FALSE)-VLOOKUP(CA$5,Coords[],3,FALSE))^2+(VLOOKUP($G81,Coords[],4,FALSE)-VLOOKUP(CA$5,Coords[],4,FALSE))^2)))</f>
        <v>1000</v>
      </c>
      <c r="CB81" s="10">
        <f>IF($G81=CB$5,1000,IF(CB$4=0,1000,SQRT((VLOOKUP($G81,Coords[],3,FALSE)-VLOOKUP(CB$5,Coords[],3,FALSE))^2+(VLOOKUP($G81,Coords[],4,FALSE)-VLOOKUP(CB$5,Coords[],4,FALSE))^2)))</f>
        <v>1000</v>
      </c>
      <c r="CC81" s="10">
        <f>IF($G81=CC$5,1000,IF(CC$4=0,1000,SQRT((VLOOKUP($G81,Coords[],3,FALSE)-VLOOKUP(CC$5,Coords[],3,FALSE))^2+(VLOOKUP($G81,Coords[],4,FALSE)-VLOOKUP(CC$5,Coords[],4,FALSE))^2)))</f>
        <v>1000</v>
      </c>
      <c r="CD81" s="10">
        <f>IF($G81=CD$5,1000,IF(CD$4=0,1000,SQRT((VLOOKUP($G81,Coords[],3,FALSE)-VLOOKUP(CD$5,Coords[],3,FALSE))^2+(VLOOKUP($G81,Coords[],4,FALSE)-VLOOKUP(CD$5,Coords[],4,FALSE))^2)))</f>
        <v>1000</v>
      </c>
      <c r="CE81" s="10">
        <f>IF($G81=CE$5,1000,IF(CE$4=0,1000,SQRT((VLOOKUP($G81,Coords[],3,FALSE)-VLOOKUP(CE$5,Coords[],3,FALSE))^2+(VLOOKUP($G81,Coords[],4,FALSE)-VLOOKUP(CE$5,Coords[],4,FALSE))^2)))</f>
        <v>1000</v>
      </c>
      <c r="CF81" s="4">
        <v>76</v>
      </c>
      <c r="CH81" s="5">
        <f>IF(E81=1,0,VLOOKUP($G81,$G$6:$CE$82,HLOOKUP(MIN(H81:CE81),$H81:$CE$82,((COUNT($G$6:$G$81)+2)-$G81),FALSE)+1,FALSE)*B81)</f>
        <v>0</v>
      </c>
      <c r="CI81" s="9">
        <f>VLOOKUP($G81,$G$6:$CE$82,HLOOKUP(MIN(H81:CE81),$H81:$CE$82,((COUNT($G$6:$G$81)+2)-$G81),FALSE)+1,FALSE)</f>
        <v>1000</v>
      </c>
      <c r="CJ81" s="7">
        <f>HLOOKUP(MIN(H81:CE81),$H81:$CE$82,((COUNT($G$6:$G$81)+2)-$G81),FALSE)</f>
        <v>1</v>
      </c>
      <c r="CK81">
        <f>CI81*Coords[[#This Row],[Demand]]</f>
        <v>0</v>
      </c>
    </row>
    <row r="82" spans="1:89" ht="18.75" x14ac:dyDescent="0.25">
      <c r="H82" s="4">
        <v>1</v>
      </c>
      <c r="I82" s="4">
        <v>2</v>
      </c>
      <c r="J82" s="4">
        <v>3</v>
      </c>
      <c r="K82" s="4">
        <v>4</v>
      </c>
      <c r="L82" s="4">
        <v>5</v>
      </c>
      <c r="M82" s="4">
        <v>6</v>
      </c>
      <c r="N82" s="4">
        <v>7</v>
      </c>
      <c r="O82" s="4">
        <v>8</v>
      </c>
      <c r="P82" s="4">
        <v>9</v>
      </c>
      <c r="Q82" s="4">
        <v>10</v>
      </c>
      <c r="R82" s="4">
        <v>11</v>
      </c>
      <c r="S82" s="4">
        <v>12</v>
      </c>
      <c r="T82" s="4">
        <v>13</v>
      </c>
      <c r="U82" s="4">
        <v>14</v>
      </c>
      <c r="V82" s="4">
        <v>15</v>
      </c>
      <c r="W82" s="4">
        <v>16</v>
      </c>
      <c r="X82" s="4">
        <v>17</v>
      </c>
      <c r="Y82" s="4">
        <v>18</v>
      </c>
      <c r="Z82" s="4">
        <v>19</v>
      </c>
      <c r="AA82" s="4">
        <v>20</v>
      </c>
      <c r="AB82" s="4">
        <v>21</v>
      </c>
      <c r="AC82" s="4">
        <v>22</v>
      </c>
      <c r="AD82" s="4">
        <v>23</v>
      </c>
      <c r="AE82" s="4">
        <v>24</v>
      </c>
      <c r="AF82" s="4">
        <v>25</v>
      </c>
      <c r="AG82" s="4">
        <v>26</v>
      </c>
      <c r="AH82" s="4">
        <v>27</v>
      </c>
      <c r="AI82" s="4">
        <v>28</v>
      </c>
      <c r="AJ82" s="4">
        <v>29</v>
      </c>
      <c r="AK82" s="4">
        <v>30</v>
      </c>
      <c r="AL82" s="4">
        <v>31</v>
      </c>
      <c r="AM82" s="4">
        <v>32</v>
      </c>
      <c r="AN82" s="4">
        <v>33</v>
      </c>
      <c r="AO82" s="4">
        <v>34</v>
      </c>
      <c r="AP82" s="4">
        <v>35</v>
      </c>
      <c r="AQ82" s="4">
        <v>36</v>
      </c>
      <c r="AR82" s="4">
        <v>37</v>
      </c>
      <c r="AS82" s="4">
        <v>38</v>
      </c>
      <c r="AT82" s="4">
        <v>39</v>
      </c>
      <c r="AU82" s="4">
        <v>40</v>
      </c>
      <c r="AV82" s="4">
        <v>41</v>
      </c>
      <c r="AW82" s="4">
        <v>42</v>
      </c>
      <c r="AX82" s="4">
        <v>43</v>
      </c>
      <c r="AY82" s="4">
        <v>44</v>
      </c>
      <c r="AZ82" s="4">
        <v>45</v>
      </c>
      <c r="BA82" s="4">
        <v>46</v>
      </c>
      <c r="BB82" s="4">
        <v>47</v>
      </c>
      <c r="BC82" s="4">
        <v>48</v>
      </c>
      <c r="BD82" s="4">
        <v>49</v>
      </c>
      <c r="BE82" s="4">
        <v>50</v>
      </c>
      <c r="BF82" s="4">
        <v>51</v>
      </c>
      <c r="BG82" s="4">
        <v>52</v>
      </c>
      <c r="BH82" s="4">
        <v>53</v>
      </c>
      <c r="BI82" s="4">
        <v>54</v>
      </c>
      <c r="BJ82" s="4">
        <v>55</v>
      </c>
      <c r="BK82" s="4">
        <v>56</v>
      </c>
      <c r="BL82" s="4">
        <v>57</v>
      </c>
      <c r="BM82" s="4">
        <v>58</v>
      </c>
      <c r="BN82" s="4">
        <v>59</v>
      </c>
      <c r="BO82" s="4">
        <v>60</v>
      </c>
      <c r="BP82" s="4">
        <v>61</v>
      </c>
      <c r="BQ82" s="4">
        <v>62</v>
      </c>
      <c r="BR82" s="4">
        <v>63</v>
      </c>
      <c r="BS82" s="4">
        <v>64</v>
      </c>
      <c r="BT82" s="4">
        <v>65</v>
      </c>
      <c r="BU82" s="4">
        <v>66</v>
      </c>
      <c r="BV82" s="4">
        <v>67</v>
      </c>
      <c r="BW82" s="4">
        <v>68</v>
      </c>
      <c r="BX82" s="4">
        <v>69</v>
      </c>
      <c r="BY82" s="4">
        <v>70</v>
      </c>
      <c r="BZ82" s="4">
        <v>71</v>
      </c>
      <c r="CA82" s="4">
        <v>72</v>
      </c>
      <c r="CB82" s="4">
        <v>73</v>
      </c>
      <c r="CC82" s="4">
        <v>74</v>
      </c>
      <c r="CD82" s="4">
        <v>75</v>
      </c>
      <c r="CE82" s="4">
        <v>76</v>
      </c>
      <c r="CH82" s="14" t="s">
        <v>3</v>
      </c>
      <c r="CI82" s="14"/>
      <c r="CJ82" s="14"/>
    </row>
    <row r="83" spans="1:89" x14ac:dyDescent="0.25">
      <c r="CH83" s="13">
        <f>SUM(CH6:CH81)</f>
        <v>0</v>
      </c>
      <c r="CI83" s="13"/>
      <c r="CJ83" s="13"/>
    </row>
  </sheetData>
  <mergeCells count="2">
    <mergeCell ref="CH83:CJ83"/>
    <mergeCell ref="CH82:CJ8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art">
          <controlPr defaultSize="0" autoLine="0" r:id="rId5">
            <anchor moveWithCells="1">
              <from>
                <xdr:col>4</xdr:col>
                <xdr:colOff>133350</xdr:colOff>
                <xdr:row>0</xdr:row>
                <xdr:rowOff>133350</xdr:rowOff>
              </from>
              <to>
                <xdr:col>6</xdr:col>
                <xdr:colOff>123825</xdr:colOff>
                <xdr:row>3</xdr:row>
                <xdr:rowOff>57150</xdr:rowOff>
              </to>
            </anchor>
          </controlPr>
        </control>
      </mc:Choice>
      <mc:Fallback>
        <control shapeId="3073" r:id="rId4" name="Start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77" zoomScaleNormal="77" workbookViewId="0">
      <selection activeCell="F24" sqref="F2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Prepare Sheet</vt:lpstr>
      <vt:lpstr>Model</vt:lpstr>
      <vt:lpstr>NextGen</vt:lpstr>
      <vt:lpstr>IsOpen</vt:lpstr>
      <vt:lpstr>index</vt:lpstr>
      <vt:lpstr>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MEFSTUDENT</dc:creator>
  <cp:lastModifiedBy>EREN ALTUN</cp:lastModifiedBy>
  <dcterms:created xsi:type="dcterms:W3CDTF">2017-12-01T09:32:22Z</dcterms:created>
  <dcterms:modified xsi:type="dcterms:W3CDTF">2018-01-18T10:43:10Z</dcterms:modified>
</cp:coreProperties>
</file>